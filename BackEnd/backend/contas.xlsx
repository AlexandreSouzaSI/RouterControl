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B2FA1E3-FA4B-46AF-97C0-64DF3C98168C}" xr6:coauthVersionLast="47" xr6:coauthVersionMax="47" xr10:uidLastSave="{00000000-0000-0000-0000-000000000000}"/>
  <bookViews>
    <workbookView xWindow="-120" yWindow="-120" windowWidth="20730" windowHeight="11040" tabRatio="530" firstSheet="4" activeTab="4" xr2:uid="{00000000-000D-0000-FFFF-FFFF00000000}"/>
  </bookViews>
  <sheets>
    <sheet name="CONTAS A PAGAR VM  07-26 (2)" sheetId="66" state="hidden" r:id="rId1"/>
    <sheet name="AGREGADOS  (2)" sheetId="67" state="hidden" r:id="rId2"/>
    <sheet name="CONTAS A RECEBER VIA MINAS (2)" sheetId="68" state="hidden" r:id="rId3"/>
    <sheet name="Planilha1" sheetId="64" state="hidden" r:id="rId4"/>
    <sheet name="CONTAS A PAGAR VM  2026" sheetId="63" r:id="rId5"/>
    <sheet name="contas a pagar" sheetId="82" r:id="rId6"/>
    <sheet name="CONTAS A RECEBER VIA MINAS" sheetId="61" r:id="rId7"/>
    <sheet name="Planilha3" sheetId="79" r:id="rId8"/>
    <sheet name="Planilha2" sheetId="78" r:id="rId9"/>
    <sheet name="Planilha5" sheetId="81" r:id="rId10"/>
    <sheet name="MAIS SOLUÇÕE" sheetId="72" r:id="rId11"/>
    <sheet name="RECISÃO DO FÁBIO" sheetId="71" r:id="rId12"/>
    <sheet name="BROTHER'S COMERCIO" sheetId="74" r:id="rId13"/>
    <sheet name="AGREGADOS " sheetId="60" r:id="rId14"/>
  </sheets>
  <externalReferences>
    <externalReference r:id="rId15"/>
  </externalReferences>
  <definedNames>
    <definedName name="_xlnm._FilterDatabase" localSheetId="13" hidden="1">'AGREGADOS '!$A$2:$V$59</definedName>
    <definedName name="_xlnm._FilterDatabase" localSheetId="1" hidden="1">'AGREGADOS  (2)'!$A$2:$T$39</definedName>
    <definedName name="_xlnm._FilterDatabase" localSheetId="0" hidden="1">'CONTAS A PAGAR VM  07-26 (2)'!$A$2:$R$169</definedName>
    <definedName name="_xlnm._FilterDatabase" localSheetId="4" hidden="1">'CONTAS A PAGAR VM  2026'!$A$2:$M$865</definedName>
    <definedName name="_xlnm._FilterDatabase" localSheetId="6" hidden="1">'CONTAS A RECEBER VIA MINAS'!$A$2:$AL$641</definedName>
    <definedName name="_xlnm._FilterDatabase" localSheetId="2" hidden="1">'CONTAS A RECEBER VIA MINAS (2)'!$A$2:$T$186</definedName>
    <definedName name="_xlnm._FilterDatabase" localSheetId="9" hidden="1">Planilha5!$A$1:$AR$1</definedName>
    <definedName name="CC">#REF!</definedName>
    <definedName name="GABRIE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82" l="1"/>
  <c r="E15" i="82"/>
  <c r="E14" i="82"/>
  <c r="H1" i="82"/>
  <c r="E17" i="63"/>
  <c r="E16" i="63"/>
  <c r="E15" i="63"/>
  <c r="E14" i="63"/>
  <c r="G188" i="63"/>
  <c r="E189" i="63"/>
  <c r="E188" i="63"/>
  <c r="E187" i="63"/>
  <c r="E186" i="63"/>
  <c r="H634" i="61"/>
  <c r="H633" i="61"/>
  <c r="H632" i="61"/>
  <c r="H601" i="61"/>
  <c r="H285" i="61"/>
  <c r="H441" i="61"/>
  <c r="H406" i="61"/>
  <c r="E445" i="61"/>
  <c r="E583" i="61"/>
  <c r="E24" i="63"/>
  <c r="E177" i="63"/>
  <c r="E183" i="63"/>
  <c r="E13" i="63" l="1"/>
  <c r="E434" i="63"/>
  <c r="H438" i="61"/>
  <c r="E438" i="61"/>
  <c r="E582" i="61"/>
  <c r="E433" i="63"/>
  <c r="AJ2" i="81"/>
  <c r="AD61" i="81"/>
  <c r="AC61" i="81"/>
  <c r="AB61" i="81"/>
  <c r="AA61" i="81"/>
  <c r="AD60" i="81"/>
  <c r="AC60" i="81"/>
  <c r="AB60" i="81"/>
  <c r="AA60" i="81"/>
  <c r="AC59" i="81"/>
  <c r="AB59" i="81"/>
  <c r="AA59" i="81"/>
  <c r="AC58" i="81"/>
  <c r="AB58" i="81"/>
  <c r="AA58" i="81"/>
  <c r="AC57" i="81"/>
  <c r="AB57" i="81"/>
  <c r="AA57" i="81"/>
  <c r="AC56" i="81"/>
  <c r="AB56" i="81"/>
  <c r="AA56" i="81"/>
  <c r="AC55" i="81"/>
  <c r="AB55" i="81"/>
  <c r="AA55" i="81"/>
  <c r="AC54" i="81"/>
  <c r="AB54" i="81"/>
  <c r="AA54" i="81"/>
  <c r="AD53" i="81"/>
  <c r="AC53" i="81"/>
  <c r="AB53" i="81"/>
  <c r="AA53" i="81"/>
  <c r="AD52" i="81"/>
  <c r="AC52" i="81"/>
  <c r="AB52" i="81"/>
  <c r="AA52" i="81"/>
  <c r="AD51" i="81"/>
  <c r="AC51" i="81"/>
  <c r="AB51" i="81"/>
  <c r="AA51" i="81"/>
  <c r="AD50" i="81"/>
  <c r="AC50" i="81"/>
  <c r="AB50" i="81"/>
  <c r="AA50" i="81"/>
  <c r="AC49" i="81"/>
  <c r="AB49" i="81"/>
  <c r="AA49" i="81"/>
  <c r="AC48" i="81"/>
  <c r="AB48" i="81"/>
  <c r="AA48" i="81"/>
  <c r="AD47" i="81"/>
  <c r="AC47" i="81"/>
  <c r="AB47" i="81"/>
  <c r="AA47" i="81"/>
  <c r="AD46" i="81"/>
  <c r="AC46" i="81"/>
  <c r="AB46" i="81"/>
  <c r="AA46" i="81"/>
  <c r="AD45" i="81"/>
  <c r="AC45" i="81"/>
  <c r="AB45" i="81"/>
  <c r="AA45" i="81"/>
  <c r="AD44" i="81"/>
  <c r="AC44" i="81"/>
  <c r="AB44" i="81"/>
  <c r="AA44" i="81"/>
  <c r="AC43" i="81"/>
  <c r="AB43" i="81"/>
  <c r="AA43" i="81"/>
  <c r="AC42" i="81"/>
  <c r="AB42" i="81"/>
  <c r="AA42" i="81"/>
  <c r="AC41" i="81"/>
  <c r="AB41" i="81"/>
  <c r="AA41" i="81"/>
  <c r="AC40" i="81"/>
  <c r="AB40" i="81"/>
  <c r="AA40" i="81"/>
  <c r="AD39" i="81"/>
  <c r="AC39" i="81"/>
  <c r="AB39" i="81"/>
  <c r="AA39" i="81"/>
  <c r="AD38" i="81"/>
  <c r="AC38" i="81"/>
  <c r="AB38" i="81"/>
  <c r="AA38" i="81"/>
  <c r="AD37" i="81"/>
  <c r="AC37" i="81"/>
  <c r="AB37" i="81"/>
  <c r="AA37" i="81"/>
  <c r="AD36" i="81"/>
  <c r="AC36" i="81"/>
  <c r="AB36" i="81"/>
  <c r="AA36" i="81"/>
  <c r="AC35" i="81"/>
  <c r="AB35" i="81"/>
  <c r="AA35" i="81"/>
  <c r="AC34" i="81"/>
  <c r="AB34" i="81"/>
  <c r="AA34" i="81"/>
  <c r="AC33" i="81"/>
  <c r="AB33" i="81"/>
  <c r="AA33" i="81"/>
  <c r="AC32" i="81"/>
  <c r="AB32" i="81"/>
  <c r="AA32" i="81"/>
  <c r="AC31" i="81"/>
  <c r="AB31" i="81"/>
  <c r="AA31" i="81"/>
  <c r="AC30" i="81"/>
  <c r="AB30" i="81"/>
  <c r="AA30" i="81"/>
  <c r="AD29" i="81"/>
  <c r="AC29" i="81"/>
  <c r="AB29" i="81"/>
  <c r="AA29" i="81"/>
  <c r="AD28" i="81"/>
  <c r="AC28" i="81"/>
  <c r="AB28" i="81"/>
  <c r="AA28" i="81"/>
  <c r="AC27" i="81"/>
  <c r="AB27" i="81"/>
  <c r="AA27" i="81"/>
  <c r="AC26" i="81"/>
  <c r="AB26" i="81"/>
  <c r="AA26" i="81"/>
  <c r="AC25" i="81"/>
  <c r="AB25" i="81"/>
  <c r="AA25" i="81"/>
  <c r="AC24" i="81"/>
  <c r="AB24" i="81"/>
  <c r="AA24" i="81"/>
  <c r="AC23" i="81"/>
  <c r="AB23" i="81"/>
  <c r="AA23" i="81"/>
  <c r="AC22" i="81"/>
  <c r="AB22" i="81"/>
  <c r="AA22" i="81"/>
  <c r="AD21" i="81"/>
  <c r="AC21" i="81"/>
  <c r="AB21" i="81"/>
  <c r="AA21" i="81"/>
  <c r="AD20" i="81"/>
  <c r="AC20" i="81"/>
  <c r="AB20" i="81"/>
  <c r="AA20" i="81"/>
  <c r="AC19" i="81"/>
  <c r="AB19" i="81"/>
  <c r="AA19" i="81"/>
  <c r="AC18" i="81"/>
  <c r="AB18" i="81"/>
  <c r="AA18" i="81"/>
  <c r="AC17" i="81"/>
  <c r="AB17" i="81"/>
  <c r="AA17" i="81"/>
  <c r="AC16" i="81"/>
  <c r="AB16" i="81"/>
  <c r="AA16" i="81"/>
  <c r="AC15" i="81"/>
  <c r="AB15" i="81"/>
  <c r="AA15" i="81"/>
  <c r="AC14" i="81"/>
  <c r="AB14" i="81"/>
  <c r="AA14" i="81"/>
  <c r="AC13" i="81"/>
  <c r="AB13" i="81"/>
  <c r="AA13" i="81"/>
  <c r="AC12" i="81"/>
  <c r="AB12" i="81"/>
  <c r="AA12" i="81"/>
  <c r="AC11" i="81"/>
  <c r="AB11" i="81"/>
  <c r="AA11" i="81"/>
  <c r="AC10" i="81"/>
  <c r="AB10" i="81"/>
  <c r="AA10" i="81"/>
  <c r="AC9" i="81"/>
  <c r="AB9" i="81"/>
  <c r="AA9" i="81"/>
  <c r="AC8" i="81"/>
  <c r="AB8" i="81"/>
  <c r="AA8" i="81"/>
  <c r="AC7" i="81"/>
  <c r="AB7" i="81"/>
  <c r="AA7" i="81"/>
  <c r="AC6" i="81"/>
  <c r="AB6" i="81"/>
  <c r="AA6" i="81"/>
  <c r="AC5" i="81"/>
  <c r="AB5" i="81"/>
  <c r="AA5" i="81"/>
  <c r="AC4" i="81"/>
  <c r="AB4" i="81"/>
  <c r="AA4" i="81"/>
  <c r="AC3" i="81"/>
  <c r="AB3" i="81"/>
  <c r="AA3" i="81"/>
  <c r="AC2" i="81"/>
  <c r="AB2" i="81"/>
  <c r="AA2" i="81"/>
  <c r="H545" i="61" l="1"/>
  <c r="H547" i="61"/>
  <c r="H546" i="61"/>
  <c r="H387" i="61"/>
  <c r="H440" i="61"/>
  <c r="E408" i="61"/>
  <c r="H382" i="61"/>
  <c r="E382" i="61"/>
  <c r="E387" i="61"/>
  <c r="E407" i="61"/>
  <c r="E182" i="63"/>
  <c r="E179" i="63"/>
  <c r="E178" i="63"/>
  <c r="E765" i="63"/>
  <c r="H408" i="61" l="1"/>
  <c r="H400" i="61"/>
  <c r="E668" i="63"/>
  <c r="E546" i="61" l="1"/>
  <c r="E545" i="61"/>
  <c r="E6" i="79"/>
  <c r="E37" i="63"/>
  <c r="E39" i="63"/>
  <c r="E36" i="63"/>
  <c r="H399" i="61" l="1"/>
  <c r="H398" i="61"/>
  <c r="E354" i="61"/>
  <c r="H26" i="61"/>
  <c r="H410" i="61" s="1"/>
  <c r="H445" i="61" s="1"/>
  <c r="H380" i="61"/>
  <c r="K26" i="78" l="1"/>
  <c r="I27" i="78" s="1"/>
  <c r="I26" i="78"/>
  <c r="E170" i="63"/>
  <c r="E171" i="63"/>
  <c r="K15" i="78" l="1"/>
  <c r="I15" i="78"/>
  <c r="K7" i="78"/>
  <c r="I7" i="78"/>
  <c r="E15" i="78"/>
  <c r="C15" i="78"/>
  <c r="C7" i="78"/>
  <c r="E7" i="78"/>
  <c r="H323" i="61"/>
  <c r="H304" i="61"/>
  <c r="E423" i="63"/>
  <c r="E422" i="63"/>
  <c r="D17" i="78" l="1"/>
  <c r="E427" i="63"/>
  <c r="E426" i="63"/>
  <c r="H371" i="61"/>
  <c r="H335" i="61"/>
  <c r="H334" i="61"/>
  <c r="H325" i="61"/>
  <c r="H324" i="61"/>
  <c r="H290" i="61"/>
  <c r="H289" i="61"/>
  <c r="H288" i="61"/>
  <c r="H374" i="61"/>
  <c r="H369" i="61"/>
  <c r="H13" i="71"/>
  <c r="H16" i="71" s="1"/>
  <c r="H19" i="71" s="1"/>
  <c r="H15" i="71"/>
  <c r="H14" i="71"/>
  <c r="H12" i="71"/>
  <c r="H11" i="71"/>
  <c r="L17" i="71" l="1"/>
  <c r="L12" i="71"/>
  <c r="L7" i="71"/>
  <c r="H365" i="61" l="1"/>
  <c r="H367" i="61"/>
  <c r="H364" i="61"/>
  <c r="H585" i="61"/>
  <c r="H40" i="61"/>
  <c r="E168" i="63" l="1"/>
  <c r="E167" i="63"/>
  <c r="D1048562" i="72" l="1"/>
  <c r="H277" i="61" l="1"/>
  <c r="H286" i="61"/>
  <c r="H586" i="61"/>
  <c r="H602" i="61"/>
  <c r="H603" i="61"/>
  <c r="H604" i="61"/>
  <c r="H560" i="61"/>
  <c r="H581" i="61"/>
  <c r="I581" i="61" s="1"/>
  <c r="H276" i="61" l="1"/>
  <c r="H275" i="61"/>
  <c r="H274" i="61"/>
  <c r="E38" i="61" l="1"/>
  <c r="E37" i="61"/>
  <c r="H272" i="61" l="1"/>
  <c r="H271" i="61"/>
  <c r="H270" i="61"/>
  <c r="E416" i="63"/>
  <c r="H268" i="61" l="1"/>
  <c r="H278" i="61"/>
  <c r="H213" i="61" l="1"/>
  <c r="H244" i="61" l="1"/>
  <c r="H243" i="61"/>
  <c r="H242" i="61"/>
  <c r="H241" i="61"/>
  <c r="H240" i="61"/>
  <c r="H239" i="61"/>
  <c r="H238" i="61"/>
  <c r="H237" i="61"/>
  <c r="H236" i="61"/>
  <c r="H235" i="61"/>
  <c r="H232" i="61"/>
  <c r="H231" i="61"/>
  <c r="H230" i="61"/>
  <c r="H228" i="61"/>
  <c r="H227" i="61"/>
  <c r="H226" i="61"/>
  <c r="H224" i="61"/>
  <c r="D14" i="71"/>
  <c r="D13" i="71"/>
  <c r="D12" i="71"/>
  <c r="D11" i="71"/>
  <c r="D16" i="71" l="1"/>
  <c r="D15" i="71"/>
  <c r="E174" i="61"/>
  <c r="E173" i="61"/>
  <c r="E172" i="61"/>
  <c r="E171" i="61"/>
  <c r="E170" i="61"/>
  <c r="E169" i="61"/>
  <c r="E168" i="61"/>
  <c r="E167" i="61"/>
  <c r="E166" i="61"/>
  <c r="E142" i="61"/>
  <c r="E141" i="61"/>
  <c r="E146" i="61"/>
  <c r="E145" i="61"/>
  <c r="E140" i="61"/>
  <c r="E139" i="61"/>
  <c r="E165" i="61"/>
  <c r="E164" i="61"/>
  <c r="E163" i="61"/>
  <c r="E162" i="61"/>
  <c r="E161" i="61"/>
  <c r="E160" i="61"/>
  <c r="E159" i="61"/>
  <c r="E158" i="61"/>
  <c r="E157" i="61"/>
  <c r="E156" i="61"/>
  <c r="E155" i="61"/>
  <c r="E154" i="61"/>
  <c r="E153" i="61"/>
  <c r="E152" i="61"/>
  <c r="E150" i="61"/>
  <c r="E149" i="61"/>
  <c r="E148" i="61"/>
  <c r="E147" i="61"/>
  <c r="E144" i="61"/>
  <c r="E143" i="61"/>
  <c r="E138" i="61"/>
  <c r="E136" i="61"/>
  <c r="E135" i="61"/>
  <c r="E134" i="61"/>
  <c r="E137" i="61"/>
  <c r="E133" i="61"/>
  <c r="E128" i="61"/>
  <c r="E130" i="61"/>
  <c r="E129" i="61"/>
  <c r="E126" i="61"/>
  <c r="E125" i="61"/>
  <c r="E124" i="61"/>
  <c r="E123" i="61"/>
  <c r="E132" i="61"/>
  <c r="E131" i="61"/>
  <c r="E127" i="61"/>
  <c r="E122" i="61"/>
  <c r="E121" i="61"/>
  <c r="H218" i="61"/>
  <c r="H214" i="61" l="1"/>
  <c r="H217" i="61"/>
  <c r="H216" i="61"/>
  <c r="H215" i="61"/>
  <c r="E588" i="63" l="1"/>
  <c r="H179" i="61" l="1"/>
  <c r="H180" i="61"/>
  <c r="H183" i="61"/>
  <c r="H184" i="61"/>
  <c r="H190" i="61"/>
  <c r="H192" i="61"/>
  <c r="H193" i="61"/>
  <c r="H194" i="61"/>
  <c r="H195" i="61"/>
  <c r="H196" i="61"/>
  <c r="H197" i="61"/>
  <c r="H208" i="61"/>
  <c r="H209" i="61"/>
  <c r="H210" i="61"/>
  <c r="H211" i="61"/>
  <c r="H198" i="61"/>
  <c r="H199" i="61"/>
  <c r="H202" i="61"/>
  <c r="H203" i="61"/>
  <c r="H204" i="61"/>
  <c r="H205" i="61"/>
  <c r="H206" i="61"/>
  <c r="H207" i="61"/>
  <c r="H178" i="61"/>
  <c r="H182" i="61"/>
  <c r="H181" i="61"/>
  <c r="H173" i="61" l="1"/>
  <c r="H174" i="61"/>
  <c r="G170" i="68"/>
  <c r="G171" i="68"/>
  <c r="G172" i="68"/>
  <c r="G173" i="68"/>
  <c r="G174" i="68"/>
  <c r="G175" i="68"/>
  <c r="G176" i="68"/>
  <c r="G177" i="68"/>
  <c r="G178" i="68"/>
  <c r="G179" i="68"/>
  <c r="G180" i="68"/>
  <c r="G181" i="68"/>
  <c r="G182" i="68"/>
  <c r="G183" i="68"/>
  <c r="G184" i="68"/>
  <c r="G185" i="68"/>
  <c r="K186" i="68"/>
  <c r="D81" i="68"/>
  <c r="G81" i="68"/>
  <c r="G82" i="68"/>
  <c r="G83" i="68"/>
  <c r="G84" i="68"/>
  <c r="G85" i="68"/>
  <c r="D86" i="68"/>
  <c r="G86" i="68"/>
  <c r="G87" i="68"/>
  <c r="G88" i="68"/>
  <c r="G89" i="68"/>
  <c r="G90" i="68"/>
  <c r="D92" i="68"/>
  <c r="G92" i="68"/>
  <c r="G93" i="68"/>
  <c r="G94" i="68"/>
  <c r="G95" i="68"/>
  <c r="G96" i="68"/>
  <c r="D97" i="68"/>
  <c r="G97" i="68"/>
  <c r="G98" i="68"/>
  <c r="G99" i="68"/>
  <c r="G100" i="68"/>
  <c r="G101" i="68"/>
  <c r="D102" i="68"/>
  <c r="G102" i="68"/>
  <c r="G103" i="68"/>
  <c r="G104" i="68"/>
  <c r="G105" i="68"/>
  <c r="G106" i="68"/>
  <c r="D107" i="68"/>
  <c r="G107" i="68"/>
  <c r="G108" i="68"/>
  <c r="G109" i="68"/>
  <c r="G110" i="68"/>
  <c r="G111" i="68"/>
  <c r="G112" i="68"/>
  <c r="D113" i="68"/>
  <c r="G113" i="68"/>
  <c r="G114" i="68"/>
  <c r="G115" i="68"/>
  <c r="D116" i="68"/>
  <c r="G116" i="68"/>
  <c r="G117" i="68"/>
  <c r="G118" i="68"/>
  <c r="G119" i="68"/>
  <c r="G120" i="68"/>
  <c r="D121" i="68"/>
  <c r="G121" i="68"/>
  <c r="G122" i="68"/>
  <c r="G123" i="68"/>
  <c r="G124" i="68"/>
  <c r="D125" i="68"/>
  <c r="G125" i="68"/>
  <c r="G126" i="68"/>
  <c r="G127" i="68"/>
  <c r="G128" i="68"/>
  <c r="G129" i="68"/>
  <c r="G130" i="68"/>
  <c r="D131" i="68"/>
  <c r="G131" i="68"/>
  <c r="G132" i="68"/>
  <c r="G133" i="68"/>
  <c r="G134" i="68"/>
  <c r="G135" i="68"/>
  <c r="D136" i="68"/>
  <c r="G136" i="68"/>
  <c r="G137" i="68"/>
  <c r="G138" i="68"/>
  <c r="G139" i="68"/>
  <c r="G140" i="68"/>
  <c r="D141" i="68"/>
  <c r="G141" i="68"/>
  <c r="G142" i="68"/>
  <c r="G143" i="68"/>
  <c r="G144" i="68"/>
  <c r="G145" i="68"/>
  <c r="G146" i="68"/>
  <c r="D147" i="68"/>
  <c r="G147" i="68"/>
  <c r="G148" i="68"/>
  <c r="G149" i="68"/>
  <c r="G150" i="68"/>
  <c r="D151" i="68"/>
  <c r="G151" i="68"/>
  <c r="G152" i="68"/>
  <c r="G153" i="68"/>
  <c r="G154" i="68"/>
  <c r="G155" i="68"/>
  <c r="G156" i="68"/>
  <c r="G157" i="68"/>
  <c r="G158" i="68"/>
  <c r="G159" i="68"/>
  <c r="G160" i="68"/>
  <c r="G161" i="68"/>
  <c r="H1" i="68"/>
  <c r="D3" i="68"/>
  <c r="G10" i="68"/>
  <c r="D11" i="68"/>
  <c r="G11" i="68"/>
  <c r="G12" i="68"/>
  <c r="G13" i="68"/>
  <c r="G14" i="68"/>
  <c r="G15" i="68"/>
  <c r="G16" i="68"/>
  <c r="G17" i="68"/>
  <c r="G18" i="68"/>
  <c r="G19" i="68"/>
  <c r="G20" i="68"/>
  <c r="G21" i="68"/>
  <c r="G22" i="68"/>
  <c r="G23" i="68"/>
  <c r="G24" i="68"/>
  <c r="G25" i="68"/>
  <c r="G26" i="68"/>
  <c r="G27" i="68"/>
  <c r="G28" i="68"/>
  <c r="G29" i="68"/>
  <c r="G30" i="68"/>
  <c r="G31" i="68"/>
  <c r="G32" i="68"/>
  <c r="G33" i="68"/>
  <c r="G34" i="68"/>
  <c r="G35" i="68"/>
  <c r="G36" i="68"/>
  <c r="G37" i="68"/>
  <c r="G38" i="68"/>
  <c r="G39" i="68"/>
  <c r="G40" i="68"/>
  <c r="G41" i="68"/>
  <c r="G42" i="68"/>
  <c r="G43" i="68"/>
  <c r="G44" i="68"/>
  <c r="G45" i="68"/>
  <c r="G46" i="68"/>
  <c r="G47" i="68"/>
  <c r="G48" i="68"/>
  <c r="G49" i="68"/>
  <c r="G50" i="68"/>
  <c r="G51" i="68"/>
  <c r="G52" i="68"/>
  <c r="G53" i="68"/>
  <c r="G54" i="68"/>
  <c r="D55" i="68"/>
  <c r="G55" i="68"/>
  <c r="G56" i="68"/>
  <c r="G57" i="68"/>
  <c r="G58" i="68"/>
  <c r="G59" i="68"/>
  <c r="D60" i="68"/>
  <c r="G60" i="68"/>
  <c r="G61" i="68"/>
  <c r="G62" i="68"/>
  <c r="G63" i="68"/>
  <c r="D64" i="68"/>
  <c r="G64" i="68"/>
  <c r="G65" i="68"/>
  <c r="G66" i="68"/>
  <c r="G67" i="68"/>
  <c r="H51" i="67"/>
  <c r="K51" i="67"/>
  <c r="D44" i="67"/>
  <c r="H1" i="67"/>
  <c r="D171" i="66"/>
  <c r="G87" i="66"/>
  <c r="J87" i="66"/>
  <c r="G88" i="66"/>
  <c r="G89" i="66"/>
  <c r="G91" i="66"/>
  <c r="D108" i="66"/>
  <c r="G108" i="66"/>
  <c r="J108" i="66"/>
  <c r="D109" i="66"/>
  <c r="G109" i="66" s="1"/>
  <c r="J109" i="66"/>
  <c r="G111" i="66"/>
  <c r="J111" i="66"/>
  <c r="G146" i="66"/>
  <c r="G166" i="66"/>
  <c r="J166" i="66"/>
  <c r="G1" i="66"/>
  <c r="G3" i="66"/>
  <c r="G4" i="66"/>
  <c r="J4" i="66"/>
  <c r="J168" i="66" s="1"/>
  <c r="J3" i="66" s="1"/>
  <c r="G5" i="66"/>
  <c r="D28" i="66"/>
  <c r="D30" i="66"/>
  <c r="D32" i="66"/>
  <c r="D33" i="66"/>
  <c r="G33" i="66"/>
  <c r="J33" i="66"/>
  <c r="D34" i="66"/>
  <c r="D35" i="66"/>
  <c r="D43" i="66"/>
  <c r="D45" i="66"/>
  <c r="G50" i="66"/>
  <c r="J50" i="66"/>
  <c r="G57" i="66"/>
  <c r="J57" i="66"/>
  <c r="G67" i="66"/>
  <c r="J67" i="66"/>
  <c r="G68" i="66"/>
  <c r="J68" i="66"/>
  <c r="G71" i="66"/>
  <c r="J71" i="66"/>
  <c r="G77" i="66"/>
  <c r="J77" i="66"/>
  <c r="G79" i="66"/>
  <c r="J79" i="66"/>
  <c r="G80" i="66"/>
  <c r="J80" i="66"/>
  <c r="G81" i="66"/>
  <c r="G82" i="66"/>
  <c r="H139" i="61" l="1"/>
  <c r="H140" i="61"/>
  <c r="H145" i="61"/>
  <c r="H146" i="61"/>
  <c r="H141" i="61"/>
  <c r="H142" i="61"/>
  <c r="H161" i="61"/>
  <c r="H162" i="61"/>
  <c r="H163" i="61"/>
  <c r="H164" i="61"/>
  <c r="H165" i="61"/>
  <c r="H156" i="61"/>
  <c r="H157" i="61"/>
  <c r="H158" i="61"/>
  <c r="H159" i="61"/>
  <c r="H160" i="61"/>
  <c r="H151" i="61" l="1"/>
  <c r="H152" i="61"/>
  <c r="H153" i="61"/>
  <c r="H154" i="61"/>
  <c r="H155" i="61"/>
  <c r="H150" i="61"/>
  <c r="H144" i="61"/>
  <c r="H147" i="61"/>
  <c r="H148" i="61"/>
  <c r="H149" i="61"/>
  <c r="H136" i="61"/>
  <c r="H128" i="61"/>
  <c r="H133" i="61"/>
  <c r="H123" i="61"/>
  <c r="H124" i="61"/>
  <c r="H125" i="61"/>
  <c r="H126" i="61"/>
  <c r="H129" i="61"/>
  <c r="H130" i="61"/>
  <c r="H132" i="61"/>
  <c r="H121" i="61"/>
  <c r="H122" i="61"/>
  <c r="H127" i="61"/>
  <c r="H131" i="61"/>
  <c r="H134" i="61"/>
  <c r="H135" i="61"/>
  <c r="H138" i="61"/>
  <c r="H143" i="61"/>
  <c r="H137" i="61" l="1"/>
  <c r="E866" i="63" l="1"/>
  <c r="H1" i="63"/>
  <c r="H112" i="61"/>
  <c r="H119" i="61"/>
  <c r="H120" i="61"/>
  <c r="H113" i="61"/>
  <c r="H114" i="61"/>
  <c r="H115" i="61"/>
  <c r="H116" i="61"/>
  <c r="H117" i="61"/>
  <c r="H118" i="61"/>
  <c r="H111" i="61"/>
  <c r="H102" i="61"/>
  <c r="H105" i="61"/>
  <c r="H106" i="61"/>
  <c r="H103" i="61"/>
  <c r="H104" i="61"/>
  <c r="H107" i="61"/>
  <c r="H108" i="61"/>
  <c r="H109" i="61"/>
  <c r="H110" i="61"/>
  <c r="H101" i="61"/>
  <c r="H95" i="61" l="1"/>
  <c r="H96" i="61"/>
  <c r="H97" i="61"/>
  <c r="H99" i="61"/>
  <c r="H90" i="61"/>
  <c r="H98" i="61"/>
  <c r="H100" i="61"/>
  <c r="H89" i="61"/>
  <c r="H93" i="61"/>
  <c r="H94" i="61"/>
  <c r="H91" i="61"/>
  <c r="H92" i="61"/>
  <c r="H82" i="61"/>
  <c r="H80" i="61"/>
  <c r="H73" i="61"/>
  <c r="H74" i="61"/>
  <c r="H65" i="61"/>
  <c r="H69" i="61"/>
  <c r="H59" i="61"/>
  <c r="H62" i="61"/>
  <c r="H70" i="61"/>
  <c r="H61" i="61" l="1"/>
  <c r="H46" i="61"/>
  <c r="H49" i="61"/>
  <c r="H50" i="61"/>
  <c r="H71" i="61"/>
  <c r="H72" i="61"/>
  <c r="H51" i="61"/>
  <c r="H52" i="61"/>
  <c r="H53" i="61"/>
  <c r="H54" i="61"/>
  <c r="H55" i="61"/>
  <c r="H56" i="61"/>
  <c r="H57" i="61"/>
  <c r="H58" i="61"/>
  <c r="H60" i="61"/>
  <c r="H63" i="61"/>
  <c r="H64" i="61"/>
  <c r="H66" i="61"/>
  <c r="H67" i="61"/>
  <c r="H68" i="61"/>
  <c r="H87" i="61"/>
  <c r="H88" i="61"/>
  <c r="H86" i="61"/>
  <c r="H85" i="61"/>
  <c r="H83" i="61"/>
  <c r="H84" i="61"/>
  <c r="H81" i="61"/>
  <c r="H79" i="61"/>
  <c r="H77" i="61"/>
  <c r="H78" i="61"/>
  <c r="H75" i="61"/>
  <c r="H76" i="61"/>
  <c r="H44" i="61"/>
  <c r="H45" i="61"/>
  <c r="H47" i="61"/>
  <c r="H48" i="61"/>
  <c r="H34" i="61" l="1"/>
  <c r="J1" i="61" l="1"/>
  <c r="M62" i="60"/>
  <c r="J62" i="60"/>
  <c r="J1" i="60"/>
</calcChain>
</file>

<file path=xl/sharedStrings.xml><?xml version="1.0" encoding="utf-8"?>
<sst xmlns="http://schemas.openxmlformats.org/spreadsheetml/2006/main" count="9250" uniqueCount="2090">
  <si>
    <t>CONTAS A PAGAR</t>
  </si>
  <si>
    <t>DATA ATUAL:</t>
  </si>
  <si>
    <t>A PAGAR FUTURO</t>
  </si>
  <si>
    <t>Data</t>
  </si>
  <si>
    <t>9*</t>
  </si>
  <si>
    <t>Doc.</t>
  </si>
  <si>
    <t>Valor</t>
  </si>
  <si>
    <t>Vcto.</t>
  </si>
  <si>
    <t>Pagto.</t>
  </si>
  <si>
    <t>Saldo</t>
  </si>
  <si>
    <t>POR DATA</t>
  </si>
  <si>
    <t>observação</t>
  </si>
  <si>
    <t>Cartão Nanquim/Bradesco QPM</t>
  </si>
  <si>
    <t>siccred</t>
  </si>
  <si>
    <t>VENCIDAS</t>
  </si>
  <si>
    <t>do dia 30/11 para trás é do Juan , o restante é do QPM - (Do Juan é netshoes / Nike / select / Google play / azul , o restante é do QPM , incluindo a anuidade )</t>
  </si>
  <si>
    <t>Aluguel da carreta - QPM</t>
  </si>
  <si>
    <t>(15) 99615-3876 - José Antônio Vieira de Moraes -Banco do Brasil</t>
  </si>
  <si>
    <t xml:space="preserve">Contabilidade Via Minas </t>
  </si>
  <si>
    <t>SICRED</t>
  </si>
  <si>
    <t>Jose Fabiano Da Silva - adiantamento viagem mariporam xcmg</t>
  </si>
  <si>
    <t xml:space="preserve">Pagamento Salario  Marcos </t>
  </si>
  <si>
    <t>Banco Itaú - Chave pix Celular (31)98468-6368 -Marcos Vinícius Magalhães Mattos</t>
  </si>
  <si>
    <t xml:space="preserve">Pagamento comissão Samuel </t>
  </si>
  <si>
    <t>11 98486-0262 -1,5% do faturamento da ventana SEMPRE COLOCAR MEDIA DE 14.000,00 POR FATURAMWNTO ( SEMPRE PEDIR JUAN PLANILHA)</t>
  </si>
  <si>
    <t>E-frete</t>
  </si>
  <si>
    <t>Royal Assessoria- joabson operacao porto</t>
  </si>
  <si>
    <t>pagamento  salario wellington</t>
  </si>
  <si>
    <t>Wellington Moreira dos Santos -Banco Itau Pix: 31986291372</t>
  </si>
  <si>
    <t>pagamento salario  lais</t>
  </si>
  <si>
    <t>SEM PARAR</t>
  </si>
  <si>
    <t xml:space="preserve">
Mercado Pago Instituicao De Pagamento Ltda</t>
  </si>
  <si>
    <t>itau</t>
  </si>
  <si>
    <t>MARCO ANTONIO DE SOUZA ( emprestimo )</t>
  </si>
  <si>
    <t>ALAVANCA TRANSPORTES E REMOCAO- guindaste para tirar carretas</t>
  </si>
  <si>
    <t>ROGERIO SIDNEI CANALLI- descida da serra sez</t>
  </si>
  <si>
    <t xml:space="preserve">
Deposito Do Apito E Locacoes</t>
  </si>
  <si>
    <t>POSTO DE MOLAS CAETANO</t>
  </si>
  <si>
    <t>Via Minas Logistica Ltda ( envio par sicred)</t>
  </si>
  <si>
    <t>Sergio Luiz De Freitas 79715699634</t>
  </si>
  <si>
    <t>Henrique Miguel De Souza - placa traseira carreta qpm</t>
  </si>
  <si>
    <t>Uber Do Brasil Tecnologia Ltda.</t>
  </si>
  <si>
    <t xml:space="preserve">
Uber Do Brasil Tecnologia Ltda</t>
  </si>
  <si>
    <t>E-frete-pedagio Elo</t>
  </si>
  <si>
    <t>Detran/rs</t>
  </si>
  <si>
    <t xml:space="preserve">pagamento salario flavia </t>
  </si>
  <si>
    <t xml:space="preserve">pix 31994087597 - 62 212 009 Flavia Gomes Leite </t>
  </si>
  <si>
    <t>pagamento salario gilson</t>
  </si>
  <si>
    <t>Pagamento do motorista 40% do salário fixo - Motorista QPM ( Ruan)</t>
  </si>
  <si>
    <t>12195145609 - Ruan Augusto 
O salário dele é de 3.352,00 e o adiantamento de 1.340,80</t>
  </si>
  <si>
    <t>Vinicius Moraes De Souza - VIRA CONTAINERS</t>
  </si>
  <si>
    <t>Pagamentoo do motorista 40% do salário fixo - Motorista SEV ( sergio)</t>
  </si>
  <si>
    <t>PIX sergiosilvaferreira99@gmail.com</t>
  </si>
  <si>
    <t>pagamento do motorista 40% do salário fixo - Motorista SEZ (FABIO)</t>
  </si>
  <si>
    <t>pix fabiogoncalves9181@gmail.com   SALÁRIO 9 EIXO 
1. Salário: 3352,00
2. Diária:150,00
3. Bonificação :1000,00 bonus de manutenção, limpeza e sem prejuízo ao caminhão
4. Bonus acima de 7 viagens 1000,00
5. Número de viagens 180,00</t>
  </si>
  <si>
    <t>pagamento do motorista 40% do salário fixo - Motorista RME (JOAO BATISTA)</t>
  </si>
  <si>
    <t>Joao Batista Coelho PIX 614.018.206-97</t>
  </si>
  <si>
    <t>pagamento do motorista 40% do salário fixo - Motorista RFX ( LEONARDO)</t>
  </si>
  <si>
    <t>Leonardo Silva Correa PIX: 3199678-1551</t>
  </si>
  <si>
    <t>TRUCKS CONTROL - SERVICOS DE LOGISTICA LTDA -  instalação de rastreadores SEZ8G61</t>
  </si>
  <si>
    <t>TRUCKS CONTROL - SERVICOS DE LOGISTICA LTDA-  instalação de rastreadores  QXN7E17</t>
  </si>
  <si>
    <t>TRUCKS CONTROL - SERVICOS DE LOGISTICA LTDA-  instalação de rastreadores  POZ6F28</t>
  </si>
  <si>
    <t>FRETE NEXT  - PARA LUAN COMISSÃO</t>
  </si>
  <si>
    <t>Pix 31998487972 Luan Rodrigues - Nunbank</t>
  </si>
  <si>
    <t xml:space="preserve">FROTA162 TECNOLOGIA E INTERMEDIACAO  - Multas </t>
  </si>
  <si>
    <t>pix 45.399.586/0001-47</t>
  </si>
  <si>
    <t>GR PARCERIA</t>
  </si>
  <si>
    <t xml:space="preserve"> TRUCK PAG - ABASTECIMENTO fatura 2846931</t>
  </si>
  <si>
    <t xml:space="preserve">Mineiroca Beach Wear  ( mês  08/26 será a ultima parcela e vamos pagar apenas 1000,00 +2% juros </t>
  </si>
  <si>
    <t>Mineiroca Beach Wear 
Banco Itaú 
Ag 1382
C c 99535-3
chave Pix CNPJ: 47114870000155-Todo 4.000,00 todo dia 8</t>
  </si>
  <si>
    <t xml:space="preserve">SEM PARAR </t>
  </si>
  <si>
    <t>Marcus Vinicius - Reembolso Pendrive e uber</t>
  </si>
  <si>
    <t xml:space="preserve">Leandro Dos Santos Lourenco - despachante </t>
  </si>
  <si>
    <t>Leonardo Silva Correia -abastecimento rfx</t>
  </si>
  <si>
    <t>Giovanni Coluccini</t>
  </si>
  <si>
    <t>Aluguel da carreta - RFX</t>
  </si>
  <si>
    <t xml:space="preserve">(15) 99615-3876 -José Antônio Vieira de Moraes -Banco do Brasil </t>
  </si>
  <si>
    <t>BETIM TANQUES E</t>
  </si>
  <si>
    <t xml:space="preserve">reembolso Veridiana - uber </t>
  </si>
  <si>
    <t xml:space="preserve">PIX: 07259632631 Nubank Veridiana Antunes Moura </t>
  </si>
  <si>
    <t>Leonardo Silva Correia - vira xcmg rfx</t>
  </si>
  <si>
    <t xml:space="preserve">Emprestimo Ana Paula </t>
  </si>
  <si>
    <t>pix Ana Paula 31985411635</t>
  </si>
  <si>
    <t>prestação de 6.000,00 via minas placa SIO 8E70</t>
  </si>
  <si>
    <t>Ildeu - Banco SICOOB - 756
AG: 4030
C/C: 24734-0
CNPJ: 08.468.903/0001-03 (pix)
Transportadora Classe A Ltda</t>
  </si>
  <si>
    <t>Next Terminais Solucoes E Logistica Ltda -pagamento patio dd armazenamento de container</t>
  </si>
  <si>
    <t>Cartão da carreta QPM (está na conta do Nu Galho Contagem , Santander , final 2615)                 03399.49281 36982.314902.36334 601022 1 00000000000000</t>
  </si>
  <si>
    <t xml:space="preserve">chega por email </t>
  </si>
  <si>
    <t xml:space="preserve"> Ricardo Diniz Da Silva - sinal da carreta indentificar para qual cavalo</t>
  </si>
  <si>
    <t>Wellington Moreira Dos Santos-armazenamento de container rfx</t>
  </si>
  <si>
    <t>sicred</t>
  </si>
  <si>
    <t>Alirio Junio Maciel Barros - diaria mororiata pzo</t>
  </si>
  <si>
    <t>Elenir Rodrigues Da Silva Costa	-freio carreta irc</t>
  </si>
  <si>
    <t>Wr Comunicacao Visual-placa 30m SIO</t>
  </si>
  <si>
    <t>Churrascaria Charrua Ltda</t>
  </si>
  <si>
    <t>Silvio Alirio Junio Maciel Barros- dizel poz</t>
  </si>
  <si>
    <t>Ricardo Diniz Da Silva - compra da carreta asx para o daf SYR</t>
  </si>
  <si>
    <t>Quero Passagem Viagens E Turismo Ltda</t>
  </si>
  <si>
    <t xml:space="preserve">prestação do caminhão QPM  no Sicoob </t>
  </si>
  <si>
    <t>manda para CPF Juan carlos  juancarlostrindade87@gmail.com</t>
  </si>
  <si>
    <t>⁠seguro RFX /RME/ SEV / SEZ/ POZ - Auto Cargas</t>
  </si>
  <si>
    <t xml:space="preserve"> chega no e-mail volvo</t>
  </si>
  <si>
    <t>Parcela  QPM</t>
  </si>
  <si>
    <t>PRESTAÇÃO VOLVO FH QXN7E17 - 2/21 prestação selva</t>
  </si>
  <si>
    <t>Pix cnpj : 65.167.050/0001-03 -MM COMPANY PARTICIPACOES LTDA
Mandar foto do comprovante para o selva 
30.000,00
OBS: VENCIMENTO DIA 12 ATÉ DIA 12 DE FEVEREIRO 2028 SENDO A ULTIMA EM  FEVEREIRO DE 18.430,00</t>
  </si>
  <si>
    <t xml:space="preserve">Cartão RFX no CNPJ de Contagem na ELO caixa - pagar conta itau </t>
  </si>
  <si>
    <t>via minas</t>
  </si>
  <si>
    <t>GV CLINICAS CONTAGEM LTDA</t>
  </si>
  <si>
    <t>Leonardo Silva Correia - patio container xcmg rfx</t>
  </si>
  <si>
    <t>Jose Mateus Da Silva - despachante sio</t>
  </si>
  <si>
    <t>reembolso Nara - Uber para levar PC Weelington</t>
  </si>
  <si>
    <t>Pró-labore Juan e Marco</t>
  </si>
  <si>
    <t>5.000,00 cada  Enviar da carreta para o CPF do Juan , as duas transações separadamente ( 2 vezes de 5.000,00) 
O Marco tem que pagar 36 meses de salário para o Juan , início da quitação mês 11/2025 - Final 11/2028</t>
  </si>
  <si>
    <t>PAGAMENTO TAXA DE ADESÃO AUTO CARGAS EVO46-SIO8E70  ASX7G22-7G23 IRC3B89-3A85</t>
  </si>
  <si>
    <t xml:space="preserve">REFERENTE A TAXA DE ADESAO AUTO CARGAS BRADESCO AG 2640 CC 58087-2 PIX 431938910000152 ASSOCIACAO DOS TRANSPORTADORES DE CARGAS - 100 CADA VEICULO TOTALIZANDO r$ 300,00. PLACAS EVO46-SIO8E70  ASX7G22-7G23 IRC3B89-3A85                                                      </t>
  </si>
  <si>
    <t>prestação do RFX - Selva pagamento pelo itau</t>
  </si>
  <si>
    <t>Pix cnpj : 65.167.050/0001-03- MM COMPANY PARTICIPACOES LTDA</t>
  </si>
  <si>
    <t>adiantamento do motorista 40% do salário fixo - Motorista QPM</t>
  </si>
  <si>
    <t xml:space="preserve">12195145609 - Ruan Augusto 
O salário dele é de 3.352,00 </t>
  </si>
  <si>
    <t>adiantamento do motorista 40% do salário fixo - Motorista SEV</t>
  </si>
  <si>
    <t>adiantamento do motorista 40% do salário fixo - Motorista MRE</t>
  </si>
  <si>
    <t>pix fabiogoncalves9181@gmail.com</t>
  </si>
  <si>
    <t xml:space="preserve">adiantamento do motorista 40% do salário fixo - Motorista </t>
  </si>
  <si>
    <t>BTRANS INFORMATICA LTDA</t>
  </si>
  <si>
    <t xml:space="preserve">consórcios Marcos - baixar aplicativo CAOA </t>
  </si>
  <si>
    <t>senha do aplicativo 320455 ( PEGAR BOLETO E ENVIAR MARCOS)</t>
  </si>
  <si>
    <t xml:space="preserve">Seguro Carreta QPM - fazer pelo itau </t>
  </si>
  <si>
    <t>GV CLINICA</t>
  </si>
  <si>
    <t xml:space="preserve">boleto no email </t>
  </si>
  <si>
    <t xml:space="preserve">LM ( Nugalho contagem) </t>
  </si>
  <si>
    <t>Caminhão - carta ícone 0949 - placa SEV</t>
  </si>
  <si>
    <t>Posto Santa Edwiges -abastecimento viagem xcmg para todos caminhoe s</t>
  </si>
  <si>
    <t>Elaine Correa Lopes</t>
  </si>
  <si>
    <t>Next Terminais Solucoes-ARMAZENAGEM CONTAINERS</t>
  </si>
  <si>
    <t>Marcos Vinicius - uber</t>
  </si>
  <si>
    <t>Weiss Bier</t>
  </si>
  <si>
    <t>Gilson Alves- acerto motorista rfx</t>
  </si>
  <si>
    <t>Sem Parar</t>
  </si>
  <si>
    <t xml:space="preserve">
Rodoporto Crossville</t>
  </si>
  <si>
    <t>4P AUTOPECAS-cabo eletrico qpm</t>
  </si>
  <si>
    <t>PAULO CESAR DOS SANTOS-  eletrecista qpm 7278</t>
  </si>
  <si>
    <t xml:space="preserve">150,00	 </t>
  </si>
  <si>
    <t xml:space="preserve">
Ipva-mg Ant</t>
  </si>
  <si>
    <t xml:space="preserve">2.240,80	 </t>
  </si>
  <si>
    <t xml:space="preserve">
Bar Da Esquina Restaurante Ltda</t>
  </si>
  <si>
    <t xml:space="preserve">927,04	 </t>
  </si>
  <si>
    <t>Next Terminais Solucoes E Logistica Ltda -ARMAZENAGEM NEXT</t>
  </si>
  <si>
    <t>Jildair Gonzaga -pe da carreta rme</t>
  </si>
  <si>
    <t>Leandro Dos Santos Lourenco - descachante do qxn</t>
  </si>
  <si>
    <t>E-FRETE</t>
  </si>
  <si>
    <t>Vencimento dos rastreadores dos caminhões - Trucks control  -Ônix sat</t>
  </si>
  <si>
    <t xml:space="preserve">marco antonio </t>
  </si>
  <si>
    <t>ok</t>
  </si>
  <si>
    <t>Senha: 959629
ID: 104635
Cpf 01530448611</t>
  </si>
  <si>
    <t>Parcela do Volvo placa RME9B20 - início dia 26/02</t>
  </si>
  <si>
    <t>Enviar para o Nu Galho Contagem</t>
  </si>
  <si>
    <t>Arthur Silva Costa -conserto da carrta irc</t>
  </si>
  <si>
    <t>TechnoRastro ( BOLETO NA PASTA)</t>
  </si>
  <si>
    <t>chega no e-mail -(Está no CNPJ de Contagem mas é do caminhão )</t>
  </si>
  <si>
    <t>Juan Carlos - cubrir cheque especial do sicred</t>
  </si>
  <si>
    <t>Localiza Rent A Car As</t>
  </si>
  <si>
    <t>E-frete - 2 terceiro carregand</t>
  </si>
  <si>
    <t>Alex Gomes- DEVOLUÇÃO CONTAINERS</t>
  </si>
  <si>
    <t xml:space="preserve"> Next Terminais Solucoes- ARMAZENAGEM NEXT</t>
  </si>
  <si>
    <t xml:space="preserve"> Rest Vinicola - </t>
  </si>
  <si>
    <t>Marco Antonio De Souza- emprestimo que sera devolvido</t>
  </si>
  <si>
    <t>Ipe Hotel Guaru Ltda</t>
  </si>
  <si>
    <t>Jose Mateus Da Silva- transferencia rme</t>
  </si>
  <si>
    <t>Thais Gomes Trigueiro-mao de obra troca de oleo qpm</t>
  </si>
  <si>
    <t>Itaguara Pecas Diesel Ltda -oleo do qpm</t>
  </si>
  <si>
    <t>Leonardo Silva Correia -arla rfx</t>
  </si>
  <si>
    <t>Flavia Gomes Leite - adiantamento flavia</t>
  </si>
  <si>
    <t>SERGIO DA SILVA - armazenagem container sev</t>
  </si>
  <si>
    <t>DANIEL LIMA SANTANA- mecanico sev</t>
  </si>
  <si>
    <t>Posto Urano</t>
  </si>
  <si>
    <t>TECHNORASTRO LTDA</t>
  </si>
  <si>
    <t xml:space="preserve">Ericson Santos Lima - vira 3 </t>
  </si>
  <si>
    <t>Leonardo Dos Reis Tomaz - vira 8 unidades</t>
  </si>
  <si>
    <t>Next Terminais Solucoes E Logistica Ltda -patio next</t>
  </si>
  <si>
    <t>Jose Fabiano Da Silva- agregado xcmg mariporan</t>
  </si>
  <si>
    <t>Vinicius Moraes De Souza - vira 1 unidade</t>
  </si>
  <si>
    <t xml:space="preserve">Acerto Flavia </t>
  </si>
  <si>
    <t>NSTECH IP INSTITUIÇÃO - SISTEMA DE VALE PEDAGIO</t>
  </si>
  <si>
    <t>Donorte Equipadora Ltda-eletricista rme</t>
  </si>
  <si>
    <t>Tradicao Da Roca ( dividir para todas as empresas) - Reunião de Alinhamento</t>
  </si>
  <si>
    <t xml:space="preserve">DIFERENÇA SALARIO MARCOS </t>
  </si>
  <si>
    <t xml:space="preserve">Reembolso Nara - Uber para levar PC Veridiana </t>
  </si>
  <si>
    <t>Bsoft - Fatura (06/2026) - VIA MINAS LOGISTICA LTDA</t>
  </si>
  <si>
    <t>ORNELAS COMERCIO E IMPORTACAO LTDA -PNEU</t>
  </si>
  <si>
    <t>Chave Pix: 50.851.645/0002-97</t>
  </si>
  <si>
    <t xml:space="preserve">santana freios </t>
  </si>
  <si>
    <r>
      <t xml:space="preserve">CRLV 2025 - QXN7E17  2/3PARCELA </t>
    </r>
    <r>
      <rPr>
        <sz val="12"/>
        <color rgb="FFFF0000"/>
        <rFont val="Calibri"/>
        <family val="2"/>
        <scheme val="minor"/>
      </rPr>
      <t>( cavalo foi vendido verificar se será pago)</t>
    </r>
  </si>
  <si>
    <t>MARCO ANTONIO DE SOUZA 6590
1° PARCELA 20/05 R$ 2166,66 PG
2° PARCELA 20/06 R$ 2166,66
3° PARCELA 20/07 R$ 2166,66</t>
  </si>
  <si>
    <t>PIX 52658293000100 - JOrdano Max Leite Souza-</t>
  </si>
  <si>
    <t>Ruan Augusto Corrêa Teodoro Da Silva- antecipacao de container xcmg qpm</t>
  </si>
  <si>
    <t>EMB TRUCK PEÇAS 2/4</t>
  </si>
  <si>
    <t>EMB TRUCK PEÇAS 3/4</t>
  </si>
  <si>
    <t>EMB TRUCK PEÇAS 4/4</t>
  </si>
  <si>
    <t>Fabio Goncalves Dos Santos - uber sez</t>
  </si>
  <si>
    <t xml:space="preserve"> contapedagio@nstechfin.com.br - Vale Pedágio referente a 2</t>
  </si>
  <si>
    <t>Aluguel da carreta - RME</t>
  </si>
  <si>
    <t>R &amp; S ACESSORIOS AUTOMOTIVOS L</t>
  </si>
  <si>
    <t>Posto Labareda  ( Via minas )</t>
  </si>
  <si>
    <t>Posto Labareda  ( Contagem)</t>
  </si>
  <si>
    <t xml:space="preserve">R &amp; S ACESSORIOS AUTOMOTIVOS L </t>
  </si>
  <si>
    <t xml:space="preserve">ORNELAS COMERCIO E IMPORTACAO LTDA -PNEU NF 1188 - 1 PARCELAS </t>
  </si>
  <si>
    <t>REF A COMPRA 24 UN 295/80R22,5 18PR MIX WORKS P1 / 178931 PNEU DIRECIONAL 295 80 R22,5</t>
  </si>
  <si>
    <t xml:space="preserve">ORNELAS COMERCIO E IMPORTACAO LTDA -PNEU NF 1188 - 2 PARCELAS </t>
  </si>
  <si>
    <t xml:space="preserve">ORNELAS COMERCIO E IMPORTACAO LTDA -PNEU NF 1188 - 3 PARCELAS </t>
  </si>
  <si>
    <t>FRETE NEXT ( Comissão Luan) CTE 260 E 261</t>
  </si>
  <si>
    <t>TOTAL A PAGAR</t>
  </si>
  <si>
    <t>A VENCER:</t>
  </si>
  <si>
    <t xml:space="preserve"> TRUCK PAG - ABASTECIMENTO fatura 2863455</t>
  </si>
  <si>
    <t>Contas a Pagar XCMG</t>
  </si>
  <si>
    <t>Agregado</t>
  </si>
  <si>
    <t>Placa do Cavalo</t>
  </si>
  <si>
    <t>CTE</t>
  </si>
  <si>
    <t>Status</t>
  </si>
  <si>
    <t>Data NF</t>
  </si>
  <si>
    <t>ELO SOLUCOES LOGISTICA INTEGRADAS LTDA / 31.626.973/0001-64</t>
  </si>
  <si>
    <t xml:space="preserve"> RXO-8C52</t>
  </si>
  <si>
    <t>213 e 214</t>
  </si>
  <si>
    <t>Adiantamento D +1</t>
  </si>
  <si>
    <t xml:space="preserve"> RYW-9E66</t>
  </si>
  <si>
    <t>215 e 216</t>
  </si>
  <si>
    <t>SXA-8I12</t>
  </si>
  <si>
    <t>219 e 220</t>
  </si>
  <si>
    <t>R.R. PASTRO TRANSPORTES DE CARGA LTDA / 10.366.648/0001-30</t>
  </si>
  <si>
    <t>GEP-1F96</t>
  </si>
  <si>
    <t>217 e 218</t>
  </si>
  <si>
    <t>RR PASTRO TRANSPORTES DE CARGAS LTDA 
BRADESCO 
AG 1259
CC 0405499-7
Pix CNPJ 10.366.648/0001-30</t>
  </si>
  <si>
    <t>Saldo D+ 3</t>
  </si>
  <si>
    <t>RXO-8C52</t>
  </si>
  <si>
    <t>227 e 228</t>
  </si>
  <si>
    <t xml:space="preserve">RYX-1G66 </t>
  </si>
  <si>
    <t>229 e 230</t>
  </si>
  <si>
    <t xml:space="preserve">SXA-8I12 </t>
  </si>
  <si>
    <t>231 e 232</t>
  </si>
  <si>
    <t xml:space="preserve">RYX-1F56 </t>
  </si>
  <si>
    <t xml:space="preserve">235 e 236 </t>
  </si>
  <si>
    <t>FROTA - RME-9B20</t>
  </si>
  <si>
    <t>RME-9B20</t>
  </si>
  <si>
    <t>237 E 238</t>
  </si>
  <si>
    <t>FROTA</t>
  </si>
  <si>
    <t>FROTA - RFX-4H06</t>
  </si>
  <si>
    <t>RFX-4H06</t>
  </si>
  <si>
    <t>243 E 244</t>
  </si>
  <si>
    <t>NEXT LOG LOGISTICA E TRANSPORTES LTDA / 31.744.636/0001-71</t>
  </si>
  <si>
    <t>COP-7C02</t>
  </si>
  <si>
    <t>245 E 246</t>
  </si>
  <si>
    <t>RYW-9E66</t>
  </si>
  <si>
    <t>241 e 242</t>
  </si>
  <si>
    <t>JOSE FABIANO DA SILVA / 218.025.178-55</t>
  </si>
  <si>
    <t>KXZ-8J23</t>
  </si>
  <si>
    <t>DADOS BANCÁRIOS: 
BANCO:  NUBANK
AGÊNCIA: 0001
CONTA CORRENTE:  ​84784616-5
FAVORECIDO:  ​JOSE FABIANO SILVA 
CPF/CNPJ: ​ 218.025.178-55
PIX:   ​ae546593-0e4f-4cc4-8e2d-3433f86da471</t>
  </si>
  <si>
    <t>248 E 249</t>
  </si>
  <si>
    <t xml:space="preserve"> RYX-1F56 </t>
  </si>
  <si>
    <t>250 E 251</t>
  </si>
  <si>
    <t>252 E 253</t>
  </si>
  <si>
    <t>FROTA - SEZ-8G61</t>
  </si>
  <si>
    <t>SEZ-8G61</t>
  </si>
  <si>
    <t>254 E 255</t>
  </si>
  <si>
    <t>FROTA - SEV-6G75</t>
  </si>
  <si>
    <t>SEV-6G75</t>
  </si>
  <si>
    <t>258 E259</t>
  </si>
  <si>
    <t xml:space="preserve">COP-7C02 </t>
  </si>
  <si>
    <t>260 E 261</t>
  </si>
  <si>
    <t>RYX-1G66</t>
  </si>
  <si>
    <t>262 E 263</t>
  </si>
  <si>
    <t>297 E 299</t>
  </si>
  <si>
    <t>RYW-2I75</t>
  </si>
  <si>
    <t>293 E 294</t>
  </si>
  <si>
    <t xml:space="preserve">SXA-8I02 </t>
  </si>
  <si>
    <t>295 e 296</t>
  </si>
  <si>
    <t>CA NUDOS TRANSPORTE LTDA / 05.847.865/0001-01</t>
  </si>
  <si>
    <t>CUD-7C31</t>
  </si>
  <si>
    <t>Banco santander
CANUDOS TRANSPORTE LTDA Pix CNPJ 05.847.865/0001-01
Agencia 501
 C. Corrente3001404-7</t>
  </si>
  <si>
    <t>304 E 305</t>
  </si>
  <si>
    <t>RODOFIVE TRANSPORTE E LOGISTICA LTDA / 44.388.235/0001-78</t>
  </si>
  <si>
    <t xml:space="preserve">FQD-4F41 </t>
  </si>
  <si>
    <t>307 E 308</t>
  </si>
  <si>
    <t>XCMG BRASIL INDUSTRIA LTDA</t>
  </si>
  <si>
    <t xml:space="preserve"> COP-7C02</t>
  </si>
  <si>
    <t>SJ0648 -26</t>
  </si>
  <si>
    <t xml:space="preserve">RHM-1G44 </t>
  </si>
  <si>
    <t>BCL-1F40</t>
  </si>
  <si>
    <t>COP7C01</t>
  </si>
  <si>
    <t>ZJ0116 -26 PG</t>
  </si>
  <si>
    <t>QNQ-0F40</t>
  </si>
  <si>
    <t>SJ0748-26 PG</t>
  </si>
  <si>
    <t xml:space="preserve">BCL-1F40 </t>
  </si>
  <si>
    <t>SJ0751-26 PG</t>
  </si>
  <si>
    <t>QNT-6G21</t>
  </si>
  <si>
    <t>QNT-6G22</t>
  </si>
  <si>
    <t>QPM</t>
  </si>
  <si>
    <t xml:space="preserve"> BDO-7F58</t>
  </si>
  <si>
    <t>SJ0857-26 PG</t>
  </si>
  <si>
    <t>RHM-7G34</t>
  </si>
  <si>
    <t>BAQ-0B13</t>
  </si>
  <si>
    <t xml:space="preserve"> QNQ-0F40</t>
  </si>
  <si>
    <t>SJ0862-26 PG</t>
  </si>
  <si>
    <t xml:space="preserve"> RHM-1G44</t>
  </si>
  <si>
    <t>SJ0865-26 PG</t>
  </si>
  <si>
    <t>AQV-5H57</t>
  </si>
  <si>
    <t xml:space="preserve"> GDL-4G77</t>
  </si>
  <si>
    <t>SJ0905-26 PG</t>
  </si>
  <si>
    <t xml:space="preserve"> BCL-1F40</t>
  </si>
  <si>
    <t>RHM-1G44</t>
  </si>
  <si>
    <t>SJ0977-26PG</t>
  </si>
  <si>
    <t>GDL-4G77</t>
  </si>
  <si>
    <t>SJ0974-26 PG</t>
  </si>
  <si>
    <t>SJ0994-26 PG</t>
  </si>
  <si>
    <t xml:space="preserve"> RHM-7G34</t>
  </si>
  <si>
    <t>SJ0983-26 PG</t>
  </si>
  <si>
    <t xml:space="preserve">RHM-7G34 </t>
  </si>
  <si>
    <t xml:space="preserve">BDO-7F58 </t>
  </si>
  <si>
    <t xml:space="preserve"> BAQ-0B13</t>
  </si>
  <si>
    <t>SJ1001-26 PG</t>
  </si>
  <si>
    <t>SJ1000-26 PG</t>
  </si>
  <si>
    <t xml:space="preserve">AQV-5H57 </t>
  </si>
  <si>
    <t>RECEBIMENTO PIX 54931896000151 COMERCIO E SOLUCO - parte devolução emprestimo</t>
  </si>
  <si>
    <t xml:space="preserve"> OK</t>
  </si>
  <si>
    <t xml:space="preserve">RECEBIMENTO PIX 04915315001515 VENTANA SERRA DO </t>
  </si>
  <si>
    <t>Pix De Ventana Serra Do Brasil Agenci</t>
  </si>
  <si>
    <t>OK</t>
  </si>
  <si>
    <t>Pix De Via Minas Logistica Ltda ( emprestimo itau)</t>
  </si>
  <si>
    <t>ITAU</t>
  </si>
  <si>
    <t>Pix De Nu Galho Ltda - ( EMPRESTIMO )</t>
  </si>
  <si>
    <t xml:space="preserve">Juan Carlos Trindade - ( EMPRESTIMO) </t>
  </si>
  <si>
    <t>Pix De Ventana Serra Do Brasil Agenci - FRETE</t>
  </si>
  <si>
    <t>SJ0971-26 PG</t>
  </si>
  <si>
    <t>RFX4H06</t>
  </si>
  <si>
    <t>SJ0973-26 PG</t>
  </si>
  <si>
    <t>QPM-7278</t>
  </si>
  <si>
    <t>Pix De Juan Carlos Trindade ( emprestimo Via Minas)</t>
  </si>
  <si>
    <t>SJ1005-26 PG</t>
  </si>
  <si>
    <t>SJ1008-26 PG</t>
  </si>
  <si>
    <t>SJ1046-26</t>
  </si>
  <si>
    <t>SJ0945-26</t>
  </si>
  <si>
    <t>SJ1106-26</t>
  </si>
  <si>
    <t>SJ1012-26</t>
  </si>
  <si>
    <t>SJ1124-26</t>
  </si>
  <si>
    <t>SJ1113-26</t>
  </si>
  <si>
    <t>ZJ0155-26</t>
  </si>
  <si>
    <t>SJ1163-26</t>
  </si>
  <si>
    <t>SJ1121-26</t>
  </si>
  <si>
    <t>ZJ0145-26</t>
  </si>
  <si>
    <t>CS0021-26 ANTIGO SJ1143</t>
  </si>
  <si>
    <t>SJ1198-26</t>
  </si>
  <si>
    <t>boleto 60 dias</t>
  </si>
  <si>
    <t>CONTAS A PAGAR VIA MINAS LOGISTICA</t>
  </si>
  <si>
    <t>DATA ATUAL:F:JF:M</t>
  </si>
  <si>
    <t>FORMA DE PAGAMENTO</t>
  </si>
  <si>
    <t xml:space="preserve">FORNECEDOR </t>
  </si>
  <si>
    <t>DESCRIÇÃO</t>
  </si>
  <si>
    <t>PIX</t>
  </si>
  <si>
    <t>DOC</t>
  </si>
  <si>
    <t>VALOR</t>
  </si>
  <si>
    <t>DT VENC</t>
  </si>
  <si>
    <t>DT PAGTO</t>
  </si>
  <si>
    <t>BANCO</t>
  </si>
  <si>
    <t>BOLETO OU PIX</t>
  </si>
  <si>
    <t>OBSERVAÇÃO</t>
  </si>
  <si>
    <t xml:space="preserve">ABASTECIMENTO </t>
  </si>
  <si>
    <t>POSTO LABAREDA NF 5753</t>
  </si>
  <si>
    <t>NF 5753</t>
  </si>
  <si>
    <t>EM ATRASO</t>
  </si>
  <si>
    <t>x6 - José Antônio Vieira de Moraes -Banco do Brasil</t>
  </si>
  <si>
    <t xml:space="preserve">ALUGUEL DE CARRETA </t>
  </si>
  <si>
    <t>ALUGUEL DE CARRETA PLACA CUA PAGAMENTO PIX 22703335000109 TRANS CARRIER</t>
  </si>
  <si>
    <t>00020101021226900014br.gov.bcb.pix2568pix.sicoob.com.br/qr/payload/v2/1c781225-e4a6-417a-b3b6-5106db026aca5204000053039865802BR5925ACTUAL_CONTABILIDADE_GEST6008Contagem62070503***63049621</t>
  </si>
  <si>
    <t>ALUGUEL DE CARRETA - RFX PAGAMENTO MENSAL (15) 996153876 - José Antônio Vieira de Moraes -Banco do Brasil</t>
  </si>
  <si>
    <t>RFX</t>
  </si>
  <si>
    <t>BORRACHEIRO / MANUTENCAO</t>
  </si>
  <si>
    <t xml:space="preserve">V4 - SERVICO DE MANUTECAO E INSTALAÇÃO NA PLACA RFX </t>
  </si>
  <si>
    <t>NF 269</t>
  </si>
  <si>
    <t>REEMBOLSO RODRIGO BORRACHARIA  Rodrigo Ohashi De Almeida PIX 08836025633 REEMBOLSO</t>
  </si>
  <si>
    <t>PIX 10043200605 CPF LAIS DA COSTA NEVES 1,5% do faturamento da ventana SEMPRE COLOCAR MEDIA DE 14.000,00 POR FATURAMWNTO ( SEMPRE PEDIR JUAN PLANILHA)</t>
  </si>
  <si>
    <t>ACESE COMERCIO PLACA FQA AUTORIZADO PELO MARCO ANTONIO CUPOM FISCAL 119982</t>
  </si>
  <si>
    <t>ACESE COMERCIO PLACA  AUTORIZADO PELO MARCO ANTONIO CUPOM 120467</t>
  </si>
  <si>
    <t>CARTAO DE CREDITO</t>
  </si>
  <si>
    <t>CARTAO QPM (está na conta do Nu Galho Contagem , Santander , final 2615) PGTO FATURA SANTANDER CARTAO QPM               03399.49281 36982.314902.36334 601022 1 00000000000000</t>
  </si>
  <si>
    <t>03399.49281 36982.314902.36334 601022 1 00000000000000</t>
  </si>
  <si>
    <t xml:space="preserve">QPM </t>
  </si>
  <si>
    <t xml:space="preserve">PIX 07259632631 VERIDIANA ANTUNES MOURA </t>
  </si>
  <si>
    <t>CARTAO RFX no CNPJ de Contagem na ELO caixa -  10498.67532 09002.131648 39171.001165 3 00000000000000</t>
  </si>
  <si>
    <t>10498.67532 09002.131648 39171.001165 3 00000000000000</t>
  </si>
  <si>
    <t>PIX CELULAR 31 999191460 CPF 05962409612</t>
  </si>
  <si>
    <t xml:space="preserve">CARTAO ITAU VIA MINAS USADO PELO MARCO ANTONIO </t>
  </si>
  <si>
    <t xml:space="preserve">COMISSAO </t>
  </si>
  <si>
    <t>PAGAMENTO PRESTADOR DE SERVIÇO COMERCIAL ROYAL ACESSORIAS JOABSON XCMG - FATURAMENTO 45,00 x60= R$ 2700,00 2/2</t>
  </si>
  <si>
    <t>blvesmvn@gmail.com</t>
  </si>
  <si>
    <t>PAGAMENTO PRESTADOR DE SERVIÇO COMERCIAL VIAGEM 17 - Luiz W. B. Guimaraes PIX 18039742000196 R$ 18.000,00*1,5%  Sorroso-MT x Santos DINLOG</t>
  </si>
  <si>
    <t>PAGAMENTO PRESTADOR DE SERVIÇO COMERCIAL VIAGEM 18 - Luiz W. B. Guimaraes    PIX 18039742000196 SantosxSorriso MT R$ 25.000,00*1,5%</t>
  </si>
  <si>
    <t>PAGAMENTO PRESTADOR DE SERVIÇO COMERCIAL VIAGEM 17 -  R$ 18.000,00*1,6%  Sorroso-MT x Santos DINLOG</t>
  </si>
  <si>
    <t>PIX fiscal@truckpag.com.br</t>
  </si>
  <si>
    <t>PAGAMENTO PRESTADOR DE SERVIÇO COMERCIAL VIAGEM 18 -  R$ 25.000,00*1,6%  SantosxSorriso MT R$ 25.000,00*1,6%</t>
  </si>
  <si>
    <t xml:space="preserve"> contapedagio@nstechfin.com.br </t>
  </si>
  <si>
    <t>FORNECEDORES</t>
  </si>
  <si>
    <t>MASTER DISTRIBUIDORA DE PECAS NF 037788 PARCELA 1 ENVIADO PARA CARTÓRIO 5584,33 pix 20080332000130</t>
  </si>
  <si>
    <t>MASTER DISTRIBUIDORA DE PECAS NF 037957 PARCELA 1 ENVIADO PARA CARTÓRIO R$ 830,00 pix 20080332000130</t>
  </si>
  <si>
    <t>TRUCKS CONTROL - SERVICOS DE LOGISTICA LTDA -NF 695338 PLACA EVU78 PARCELA 1 DE 2 253,17 - 08490.00104 91000.105659 63009.299403 1 15830000025317</t>
  </si>
  <si>
    <t>TRUCKS CONTROL - SERVICOS DE LOGISTICA LTDA - MENSALIDADE NF 3487646 BANCO DE DADOS MÊS SETEMBRO- 1554,90-  08490.00104 91000.105220 24007.738800 9 15850000155436</t>
  </si>
  <si>
    <t>08490.00104 91000.105220 24007.738800 9 15850000155436</t>
  </si>
  <si>
    <t>PAGAMENTO BOLETO 45090.02004 00843.074402 52321.683402 8 15270000061655</t>
  </si>
  <si>
    <t>TRUCKS CONTROL - SERVICOS DE LOGISTICA LTDA - MENSALIDADE NF 1729376 RASTREAMENTO PARCIAL MÊS SETEMBRO 08490.00104 91000.106392 11009.299402 9 15850000027570</t>
  </si>
  <si>
    <t xml:space="preserve">ACESE COMERCIO DE PECAS notinhas de todos os caminhões SOLICITACAO MARCO ANTONIO </t>
  </si>
  <si>
    <t>R &amp; S ACESSORIOS AUTOMOTIVOS L NF 5145 2 PARCELA PLACA QPM7278 R$ 1020,00</t>
  </si>
  <si>
    <t>NF 5145</t>
  </si>
  <si>
    <t>R &amp; S ACESSORIOS AUTOMOTIVOS L NF 5146 2 PARCELA PLACA TCF1D34</t>
  </si>
  <si>
    <t>NF 5146</t>
  </si>
  <si>
    <t>SO PORTO BR LTDA PERIODO DO DIA 28/09 A 07/10 PIX 57358946000141</t>
  </si>
  <si>
    <t>TRUCKS CONTROL - SERVICOS DE LOGISTICA LTDA -NF 6999037 SENSOR DE DESENGATE DA PLACA EVO4636</t>
  </si>
  <si>
    <t>codigo de barras</t>
  </si>
  <si>
    <t>TRUCKS CONTROL - SERVICOS DE LOGISTICA LTDA-  INS - SYR / ASX NF 682080 PARCELA 3 - 377,38 00190.00009 03661.542005 00151.639176 3 16000000037738</t>
  </si>
  <si>
    <t>TRUCKS CONTROL - SERVICOS DE LOGISTICA LTDA -NF 6999052 TECLADO DO RASTREADOR DO CAMINHÃO DA PLACA RFX4H06 PARC 01</t>
  </si>
  <si>
    <t xml:space="preserve">TRUCKS CONTROL - SERVICOS DE LOGISTICA LTDA -NF 3492241 SERVIÇO TECNICO DE MANUTENCAO EVO4636 </t>
  </si>
  <si>
    <t>TRUCKS CONTROL - SERVICOS DE LOGISTICA LTDA -NF 700934 TELEMETRIA PARC 01 /06</t>
  </si>
  <si>
    <t>TRUCKS CONTROL - SERVICOS DE LOGISTICA LTDA -NF 3493405 INTALAÇÃO DO TECLADO RFX</t>
  </si>
  <si>
    <t xml:space="preserve">TRUCKS CONTROL - SERVICOS DE LOGISTICA LTDA - RFX4H06 - NF 693051 PARCELA 2 DE 2 </t>
  </si>
  <si>
    <t>TRUCKS CONTROL - SERVICOS DE LOGISTICA LTDA - NF 3494702 TAXA DE TRANSFERENCIA  DE TODAS AS PLACAS</t>
  </si>
  <si>
    <t>SO PORTO BR LTDA PERIODO DO DIA 08/10 a 20/10 PIX 57358946000141</t>
  </si>
  <si>
    <t xml:space="preserve">FORNECEDORES </t>
  </si>
  <si>
    <t>RECAPAGEM RECATEC NOTA FISCAL  8229</t>
  </si>
  <si>
    <t>NF 8229</t>
  </si>
  <si>
    <t>RECAPAGEM RECATEC  RECUPERAÇÃO DE PNEUS  PLACA FQM4596 NF 7790 + 7930  = 1103,33+335,00 pix 42993214000156</t>
  </si>
  <si>
    <t>02 DE 03</t>
  </si>
  <si>
    <t>SISTEMA E SOFTWARE</t>
  </si>
  <si>
    <t>PGTO BSOFT SOFTWARE- Fatura 1743214 BOLETO</t>
  </si>
  <si>
    <t>PGTO BSOFT SOFTWARE- EFRETE 34191.09008 00208.668269 29954.780002 3 15910000012669</t>
  </si>
  <si>
    <t>34191.09008 00208.668269 29954.780002 3 15910000012669</t>
  </si>
  <si>
    <t xml:space="preserve">TELEFONIA </t>
  </si>
  <si>
    <t>CONTA DIGITAL VIVO 08/2026 FINACEIRO E PROGRAMACAO  TELEFONIA Período: 25/07/2026 a 24/08/2026</t>
  </si>
  <si>
    <t>FORNECER</t>
  </si>
  <si>
    <t>RASTRO SEGUROS NF 16429 - BOLETO - 10495.41186 90000.100041 00001.642933 3 15940000049023</t>
  </si>
  <si>
    <t>PROTESTO</t>
  </si>
  <si>
    <t xml:space="preserve">UBER </t>
  </si>
  <si>
    <t xml:space="preserve">REEMBOLSO DE UBER VIAGENS DIA 19/10 R$ 54,00 +  20/10 R$ 54,00 + 22/10 R$ 54,00  </t>
  </si>
  <si>
    <t>TRUCK PAG - ABASTECIMENTO fatura 2898412</t>
  </si>
  <si>
    <t>lançado</t>
  </si>
  <si>
    <t>POSTO LABAREDA ( Via minas ) NF 5273 PIX 21644802000104</t>
  </si>
  <si>
    <t>NF 5273</t>
  </si>
  <si>
    <t xml:space="preserve">TRUCK PAG - ABASTECIMENTO fatura  -243644 </t>
  </si>
  <si>
    <t xml:space="preserve"> TRUCK PAG - ABASTECIMENTO fatura - 2933792</t>
  </si>
  <si>
    <t>TRUCK PAG - ABASTECIMENTO fatura - 2951128</t>
  </si>
  <si>
    <t xml:space="preserve">SICRED </t>
  </si>
  <si>
    <t>34191.09016 74321.413846 90617.380002 8 15360000187756</t>
  </si>
  <si>
    <t xml:space="preserve">ABASTECIMENTO MAIRIPORA </t>
  </si>
  <si>
    <t xml:space="preserve">ABASTECIMENTO QPM </t>
  </si>
  <si>
    <t>POSTO LABAREDA ( Via minas ) NF 5470 PIX 21644802000104</t>
  </si>
  <si>
    <t xml:space="preserve">NF 5470 </t>
  </si>
  <si>
    <t xml:space="preserve">PIX CELULAR 31 99943-5372 </t>
  </si>
  <si>
    <t>REEMBOLSO DE ABASTECIMENTO E PEDAGIO MAIS SOLUCOES  PLACA TCF PAGAMENTO PIX 56992505000134 MAIS SOLUCOES LOGIS</t>
  </si>
  <si>
    <t>ABASTECIMENTO PAGAMENTO PIX 07745113000165 CAMPEAO 38</t>
  </si>
  <si>
    <t>SAQPAY Pagprime Ip</t>
  </si>
  <si>
    <t>ABASTECIMENTO PLACA RFX abastecimento</t>
  </si>
  <si>
    <t>ABASTECIMENTO DA PLACA SEZ  PAGAMENTO PIX 27272997000195 Saqpay</t>
  </si>
  <si>
    <t>PAGO PELO MARCO</t>
  </si>
  <si>
    <t>ABASTECIMENTO DA PLACA QPM   PAGAMENTO PIX 27272997000195 Saqpay</t>
  </si>
  <si>
    <t>ABASTECIMENTO DA PLACA QPM  PAGAMENTO PIX 27272997000195 Saqpay NF 92113</t>
  </si>
  <si>
    <t xml:space="preserve">PIX 61401820697 JOAO BATISTA COELHO ABASTECIMENTO </t>
  </si>
  <si>
    <t xml:space="preserve">ABASTECIMENTO DIESEL PLACA QPM </t>
  </si>
  <si>
    <t xml:space="preserve">ABASTECIMENTO TCF </t>
  </si>
  <si>
    <t>TRUCK PAG - ABASTECIMENTO fatura -2968115 PARCELA 1  VALOR TOTAL R$ 30.001.16</t>
  </si>
  <si>
    <t>BOLETO COD 03399.49281 36982.314902.36334 601022 1 00000000000000</t>
  </si>
  <si>
    <t>ABASTECIMENTO DA PLACA   PAGAMENTO PIX 27272997000195 Saqpay NF 130093</t>
  </si>
  <si>
    <t>ABASTECIMENTO PLACA SEZ</t>
  </si>
  <si>
    <t>ABASTECIMENTO SEV PAGAMENTO PIX 27272997000195 Saqpay</t>
  </si>
  <si>
    <t>ABASTECIMENTO RME PAGAMENTO PIX 27272997000195 Saqpay nf 274220 posto dom pedro</t>
  </si>
  <si>
    <t>nf 274220</t>
  </si>
  <si>
    <t>ABASTECIMENTO RFX PAGAMENTO PIX 48634638000291 AUTO POSTO REDENTOR NF 13473</t>
  </si>
  <si>
    <t>PAGAMENTO PIX 18189993000157 POSTO COMETA cf 524316</t>
  </si>
  <si>
    <t>cf 524316</t>
  </si>
  <si>
    <t xml:space="preserve">PIX 952.787.616-87 BANCO BRADESCO Israel Vieira da Silva </t>
  </si>
  <si>
    <t xml:space="preserve">ABASTECIMENTO SYR PAGAMENTO PIX 60626475000110 AUTO POSTO NEW ANCH </t>
  </si>
  <si>
    <t>ABASTECIMENTO NA PLACA SEV PAGAMENTO PIX 48634638000291 AUTO POSTO REDENTOR NF 13575</t>
  </si>
  <si>
    <t xml:space="preserve">ABASTECIMENTO DA PLACA  QPM PAGAMENTO RUAN AUGUSTO CORREIA </t>
  </si>
  <si>
    <t>PAGAMENTO PIX 27272997000195 Saqpay nf 166944</t>
  </si>
  <si>
    <t>nf 166944</t>
  </si>
  <si>
    <t>PAGAMENTO PIX 66811092000106 AUTO POSTO VIADUTO NF 1728/4</t>
  </si>
  <si>
    <t>ABASTECIMENTO DA PLACA RFX PAGAMENTO PIX 27272997000195 Saqpay SEM CUPOM ANDRE</t>
  </si>
  <si>
    <t>PAGO PELO JUAN</t>
  </si>
  <si>
    <t xml:space="preserve"> TRUCK PAG  ABASTECIMENTO fatura 2968115 PARCELA 2  VALOR TOTAL R$ 30.001.16</t>
  </si>
  <si>
    <t>ABASTECIMENTO DA PLACA TCF PAGAMENTO PIX 66811092000106 AUTO POSTO VIADUTO NF 1740/4</t>
  </si>
  <si>
    <t>ABASTECIMENTO DA PLACA RME PAGAMENTO PIX 27272997000195 Saqpay nf 130636</t>
  </si>
  <si>
    <t>nf 130636</t>
  </si>
  <si>
    <t>ABASTECIMENTO DA PLACA SEV PAGAMENTO PIX 27272997000195 Saqpay cf 1212724</t>
  </si>
  <si>
    <t>cf 1212724</t>
  </si>
  <si>
    <t>ABASTECIMENTO DA PLACA TCF PAGAMENTO POSTO ALDO NF 492820</t>
  </si>
  <si>
    <t>ABASTECIMENTO DA PLACA RFX PAGAMENTO AUTO MECANICA BRITO NF 140230</t>
  </si>
  <si>
    <t>ABASTECIMENTO DA PLACA SEV  PAGAMENTO PIX 27272997000195 Saqpay</t>
  </si>
  <si>
    <t>PIX 65.167.050/0001-03</t>
  </si>
  <si>
    <t>ABASTECIMENTO DA PLACA SYR PAGAMENTO Saqpay NF 330020</t>
  </si>
  <si>
    <t xml:space="preserve">ABASTECIMENTO DA PLACA RME  PAGAMENTO PIX 27272997000195 Saqpay </t>
  </si>
  <si>
    <t>POSTO LABAREDA NF 5565</t>
  </si>
  <si>
    <t>NF 5565</t>
  </si>
  <si>
    <t>POSTO LABAREDA NF 5676</t>
  </si>
  <si>
    <t>NF 5676</t>
  </si>
  <si>
    <t>ABASTECIMENTO DA PLACA RME REDE DOM PEDRO NF 57546</t>
  </si>
  <si>
    <t>NF 57546</t>
  </si>
  <si>
    <t>ABASTECIMENTO DA PLACA  REDE DOM PEDRO NF 167798</t>
  </si>
  <si>
    <t>NF 167798</t>
  </si>
  <si>
    <t>ABASTECIMO PLACA RME nf 131858</t>
  </si>
  <si>
    <t>nf 131858</t>
  </si>
  <si>
    <t xml:space="preserve">ABASTECIMO PLACA SEZ NF </t>
  </si>
  <si>
    <t>ABASTECIMENTO PLACA RME PAGAMENTO PIX 01610689000139 AUTO POSTO CARGA PE</t>
  </si>
  <si>
    <t>ABASTECIMENTO PLACA RFX PAGAMENTO PIX 48634638000291 AUTO POSTO REDENTOR</t>
  </si>
  <si>
    <t>ABASTECIMENTO PLACA TCF  PAGAMENTO PIX 01600561608 SERGIO DA SILVA FERREI</t>
  </si>
  <si>
    <t>ABASTECIMENTO PLACA SYR PAGAMENTO PIX 05962409612 GILSON ALVES DA SILVA</t>
  </si>
  <si>
    <t xml:space="preserve">ABASTECIMO PLACA TCF </t>
  </si>
  <si>
    <t>ABASTECIMO PLACA SEV</t>
  </si>
  <si>
    <t>PGTO AUTO POSTO CARGA PESADA SYR GILSON PAGAMENTO PIX 01610689000139 AUTO POSTO CARGA PE</t>
  </si>
  <si>
    <t>PGTO AUTO POSTO REDENTOR PLACA RFX ISRAEL PAGAMENTO PIX 48634638000291 AUTO POSTO REDENTOR</t>
  </si>
  <si>
    <t>PGTO ABASTECIMENTO PLACA SEV Pix Para Marajo Cuiaba Iii</t>
  </si>
  <si>
    <t>PAGAMENTO PIX 09472083000196 QUINTA DO MARQUES NF 10645</t>
  </si>
  <si>
    <t>NF 10645</t>
  </si>
  <si>
    <t>PAGAMENTO PIX 60626475000110 AUTO POSTO NEW ANCH NF 2844</t>
  </si>
  <si>
    <t>NF 2844</t>
  </si>
  <si>
    <t>ABASTECIMENTO PLACA TCF PAGAMENTO PIX 27272997000195 Saqpay NF 298978</t>
  </si>
  <si>
    <t>NF 298798</t>
  </si>
  <si>
    <t>ABASTECIMENTO PLACA QPM PAGAMENTO PIX 12195145609 RUAN AUGUSTO CORREA TE</t>
  </si>
  <si>
    <t>34191.57007 00463.105601 59970.210007 8 15380000067650</t>
  </si>
  <si>
    <t xml:space="preserve"> TRUCK PAG - ABASTECIMENTO fatura -2987908 BOLETO NEGOCIADO </t>
  </si>
  <si>
    <t xml:space="preserve">PAGO PELO MARCO  </t>
  </si>
  <si>
    <t xml:space="preserve"> TRUCK PAG - ABASTECIMENTO fatura -3004084 BOLETO NEGOCIADO </t>
  </si>
  <si>
    <t>Fatura boleto 10498.67532 09002.131648 39171.001165 3 00000000000000</t>
  </si>
  <si>
    <t>ABASTECIMENTO RFX PAGAMENTO PIX 48634638000291 AUTO POSTO REDENTOR</t>
  </si>
  <si>
    <t>ABASTECIMENTO PLACA SEZ PAGAMENTO PIX 27272997000195 Saqpay</t>
  </si>
  <si>
    <t>ABASTECIMENTO PLACA QPM PAGAMENTO PIX 48634638000291 AUTO POSTO REDENTOR</t>
  </si>
  <si>
    <t xml:space="preserve">Posto Labareda Via minas </t>
  </si>
  <si>
    <t>PAGAMENTO PIX 47736972000102 CRISTIANE CAMARA GO</t>
  </si>
  <si>
    <t>ABASTECIMENTO PLACA TCF PAGAMENTO PIX 27272997000195 Saqpay</t>
  </si>
  <si>
    <t>ABASTECIMETO PLACA SEV PAGAMENTO PIX 48634638000291 AUTO POSTO REDENTOR</t>
  </si>
  <si>
    <t>ABASTECIMENTO PLACA RME PAGAMENTO PIX 48634638000291 AUTO POSTO REDENTOR</t>
  </si>
  <si>
    <t>00020101021226800014br.gov.bcb.pix2558pix.asaas.com/qr/cobv/509f1e70-9e18-4ed9-ae86-6d792cb2f48c5204000053039865802BR5925GV CLINICAS CONTAGEM LTDA6008Contagem61083201717062070503***6304D547</t>
  </si>
  <si>
    <t>ABASTECIMENTO PLACA PAGAMENTO PIX 27272997000195 Saqpay</t>
  </si>
  <si>
    <t>ABASTECIMENTO PLACA TCF PAGAMENTO PIX 27615496000164 POSTO TUBARAO LTDA</t>
  </si>
  <si>
    <t>PAGAMENTO PIX SAQUE 27272997000195 SAQPAY</t>
  </si>
  <si>
    <t xml:space="preserve">5.000,00 cada  Enviar da carreta para o CPF do Juan , as duas transações separadamente ( 2 vezes de 5.000,00) </t>
  </si>
  <si>
    <t>CODIGO DE BARRAS</t>
  </si>
  <si>
    <t xml:space="preserve">POSTO LABAREDA NF </t>
  </si>
  <si>
    <t>verificar</t>
  </si>
  <si>
    <t>CODIGO DE BARRAS 34191.09008 04252.037363 91480.800001 3 15280000115800</t>
  </si>
  <si>
    <t>ABASTECIMENTO RME PAGAMENTO PIX 48634638000291 AUTO POSTO REDENTOR</t>
  </si>
  <si>
    <t>ABASTECIMENTO PLACA SYR PAGAMENTO PIX 48634638000291 AUTO POSTO REDENTOR</t>
  </si>
  <si>
    <t>ABASTECIMENTO PLACA SEZ PAGAMENTO PIX 48634638000291 AUTO POSTO REDENTOR</t>
  </si>
  <si>
    <t>ABASTECIMENTO PLACA POZ PAGAMENTO PIX 48634638000291 AUTO POSTO REDENTOR</t>
  </si>
  <si>
    <t xml:space="preserve">Saqpay ABASTECIMENTO TCF </t>
  </si>
  <si>
    <t>05/10/2026</t>
  </si>
  <si>
    <t>AUTO POSTO NEW ANCHIETA LTDA</t>
  </si>
  <si>
    <t>QUINTA DO MARQUES</t>
  </si>
  <si>
    <t>08/10/2026</t>
  </si>
  <si>
    <t>75691.31662 01104.936404 46897.500016 4 15440000142082</t>
  </si>
  <si>
    <t xml:space="preserve">ABASTECIMENTO PLACA QPM PAGAMENTO PIX 66811092000106 AUTO POSTO VIADUTO </t>
  </si>
  <si>
    <t>ABASTECIMENTO PLACA SEZ PAGAMENTO PIX 25152779000191 REDE DE POSTOS MARA</t>
  </si>
  <si>
    <t>09/10/2026</t>
  </si>
  <si>
    <t>13/10/2026</t>
  </si>
  <si>
    <t>ABASTECIMENTO PLACA SEV PAGAMENTO PIX 04268312000131 POSTO ALDO</t>
  </si>
  <si>
    <t>ABASTECIMENTO PLACA RFX PAGAMENTO PIX 27272997000195 Saqpay</t>
  </si>
  <si>
    <t>ABASTECIMENTO PLACA SEV PAGAMENTO PIX 48634638000291 AUTO POSTO REDENTOR</t>
  </si>
  <si>
    <t xml:space="preserve">ADMINISTRATIVO </t>
  </si>
  <si>
    <t>PAPELARIA XEROX DOCUMENTO PLACA RFX Izabela Carvalho Tunnes</t>
  </si>
  <si>
    <t>XEROX DOCUMENTOS RME PAGAMENTO PIX 34276192811 Izabela Carvalho Tunne</t>
  </si>
  <si>
    <t>PGTO DE IMPRESSAO DE DOCUMENTOS PLACA RFX4H06 PAGAMENTO PIX 34276192811 Izabela Carvalho Tunne</t>
  </si>
  <si>
    <t>PGTO PAPELARIA IMPRESSAO DE 2 FOLHAS MOVECTA PLACA RME ROBERTO Pix Para Izabela Carvalho Tunnes</t>
  </si>
  <si>
    <t>PGTO PAPELARIA IMPRESSAO DE 2 FOLHAS POZ GEOVANE Pix Para Izabela Carvalho Tunnes</t>
  </si>
  <si>
    <t>614.018.206-97</t>
  </si>
  <si>
    <t>IMPRESSÃO DE FOLHA PAGAMENTO PIX 34276192811 Izabela Carvalho Tunne</t>
  </si>
  <si>
    <t>IPRESSÃO DE FOLHAS PLACA RME PAGAMENTO PIX 34276192811 Izabela Carvalho Tunne</t>
  </si>
  <si>
    <t>3199678-1551</t>
  </si>
  <si>
    <t>ADT E SD</t>
  </si>
  <si>
    <t xml:space="preserve">ADT E SD REF CTE 349 E 350 PLACA ROL FABRICIO SANTIAGO DE SOUZA RLO6C66  IRC3B39  IRC3B07 IRC3A85 </t>
  </si>
  <si>
    <t>349 E 350</t>
  </si>
  <si>
    <t>ADT REF CTE 363 PLACA UGX8J01 VIAGEM THATO PIX CAPITANIO 67999397506</t>
  </si>
  <si>
    <t xml:space="preserve">ITAU </t>
  </si>
  <si>
    <t>sergiosilvaferreira99@gmail.com</t>
  </si>
  <si>
    <t>ADT REF CTE 365 PLACA PUO7J56 VIAGEM LEAFER FERRO</t>
  </si>
  <si>
    <t>SD REF CTE 363 PLACA UGX8J01 VIAGEM THATO PIX CAPITANIO 67999397506</t>
  </si>
  <si>
    <t>SD REF CTE 365 PLACA PUO7J56 VIAGEM LEAFER FERRO PIX 66524435000143</t>
  </si>
  <si>
    <t xml:space="preserve">ADT REFERENTE AO CTE 416 THATO </t>
  </si>
  <si>
    <t xml:space="preserve"> juancarlostrindade87@gmail.com</t>
  </si>
  <si>
    <t>SD REFERENTE AO CTE 416 THATO MOISES 46991178256</t>
  </si>
  <si>
    <t>ADT REFERENTE AO CTE 424 CLIENTE THATO PAGAMENTO PIX 70308292987 GILMAR DE SA</t>
  </si>
  <si>
    <t>SD REFERENTE AO CTE 424 CLIENTE THATO PAGAMENTO PIX 70308292987 GILMAR DE SA</t>
  </si>
  <si>
    <t>ADT REF AO CTE 438 PAULO MIGUEL RODRIGUES VARGAS (PM TRANSPORTES) BANCO SICRED AG: 0155 CONTA: 677023</t>
  </si>
  <si>
    <t>SD   REF AO CTE 438 PAULO MIGUEL RODRIGUES VARGAS (PM TRANSPORTES) BANCO SICRED AG: 0155 CONTA: 677023</t>
  </si>
  <si>
    <t>SD REF CTE 378 E 393 CHARLES PEDAGIO R$ 230,62X2 IMPOSTO 400,00</t>
  </si>
  <si>
    <t xml:space="preserve">MAIS SOLUCOES </t>
  </si>
  <si>
    <t xml:space="preserve">Boleto </t>
  </si>
  <si>
    <t>ADT E SD E PEDAGIO REFERENTE A  VIAGEM 11 - R$ 4.400,00  DPW GjaX JUNDIAI   ELO PIX  + PEDAGIO R$ 303,30 - PIX 31.626.973/0001-64</t>
  </si>
  <si>
    <t>ADT E SD E PEDAGIO REFERENTE A  VIAGEM 12 - R$ 4.450,00 ECOPORTO SantosX CAMPINAS  - ELO PIX + PEDAGIO R$ 259,20  - PIX 31.626.973/0001-64</t>
  </si>
  <si>
    <t>ADT REFERENTE A  VIAGEM 13 -  - ELO PIX frete 25.000,00 FALTA INFORMAÇÃO COMERCIAL</t>
  </si>
  <si>
    <t>PRIORIDADE</t>
  </si>
  <si>
    <t>21.644.802/0001-04</t>
  </si>
  <si>
    <t>SD REFERENTE A  VIAGEM 13 -    - ELO PIX frete 25.000,00 FALTA INFORMAÇÃO COMERCIAL</t>
  </si>
  <si>
    <t>ADT REFERENTE A  VIAGEM 14 -  - ELO PIX frete 25.000,00 FALTA INFORMAÇÃO COMERCIAL</t>
  </si>
  <si>
    <t>SD REFERENTE A  VIAGEM 14 -     - ELO PIX frete 25.000,00 FALTA INFORMAÇÃO COMERCIAL</t>
  </si>
  <si>
    <t>ADT REFERENTE A  VIAGEM 17 VIAGEM 18.000 AGREGADO MT SORRISO  PAGAMENTO PIX 41017669830 ANDRE LUIZ FERREIRA JU + 1724,00</t>
  </si>
  <si>
    <t xml:space="preserve">ADT REFERENTE A  VIAGEM 23 -  MOTORISTA PRAICE </t>
  </si>
  <si>
    <t>ADT REFERENTE A  VIAGEM 15 -  - ELO PIX frete 25.000,00 CARGOCOTTON TRANS + pedagio 2.966,40</t>
  </si>
  <si>
    <t xml:space="preserve">ADT REFERENTE A  VIAGEM 16 -  - ELO PIX frete 25.000,00 CARGOCOTTON TRANS + pedagio 2.966,40 </t>
  </si>
  <si>
    <t>contapedagio@nstechfin.com.br</t>
  </si>
  <si>
    <t>ADT REFERENTE AO CTE 526 THATO PAGAMENTO PIX 09433331000190 PARANA AUTO CENTER R$ 15.500,00</t>
  </si>
  <si>
    <r>
      <t xml:space="preserve">SD REFERENTE AO CTE  526 THATO PAGAMENTO PIX 09433331000190 PARANA AUTO CENTER  R$ 15.500,00 </t>
    </r>
    <r>
      <rPr>
        <sz val="12"/>
        <color rgb="FFFF0000"/>
        <rFont val="Calibri"/>
        <family val="2"/>
        <scheme val="minor"/>
      </rPr>
      <t>URGENTE</t>
    </r>
    <r>
      <rPr>
        <sz val="12"/>
        <rFont val="Calibri"/>
        <family val="2"/>
        <scheme val="minor"/>
      </rPr>
      <t xml:space="preserve"> </t>
    </r>
  </si>
  <si>
    <t>ADT REFERENTE A  VIAGEM 18-  - ELO PIX frete 25.000,00 DINLOG + pedagio 3.588,30</t>
  </si>
  <si>
    <t>ADT REFERENTE A  VIAGEM 23 -  MOTORISTA PRAICE GRUPO MAVIMAR SANTOSXITUPEVA D+1 Transporte da Apolinário  Pix 28240391000130</t>
  </si>
  <si>
    <t xml:space="preserve">ADT E SD REF CTE 571 VENTANA PAGAMENTO TERCEIRO </t>
  </si>
  <si>
    <t>SD REFERENTE A  VIAGEM 17 VIAGEM 18.000  AGREGADO MT SORRISO  PAGAMENTO PIX 41017669830 ANDRE LUIZ FERREIRA JU - r$ 1149,20 de diferença</t>
  </si>
  <si>
    <t>BRADESCO CHAVE PIX CNPJ 57358946000141 AGENCIA 0280 C/C 0112288-6</t>
  </si>
  <si>
    <t>ADT REFERENTE AO CTE 581 THATO PAGAMENTO PIX LGA MAIS REDES DE TRANSPORTES  8ae3e553-542c-4e67-9f0a-f17accda02b0</t>
  </si>
  <si>
    <t xml:space="preserve">SD REFERENTE AO CTE 581 THATO PAGAMENTO PIX LGA MAIS REDES DE 8ae3e553-542c-4e67-9f0a-f17accda02b0 </t>
  </si>
  <si>
    <t>ADT REFERENTE AO CTE 571 VENTANA SANTOS X MA  R$ 24000,00 - 1062,78 PEDAGIO TT R$ 22.937,22 057.318.038-54</t>
  </si>
  <si>
    <t>SD    REFERENTE AO CTE 571 VENTANA SANTOS X MA  R$ 24000,00 - 1062,78 PEDAGIO TT R$ 22.937,22</t>
  </si>
  <si>
    <t>ALIMENTACAO SOCIO</t>
  </si>
  <si>
    <t xml:space="preserve">COMERCIO E SOLUCOES  LTDA PAG SEGURO - ALMOÇO JUAN E MARCO ANTONIO </t>
  </si>
  <si>
    <t xml:space="preserve">RESTAURANTE TRADIÇÃO DA ROÇA </t>
  </si>
  <si>
    <t xml:space="preserve">ALIMENTAÇÃO ESPAÇO HAZZ LTDA </t>
  </si>
  <si>
    <t xml:space="preserve">ALUGUEL DE CARRETA - QPM PAGAMENTO MENSAL </t>
  </si>
  <si>
    <t>ALUGUEL DE CARRETA - RFX PAGAMENTO MENSAL</t>
  </si>
  <si>
    <t>ALUGUEL DE CARRETA - RME PAGAMENTO MENSAL /(15) 996153876 - José Antônio Vieira de Moraes -Banco do Brasil</t>
  </si>
  <si>
    <t>RME</t>
  </si>
  <si>
    <t>Prestação de 6.000,00 via minas placa SIO 8E70 PIX 08.468.903/0001-03</t>
  </si>
  <si>
    <t>23.121.281/0001-36</t>
  </si>
  <si>
    <t>ALUGUEL DE CARRETA - QPM PAGAMENTO MENSAL (15) 996153876 - José Antônio Vieira de Moraes -Banco do Brasil</t>
  </si>
  <si>
    <t>ALUGUEL DE CARRETA  RME PAGAMENTO MENSAL / (15) 996153876  José Antônio Vieira de Moraes Banco do Brasil</t>
  </si>
  <si>
    <t>ALUGUEL DE CARRETA PLACA SIO 8E70 PIX 08.468.903/0001-03 Transportadora Classe A Ltda</t>
  </si>
  <si>
    <t xml:space="preserve">ARMAZENAGEM </t>
  </si>
  <si>
    <t>SO PORTO BR LTDA ARMAZENAGEM CONTAINER PGTO ARMAZENAGEM SO PORTO BR GUARUJA PERIODO DE 0908 A 1608</t>
  </si>
  <si>
    <t>1 VIRA PLACA SYR PAGAMENTO PIX 22500929825 RENATO SIDNEI CANALLI</t>
  </si>
  <si>
    <t>ESTACIONAMENTO PLACA IRC3A85 E IRC3B07 PIX 32421170850 JANAINA GRACIELLE DO N</t>
  </si>
  <si>
    <t>BAIXA DE CONTAINER PLACA SYR</t>
  </si>
  <si>
    <t>SO PORTO BR LTDA ARMAZENAGEM CONTAINER PGTO ARMAZENAGEM SO PORTO BR GUARUJA PERIODO DE 15.08 A 20.08</t>
  </si>
  <si>
    <t>ANTECIPAÇÃO DE CONTAINER PAGAMENTO PIX 10250551000167 LECHMAN TERMINAIS SEZ</t>
  </si>
  <si>
    <t>ANTECIPAÇÃO DE CONTAINER PAGAMENTO PIX 09425485666 WELLINGTON MOREIRA DOS SEV,SEZ E RFX</t>
  </si>
  <si>
    <t>ARMAZENAGEM PLACA RFX PAGAMENTO PIX 95278761687 ISRAEL VIEIRA DA SILVA</t>
  </si>
  <si>
    <t>VIRA PLACAS RFX E SEZ PAGAMENTO PIX 28193684842 ROGERIO SIDNEI CANALLI</t>
  </si>
  <si>
    <t xml:space="preserve">ISRAEL VIEIRA DA SILVA ESTACIONAMENTO OU ARMAZENAGEM DE CONTAINER </t>
  </si>
  <si>
    <t>ANTECIPAÇÃO DE CONTAINER PLACA RME PAGAMENTO PIX 09425485666 WELLINGTON MOREIRA DOS</t>
  </si>
  <si>
    <t>PLACA SEV RAFAEL DE LIMA SANTOS 42102829871-  BORRACHEIRO SEV</t>
  </si>
  <si>
    <t>SEV</t>
  </si>
  <si>
    <t>Felipe Ferreira Da Silva frete dos pneus</t>
  </si>
  <si>
    <t xml:space="preserve">PLACA RME Artur Luiz Nascimento BORRACHEIRO RME </t>
  </si>
  <si>
    <t xml:space="preserve">PLACA QPM AG FREIOS LTDA 29475288000132 FREIO </t>
  </si>
  <si>
    <t>PLACA RME Alex Fernando Correa BORRACHEIRO RME</t>
  </si>
  <si>
    <t>PLACA RME Auto Pecas Dom Pedro concerto da certa EVU DA CARRETA RME</t>
  </si>
  <si>
    <t>PLACA POZ Borracharia POZ Leandro Simões Alves</t>
  </si>
  <si>
    <t>POZ</t>
  </si>
  <si>
    <t>PLACA SYR E GJB Borracharia Diego Lima Nascimento Gomes</t>
  </si>
  <si>
    <t>SYR</t>
  </si>
  <si>
    <t>PLACA TCF BORRACHARIA Jarivan De Jesus Dos Santos boy para peca tcf</t>
  </si>
  <si>
    <t>TCF</t>
  </si>
  <si>
    <t>PLACA TCF Compra de Filtro de Combustíveis/Racor  - Gaplan Caminhoes Leste Ltda.</t>
  </si>
  <si>
    <t>PLACA TFC BORRACHARIA Jackson Junio Martins De Oliveira tcf</t>
  </si>
  <si>
    <t>PLACA SEV COMPRA de EPI - Edileide Ferreira De Oliveira</t>
  </si>
  <si>
    <t>PIX 45094756672 JOSE ANASTACIO DE CARV</t>
  </si>
  <si>
    <t>PLACA FQI  59609127835 PEDRO HENRIQUE DA SILV BORRACHEIRO</t>
  </si>
  <si>
    <t>FQI</t>
  </si>
  <si>
    <t xml:space="preserve">PLACA SYR MANUTENÇÃO Lavador SYR </t>
  </si>
  <si>
    <t xml:space="preserve">PLACA SYR Manutenção no DAF SYR 4H04 mao de obra tanque </t>
  </si>
  <si>
    <t>PLACA SYR Manutenção no DAF SYR 4H04 tanque</t>
  </si>
  <si>
    <t>PLACA SYR PGTO PARA IMPRESSÃO DE DOCUMENTOS PLACA SYR papelaria</t>
  </si>
  <si>
    <t>31 99943-5372 ORNELAS</t>
  </si>
  <si>
    <t>PLACA FQA4231 E GJP  BORRACHEIRO</t>
  </si>
  <si>
    <t>FQA</t>
  </si>
  <si>
    <t xml:space="preserve">MANUTENCAO DE RATREADOR </t>
  </si>
  <si>
    <t>fiscal@truckpag.com.br</t>
  </si>
  <si>
    <t xml:space="preserve">PLACA RME ESTACIONAMENTO RME </t>
  </si>
  <si>
    <t xml:space="preserve">PLACA SEV ESTACIONAMENTO SEV </t>
  </si>
  <si>
    <t xml:space="preserve">SEV </t>
  </si>
  <si>
    <t>PLACA SEV TROCA DO RETROVISOR SEV Kr Pecas E Acessorios Ltda</t>
  </si>
  <si>
    <t xml:space="preserve">PLACA TCF LAVAGEM TCF </t>
  </si>
  <si>
    <t>Posto Fernandao</t>
  </si>
  <si>
    <t>PLACA QPM MANUTENCAO ELETRICA QPM</t>
  </si>
  <si>
    <t>COMPRA DE CHAVE PARA USO NA PLACA SYR PIX 18683268000130 DEPOSITO CUIABA</t>
  </si>
  <si>
    <t>PIX 44846863840 Eron Raul Xavier Silva</t>
  </si>
  <si>
    <t>MANUTENCAO ELETRICA EVU PIX 77281144687 ELIAS DOS SANTOS MORAE</t>
  </si>
  <si>
    <t>EVU</t>
  </si>
  <si>
    <t>CADEADO PARA USO NA PLACA SEZ  - PIX 05401536000132 DEMINAS EQUIPADORA</t>
  </si>
  <si>
    <t>SEZ</t>
  </si>
  <si>
    <t xml:space="preserve">MANUTENCAO ELETRICA DAS CARRETAS EVU </t>
  </si>
  <si>
    <t xml:space="preserve">BORRACHEIRO PLACA RME </t>
  </si>
  <si>
    <t>LAVAGEM DA PLACA QPM 63.438.976 Marco Antonio Da Cunha</t>
  </si>
  <si>
    <t xml:space="preserve">PAGAMENTO PIX 07875912000156 APTA PLACA SEZ NF  </t>
  </si>
  <si>
    <t>PAGAMENTO PIX 15263716000159 KR ACESSORIOS</t>
  </si>
  <si>
    <t>MANUTENCAO SOLDA PLACA  30m ASX7G22</t>
  </si>
  <si>
    <t>ASX</t>
  </si>
  <si>
    <t xml:space="preserve">MANUTENCAO MORFER COMERCIO PLACA MATERIAL DA PLACA SEV </t>
  </si>
  <si>
    <t>MANUTENCAO 2 SOLDAS CARRETA FQL0363 / FQM4696</t>
  </si>
  <si>
    <t>MANUTENCAO TOMADA PLACA RME</t>
  </si>
  <si>
    <t>BORRACHA PLACA FTF/FQI</t>
  </si>
  <si>
    <t xml:space="preserve">MANUTENCAO LAVAGEM DO VEICULO PLACA SEZ </t>
  </si>
  <si>
    <t>AUTO ELETRICA MLR COZINHA DA PLACA TCF PIX 59381460000150</t>
  </si>
  <si>
    <t>MANUTENCAONA PLACA SEZ</t>
  </si>
  <si>
    <t>BORRACHARIA RFX</t>
  </si>
  <si>
    <t>BORRACHARIA RME E EVU 9e79 cupom fiscal 34171</t>
  </si>
  <si>
    <t>cf 34171</t>
  </si>
  <si>
    <t xml:space="preserve">MANUTENCAO URGENCIA SEV </t>
  </si>
  <si>
    <t xml:space="preserve">COMPRA DE PECAS SEZ E RME </t>
  </si>
  <si>
    <t xml:space="preserve">BORRACHARIA SEV </t>
  </si>
  <si>
    <t>MANUTENCAO ELETRICA SEZ</t>
  </si>
  <si>
    <t>CONSERTO DA TAMPA VIAGEM ARIPUANA MT</t>
  </si>
  <si>
    <t xml:space="preserve">FREIO DAS CARRETAS CUA </t>
  </si>
  <si>
    <t xml:space="preserve">BORRACHARIA SYR </t>
  </si>
  <si>
    <t>MANUTENCAO SOLDA DAS CARRETAS EVU 9e79</t>
  </si>
  <si>
    <t>MANUTENCAO SOLDA DAS CARRETAS TCF</t>
  </si>
  <si>
    <t>BORRACHARIA ASW</t>
  </si>
  <si>
    <t>BORRACHARIA SEZ</t>
  </si>
  <si>
    <t xml:space="preserve">CONSERTO PE DA CARRETA SIO E EVO </t>
  </si>
  <si>
    <t xml:space="preserve">MOTORISTA LEVOU O CAMINHAO PLACA SEZ PARA SANTOS </t>
  </si>
  <si>
    <t>calibragem RME E TODAS PLACAS EVU</t>
  </si>
  <si>
    <t>Celso Storck Hoff</t>
  </si>
  <si>
    <t xml:space="preserve">BORRACHARIA PLACA SYR PAGAMENTO PIX 36389778899 DIEGO LIMA NASCIMENTO </t>
  </si>
  <si>
    <t>MANUTENCAO DE MOLAS PLACA TCF PAGAMENTO PIX 15258565000140 POSTO DE MOLAS BAID</t>
  </si>
  <si>
    <t>BORRACHARIA E MANUJTENCAO ELETRICISTA PLACA SEV PAGAMENTO PIX 10409878855 Marinho da Cruz Sousa</t>
  </si>
  <si>
    <t>MANUTENCAO SOLDA DA PLACA IRC PAGAMENTO PIX 30018529844 ERIK BATISTA APARECIDO</t>
  </si>
  <si>
    <t>SOLDA CARRETA PLACA AXS PAGAMENTO PIX 26458154801 HENRIQUE MIGUEL DE SOU</t>
  </si>
  <si>
    <t>PARAFUSO PLACA POZ PAGAMENTO PIX 36998100000104 MN LOCACAO DE MAQUI</t>
  </si>
  <si>
    <t>CALIBRAGEM DA PLACA RFX - PAGAMENTO PIX 05824122857 LAERCIO LAUREANO DE SO</t>
  </si>
  <si>
    <t xml:space="preserve">MANUTENCAO LONA SEV E RME </t>
  </si>
  <si>
    <t xml:space="preserve">MANUTENCAO CINTAS PARA CARREGAMENTO SEV, RME </t>
  </si>
  <si>
    <t xml:space="preserve">BORRACHARIA E MANUTENCAO PLACA SEZ DESCIDA DA SERRA </t>
  </si>
  <si>
    <t xml:space="preserve">DONORTE EQUIPAMENTO COROTE PLACA SEZ </t>
  </si>
  <si>
    <t xml:space="preserve">SEZ </t>
  </si>
  <si>
    <t xml:space="preserve">MANUTENCAO ELETRICA ENGATE DA PLACA RFX </t>
  </si>
  <si>
    <t xml:space="preserve">MANUTENCAO NA MANGUEIRA PLACA RME </t>
  </si>
  <si>
    <t xml:space="preserve">MANUTENÇAO PARA TODOS OS CAMINHOES </t>
  </si>
  <si>
    <t xml:space="preserve">MANUTENÇÃO PEÇA PARA PLACA RFX </t>
  </si>
  <si>
    <t xml:space="preserve">MANUTENÇÃO NA LANTERNA PLACA RFX </t>
  </si>
  <si>
    <t xml:space="preserve">MANUTENÇÃO SERRALHERIA PLACA 30M PLACA SIO </t>
  </si>
  <si>
    <t>MANUTENÇÃO AJUDANTE EM TODOS OS CAMINHOES  Wender Nelson Lima Ribeiro</t>
  </si>
  <si>
    <t xml:space="preserve">MANUTENÇÃO GUINCHO MAIS AJUDANTE </t>
  </si>
  <si>
    <t>MANUTENÇAO NA MANGUEIRA SEZ Celso Storck Hoff</t>
  </si>
  <si>
    <t>MANUTENÇAO PINTURA DAS CARRETAS ASX Celso Storck Hoff</t>
  </si>
  <si>
    <t xml:space="preserve">MANUTENÇAO ANTECIPAÇÃO DO TERMINAL SEV </t>
  </si>
  <si>
    <t xml:space="preserve">MANUTENÇAO PECA DA CAIXA PLACA POZ </t>
  </si>
  <si>
    <t>PNEU PLACA POZ Thiago Parreiras Gadoni PAGAMENTO PIX 07965194635 THIAGO PARREIRAS GADON</t>
  </si>
  <si>
    <t>MANUTENÇAO CALIBRAGEM PLACA SEZ PAGAMENTO PIX 14627068603 Leandro Simões Alves</t>
  </si>
  <si>
    <t>PAGAMENTO PIX 06446513690 DENIS MACRAU MARQUES</t>
  </si>
  <si>
    <t>MANUTENÇAO EMBUCHAMENTO DE TODAS AS PLACAS PAGAMENTO PIX 11710279664 Osmar Fabiano Souza</t>
  </si>
  <si>
    <t>NO SHOW SYR PAGAMENTO PIX 58317751000116 MOVECTA</t>
  </si>
  <si>
    <t>MANUTENÇAO ALINHAMENTO DE CARRETA PLACA FQL0363 FQM4596 PAGAMENTO PIX 02786696623 CLAUDIA SOCORRO DO CAR</t>
  </si>
  <si>
    <t>MANUTENÇAO CARRETA PLACA SIO PAGAMENTO PIX 18986793806 Maria Gildete Da Silva</t>
  </si>
  <si>
    <t>BORRACHARIA SEV PAGAMENTO PIX 14627068603 Leandro Simões Alves</t>
  </si>
  <si>
    <t xml:space="preserve">MANUTENCAO SOLDA FLQ0363 PAGAMENTO PIX 26458154801 HENRIQUE MIGUEL DE SOU </t>
  </si>
  <si>
    <t>MANUTENÇÃO NA PLACA RFX PAGAMENTO PIX 21801512000127 DEPOSITO DO ALEMAO</t>
  </si>
  <si>
    <t>MANUTEÇÃO PLACA RFX PAGAMENTO PIX 22246096000105 AUTO PECAS VASCONCE</t>
  </si>
  <si>
    <t>BORRACHARIA PLACA ASW4C94</t>
  </si>
  <si>
    <t>BOBINA DA PLACA RME PAGAMENTO PIX 22246096000105 AUTO PECAS VASCONCE cf 229935</t>
  </si>
  <si>
    <t>cf 229935</t>
  </si>
  <si>
    <t>MANUTENÇÃO ELETRICISTA PLACA SEV PAGAMENTO PIX 32947577000100 KR PECAS E ACESSORI</t>
  </si>
  <si>
    <t>MANUTENÇÃO ELETRICISTA PLACA TCF PAGAMENTO PIX 32947577000100 KR PECAS E ACESSORI</t>
  </si>
  <si>
    <t>MANUTENÇÃO ELETRICISTA E RETROVISOR PLACA RFX PAGAMENTO PIX 15263716000159 KR ACESSORIOS</t>
  </si>
  <si>
    <t xml:space="preserve">BORRACHARIA PLACA SEV GUERRA EXPRESS </t>
  </si>
  <si>
    <t>BORRACHARIA PLACA SEV APTA NF 343777/1</t>
  </si>
  <si>
    <t>BORRACHARIA PLACA SEV  PAGAMENTO PIX 15263716000159 KR ACESSORIOS</t>
  </si>
  <si>
    <t xml:space="preserve">MANUTENCAO PLACA SEV PAGAMENTO PIX 03739816600 WALLISSON TAMIETTI DE </t>
  </si>
  <si>
    <t xml:space="preserve">PECAS PARA MANTENCAO NA PLACA RFX </t>
  </si>
  <si>
    <t>NF 151</t>
  </si>
  <si>
    <t>DECIDA DA SERRA PLACA SYR PAGAMENTO PIX 28193684842 ROGERIO SIDNEI CANALLI</t>
  </si>
  <si>
    <t>MANUTENCAO AFERICAO TACOGRAFO DA PLACA TCF  PAGAMENTO PIX 34764840000142 C T NARCIZO TACOGRA</t>
  </si>
  <si>
    <t>MANUTENCAO AFERICAO TACOGRAFO DA PLACA TCF PAGAMENTO PIX 00662270000320 INSTIT.NAC. DE METR</t>
  </si>
  <si>
    <t>MANUTENCAO NO TACOGRAFO DA PLACA TCF PAGAMENTO PIX 09790338880 CELIA BARROS SOBARANSK</t>
  </si>
  <si>
    <t>MANUTENCAO ELETRICA PLACA SEV PAGAMENTO PIX 08348570000189 ACESSORIOS AUTO ELE</t>
  </si>
  <si>
    <t>MANUTENCAO linas SEV</t>
  </si>
  <si>
    <t xml:space="preserve">MANUTENCAO PLACA TCFGIOVANI SANTOS GODINHO </t>
  </si>
  <si>
    <t>MANUTENCAO FREIO QPM 35.078.069 KLEVYSON MIRANDA DE SOUSA</t>
  </si>
  <si>
    <t>MANUTENCAO DA PLACA TCF CADORE BIDOIA NF 955075</t>
  </si>
  <si>
    <t>NF 955075</t>
  </si>
  <si>
    <t>manutencao de rodas carretas PLACA  EVU PAGAMENTO PIX 30018529844 Erik Batista Aparecido</t>
  </si>
  <si>
    <t>Manutenção PLACA GJP E FQA PAGAMENTO PIX 54527082000 Celso Storck Hoff</t>
  </si>
  <si>
    <t>Manutencao mecanico placa  SEZ PAGAMENTO PIX 01505403618 Eustáquio José de Souz</t>
  </si>
  <si>
    <t>DESCARGA AJUDANTE PLACA SEV PAGAMENTO PIX 14154010638 IGOR NIQUELINOS SILVAN</t>
  </si>
  <si>
    <t>PAGAMENTO PIX 39794998800 FELIPE CARVALHO SANTOS</t>
  </si>
  <si>
    <t>MANUTENÇAO PLACA RME Pix Para Celso Storck Hoff</t>
  </si>
  <si>
    <t>MANUTENÇAO ELETRICA PLACA RFX Pix Para Israel Vieira Da Silva</t>
  </si>
  <si>
    <t xml:space="preserve">CONCERTO CARRETA GJP E FQA </t>
  </si>
  <si>
    <t>MANUTENCAO ELETRICA PLACA RME PAGAMENTO PIX 16604424000103 ELETRICA FT LTDA CUPOM FISCAL 42927</t>
  </si>
  <si>
    <t>CF 42927</t>
  </si>
  <si>
    <t>PAGAMENTO PIX 94027773691 NILZA DA SILVA FREITAS</t>
  </si>
  <si>
    <t>MANUTENÇÃO DA CARRETA PLACA ASW Pix Para Tiago Valentim</t>
  </si>
  <si>
    <t>MANUTENÇÃO DA CARRETA PLACA FQA Pix Para Joao Batista Coelho</t>
  </si>
  <si>
    <t>TROCA DE OLEO PLACA RFX Pix Para Auto Mecanica Brito</t>
  </si>
  <si>
    <t>PGTO BORRACHARIA LAERCIO PLACA EVU ROBERTO PAGAMENTO PIX 05824122857 LAERCIO LAUREANO DE SO</t>
  </si>
  <si>
    <t>PGTO LAERCIO CALIBRAGEM PLACA POZ GEOVANE PAGAMENTO PIX 05824122857 LAERCIO LAUREANO DE SO</t>
  </si>
  <si>
    <t xml:space="preserve">PAGAMENTO PIX 60487594000139 JAS MUNCK GUINDASTE SEM NOTA </t>
  </si>
  <si>
    <t>BORRACHARIA PLACA RFX PAGAMENTO PIX 10292666000114 NEIVALDO CALLEGARET</t>
  </si>
  <si>
    <t xml:space="preserve">AUTO ELETRICA MLR PLACA FQA 59.381.460/0001-50 COZINHA, LANTERNA MARALAMA, LAMPADAS </t>
  </si>
  <si>
    <t>BORRACHARIA QPM PAGAMENTO PIX 06023792618 Saulo juner de Andrade CUPOM FISCAL 000799</t>
  </si>
  <si>
    <t xml:space="preserve">PGTO BORRACHEIRO PLACA EVU ROBERTO </t>
  </si>
  <si>
    <t>MANUTENCAO NO RENTENTOR DO DIFERENCIAL PLACA POZ PAGAMENTO PIX 50535205000140 POWER DIESEL</t>
  </si>
  <si>
    <t>BORRACHARIA PLACA SIO PAGAMENTO PIX 20103274000113 AUTOPECAS RODOEIXOS</t>
  </si>
  <si>
    <t xml:space="preserve">MANUTENCAO PAGAMENTO PIX 02213272662 Jackson Junio Martins </t>
  </si>
  <si>
    <t>MANUTENCAO PLACA SEZ PAGAMENTO PIX 19996346000110 RENATO ZAPPA BLANCO</t>
  </si>
  <si>
    <t>MANUTENCAO ELETRICA IRC PAGAMENTO PIX 16604424000103 ELETRICA FT LTDA</t>
  </si>
  <si>
    <t>BORRACHARIA FREIO PLACA SEZ PAGAMENTO PIX 29475288000132 AG FREIOS LTDA</t>
  </si>
  <si>
    <t>MANUTENCAO PLACA IRC PAGAMENTO PIX 29475288000132 AG FREIOS LTDA</t>
  </si>
  <si>
    <t>MANUTENCAO PLACA EVU FAIXA PAGAMENTO PIX 23889219000199 ASA AUTO ELETRICA E</t>
  </si>
  <si>
    <t>BORRACHARIA CONSERTO DA PLACA SEZ PAGAMENTO PIX 61401820697 JOAO BATISTA COELHO</t>
  </si>
  <si>
    <t xml:space="preserve">MANUTENCAO CARGA DE ALGODAO PAGAMENTO PIX 03739816600 WALLISSON TAMIETTI DE </t>
  </si>
  <si>
    <t xml:space="preserve">SEM NF </t>
  </si>
  <si>
    <t>MANUTENCAO FAIXA PARA CARRETA PLACA ASW  PAGAMENTO PIX 20103274000113 AUTOPECAS RODOEIXOS</t>
  </si>
  <si>
    <t>MANUTENCAO PLACAS IRC PAGAMENTO PIX 20103274000113 AUTOPECAS RODOEIXOS</t>
  </si>
  <si>
    <t>BORRACHARIA PLACA QPM PAGAMENTO PIX 41430951818 MURILO CYRINEU ANDREAZ</t>
  </si>
  <si>
    <t>Borracharia PLACAS FQL e FQM PAGAMENTO PIX 08353258650 Alex Fernando Correa</t>
  </si>
  <si>
    <t>MANUTENCAO CONSERTO DA RODA PLACA RFX PAGAMENTO PIX 35078069000112 35.078.069 KLEVYSON</t>
  </si>
  <si>
    <t>BORRACHARIA PLACA FQL PAGAMENTO PIX 10060814616 Rafael Ritchelle de Li</t>
  </si>
  <si>
    <t>MANUTENCAO PLACA POZ PAGAMENTO PIX 44884658000189 NORS CAMINHOES E ON</t>
  </si>
  <si>
    <t>MANUTENCAO DE VALVULA PLACA PAGAMENTO PIX 50535205000140 POWER DIESEL</t>
  </si>
  <si>
    <t>MANUTENCAO ELETRICA PLACA SEZ PAGAMENTO PIX 29475288000132 AG FREIOS LTDA</t>
  </si>
  <si>
    <t>MANUTENCAO ELETRICA PLACA SEV PAGAMENTO PIX 16604424000103 ELETRICA FT LTDA</t>
  </si>
  <si>
    <t>MANUTNCAO ELETRICA PLACA RME PAGAMENTO PIX 16604424000103 ELETRICA FT LTDA</t>
  </si>
  <si>
    <t>PAGAMENTO PIX 05736315653 MANOEL PARREIRAS CAMPO</t>
  </si>
  <si>
    <t>LAVAGEM DA PLACA TCF PAGAMENTO PIX 63438976000160 63.438.976 MARCO AN</t>
  </si>
  <si>
    <t>MANUTENCAO ELETRICA DA PLACA SEZ PAGAMENTO PIX 16604424000103 ELETRICA FT LTDA</t>
  </si>
  <si>
    <t>MANUTENCOA ELETRICA DAS PLACAS ASW PAGAMENTO PIX 16604424000103 ELETRICA FT LTDA</t>
  </si>
  <si>
    <t>MANUTENCAO ELETRICA PAGAMENTO PIX 16604424000103 ELETRICA FT LTDA</t>
  </si>
  <si>
    <t>BORRACHARIA PLACA  POZ PAGAMENTO PIX 22456728874 ALEXANDRE PEREIRA DE S</t>
  </si>
  <si>
    <t xml:space="preserve">Jackson Junio Martins de Oliveira MAO DE OBRA PARA MANUTENCAO DE CARRETA </t>
  </si>
  <si>
    <t xml:space="preserve">RENATO ZAPPA BLANCO CASSEMIRO FILTRO DA PLACA POZ </t>
  </si>
  <si>
    <t>MANUTENCAO PLACA SIO  AUTO PECAS RODOEIXOS</t>
  </si>
  <si>
    <t>RETENTOR DO DIFERENCIAL POZ POWER DIESEL</t>
  </si>
  <si>
    <t>BORRACHARIA PLACA RFX NEIVALDO CALLEGARETTO</t>
  </si>
  <si>
    <t>PAGAMENTO PIX 64378385000108 64 378 385 Flavio Gomes De Almeida</t>
  </si>
  <si>
    <t>MANUTENCAO PLACA SYR PAGAMENTO PIX 91966051620 Ricardo Jardim Goncalv</t>
  </si>
  <si>
    <t>MANUTENCAO PLACA SEZ PAGAMENTO PIX 18113841000170 LS ATACADO E VAREJO</t>
  </si>
  <si>
    <t>MANUTENCAO PLACA POZ PAGAMENTO PIX 04823392680 Cristina Rosa de Paula</t>
  </si>
  <si>
    <t>LAVAGEM DE CARRETA PLACA RFX PAGAMENTO PIX 64398159000199 LAGOS QUIMICA LTDA</t>
  </si>
  <si>
    <t>BORRACHARIA PINO PLACA RME PAGAMENTO PIX 22246096000105 AUTO PECAS VASCONCE</t>
  </si>
  <si>
    <t xml:space="preserve">BORRACHARIA FERRAMENTA PLACA POZ PAGAMENTO PIX 05401536000132 DEMINAS EQUIPADORA </t>
  </si>
  <si>
    <t xml:space="preserve">MANUTENCAO MANGUEIRA PLACA POZ PAGAMENTO PIX 05401536000132 DEMINAS EQUIPADORA </t>
  </si>
  <si>
    <t>MANUTENCAO CHAVEIRO PLACA QPM PAGAMENTO PIX 22246096000105 AUTO PECAS VASCONCE</t>
  </si>
  <si>
    <t>MANUTENCAO PLACA POZ PAGAMENTO PIX 06172731000109 AUTO PECAS ELETRICA</t>
  </si>
  <si>
    <t>MANUTENCAO ELETRICA PLACA POZ PAGAMENTO PIX 12773105648 Renato Zappa Blanco Ca</t>
  </si>
  <si>
    <t xml:space="preserve">MANUTENCAO ELETRICA PAGAMENTO PIX 05401536000132 DEMINAS EQUIPADORA </t>
  </si>
  <si>
    <t>CARTAO QPM CARTAO NANQUIM/BRADESCO</t>
  </si>
  <si>
    <t>CARTAO QPM (está na conta do Nu Galho Contagem , Santander , final 2615) PGTO FATURA SANTANDER CARTAO QPM                 03399.49281 36982.314902.36334 601022 1 00000000000000</t>
  </si>
  <si>
    <t xml:space="preserve">CARTAO SEV cartao ícone 0949 </t>
  </si>
  <si>
    <t>CARTAO QPM CARTAO NANQUIM/BRADESCO 23794.15009  90046.721859  35000.211405  9  00000000000000</t>
  </si>
  <si>
    <t>COMISSAO</t>
  </si>
  <si>
    <t>PAGAMENTO PRESTADOR DE SERVIÇO COMERCIAL JHONATA FATURAMENTO R$ 136.400,00*1,2% = 1636,80 pagou 3600,00</t>
  </si>
  <si>
    <t>PAGAMENTO PRESTADOR DE SERVIÇO COMERCIAL LAIS COMERCIAL XCMG                        FATURAMENTO R$ 490.455,44*1,5%                             PIX 10043200605</t>
  </si>
  <si>
    <t>NF</t>
  </si>
  <si>
    <r>
      <t xml:space="preserve">PAGAMENTO PRESTADOR DE SERVIÇO COMERCIAL ROYAL ACESSORIAS JOABSON XCMG - FATURAMENTO 45,00 x53= </t>
    </r>
    <r>
      <rPr>
        <sz val="12"/>
        <color rgb="FFFF0000"/>
        <rFont val="Calibri"/>
        <family val="2"/>
        <scheme val="minor"/>
      </rPr>
      <t>R$2385,00</t>
    </r>
  </si>
  <si>
    <t>PAGAMENTO PRESTADOR DE SERVIÇO COMERCIAL SAMUEL VENTANA                                FATURAMENTO R$ 248.916,00*1,5%</t>
  </si>
  <si>
    <t xml:space="preserve">PAGAMENTO PRESTADOR DE SERVIÇO COMERCIAL  JOAO - CTE 31500,00  - pix 11-958321322    João Cavalheiro Filho                  </t>
  </si>
  <si>
    <t xml:space="preserve">PAGAMENTO PRESTADOR DE SERVIÇO COMERCIAL  DOUGLAS - CTE 31500,00  pix 3ac16611-4708-4d9f-834d-a54b3e0c0a36 Douglas Gregorio De Assis Junior                        </t>
  </si>
  <si>
    <t xml:space="preserve">PAGAMENTO PRESTADOR DE SERVIÇO COMERCIAL CORPORATE WILLIAN 3 VIAGENS </t>
  </si>
  <si>
    <t>PAGAMENTO PRESTADOR DE SERVIÇO COMERCIAL ROYAL ACESSORIAS JOABSON XCMG - FATURAMENTO 45,00 x31= R$1395,00 NF 112664578</t>
  </si>
  <si>
    <t>NF 112664578</t>
  </si>
  <si>
    <t>PAGAMENTO PRESTADOR DE SERVIÇO COMERCIAL SAMUEL VENTANA                                FATURAMENTO R$ 284.727,21*1,5%</t>
  </si>
  <si>
    <t xml:space="preserve">PAGAMENTO PRESTADOR DE SERVIÇO COMERCIAL AO CTE 416 THATO DOUGLAS  CTE 32.000,00  pix 3ac1661147084d9f834da54b3e0c0a36 Douglas Gregorio De Assis Junior                        </t>
  </si>
  <si>
    <t>PAGAMENTO PRESTADOR DE SERVIÇO COMERCIAL LAIS COMERCIAL XCMG                        FATURAMENTO R$ 136.400,00*1,5%</t>
  </si>
  <si>
    <t>PAGAMENTO PRESTADOR DE SERVIÇO COMERCIAL AO CTE 416 THATO PAGAMENTO PIX 01455552836 João Cavalheiro Filho</t>
  </si>
  <si>
    <t xml:space="preserve">PAGAMENTO PRESTADOR DE SERVIÇO COMERCIAL AO CTE 424 THATO João Cavalheiro Filho VERIFICAR SE É 2%  pix 11958321322    João Cavalheiro Filho </t>
  </si>
  <si>
    <t xml:space="preserve">PAGAMENTO PRESTADOR DE SERVIÇO COMERCIAL AO CTE 424 THATO DOUGLAS  CTE 32.000,00  pix 3ac1661147084d9f834da54b3e0c0a36 Douglas Gregorio De Assis Junior                        </t>
  </si>
  <si>
    <t>PAGAMENTO PRESTADOR DE SERVIÇO COMERCIAL VIAGEM 11 WILLIAN 1.6% DO VALOR R$ 5.200,00 = R$ 1000,00</t>
  </si>
  <si>
    <t>PAGAMENTO PRESTADOR DE SERVIÇO COMERCIAL VIAGEM 12 WILLIAN 1.6% DO VALOR R$ 5.800,00 = R$ 1000,00</t>
  </si>
  <si>
    <t>PAGAMENTO PRESTADOR DE SERVIÇO COMERCIAL VIAGEM 13 - Luiz W. B. Guimaraes PIX 18039742000196 SantosxSorriso MT R$ 25.000,00</t>
  </si>
  <si>
    <t>PAGAMENTO PRESTADOR DE SERVIÇO COMERCIAL VIAGEM 14 - Luiz W. B. Guimaraes PIX 18039742000196 SantosxSorriso MT R$ 25.000,00</t>
  </si>
  <si>
    <t>PAGAMENTO PRESTADOR DE SERVIÇO COMERCIAL VIAGEM 13 - WILLIAN 1.6% DO VALOR R$ 25.000,00 SantosxSorriso MT = R$ 1000,00</t>
  </si>
  <si>
    <t>PAGAMENTO PRESTADOR DE SERVIÇO COMERCIAL VIAGEM 14 - WILLIAN 1.6% DO VALOR R$ 25.000,00 SantosxSorriso MT = R$ 1000,00</t>
  </si>
  <si>
    <t xml:space="preserve">PAGAMENTO PRESTADOR DE SERVIÇO COMERCIAL VIAGEM 14 - WILLIAN 1.6% DO VALOR R$ PARA ARREDONDAR O VALOR = R$ 1000,00 </t>
  </si>
  <si>
    <t>PAGAMENTO PRESTADOR DE SERVIÇO COMERCIAL CTE 438 THATO DOUGLAS - CTE 31500,00  pix 3ac16611-4708-4d9f-834d-a54b3e0c0a36 Douglas Gregorio De Assis Junior</t>
  </si>
  <si>
    <t xml:space="preserve">PAGAMENTO PRESTADOR DE SERVIÇO COMERCIAL CTE 438 THATO João Cavalheiro Filho VERIFICAR SE É 2%  pix 11-958321322    João Cavalheiro Filho </t>
  </si>
  <si>
    <t>PAGAMENTO PRESTADOR DE SERVIÇO COMERCIAL CTE 526 THATO DOUGLAS - CTE 31500,00  pix 3ac16611-4708-4d9f-834d-a54b3e0c0a36 Douglas Gregorio De Assis Junior</t>
  </si>
  <si>
    <t xml:space="preserve">PAGAMENTO PRESTADOR DE SERVIÇO COMERCIAL CTE 526 THATO João Cavalheiro Filho VERIFICAR SE É 2%  pix 11-958321322    João Cavalheiro Filho </t>
  </si>
  <si>
    <t>PAGAMENTO PRESTADOR DE SERVIÇO COMERCIAL LAIS da  COSTA NEVES COMERCIAL XCMG         FATURAMENTO R$ 202.400,00*1,5%   R$ 3036,00   - 2046,00 antecipado do mês anterior                            PIX 10043200605</t>
  </si>
  <si>
    <t>PAGAMENTO PRESTADOR DE SERVIÇO COMERCIAL ROYAL ACESSORIAS JOABSON XCMG - FATURAMENTO 45,00 x60= R$ 2700,00 1/2</t>
  </si>
  <si>
    <t>NF 299</t>
  </si>
  <si>
    <t>PAGAMENTO PRESTADOR DE SERVIÇO COMERCIAL SAMUEL VENTANA                                FATURAMENTO R$ *1,5%  152649,00</t>
  </si>
  <si>
    <t>PAGAMENTO PRESTADOR DE SERVIÇO COMERCIAL JHONATA FATURAMENTO R$ 202.400,00*1,2% = 2428,80 ABATER  -1963,20 pix 3599736-1484</t>
  </si>
  <si>
    <t xml:space="preserve">CONTABILIDADE </t>
  </si>
  <si>
    <t>CONTABILIDADE VIA MINAS - PIX ACTUAL CONTABILIDADE</t>
  </si>
  <si>
    <t>CONTABILIDADE VIA MINAS - BOLETO FATTO CONTABILIDADE NF 1073</t>
  </si>
  <si>
    <t>CONTABILIDADE VIA MINAS - BOLETO FATTO CONTABILIDADE 09/2026</t>
  </si>
  <si>
    <t xml:space="preserve">DESPACHANTE </t>
  </si>
  <si>
    <t xml:space="preserve">DOCUMENTO 3 QPM </t>
  </si>
  <si>
    <t>DOCUMENTOS PLACA EVU PAGAMENTO PIX 19775364000171 PRIME ASSESSORIA AU</t>
  </si>
  <si>
    <t>despachante EVU 9e79 PAGAMENTO PIX 08011506633 José Mateus da Silva</t>
  </si>
  <si>
    <t xml:space="preserve">DEVOLUCAO DE EMPRESTIMO </t>
  </si>
  <si>
    <t xml:space="preserve">DEVOLUCAO EMPRESTIMO NUGALHO </t>
  </si>
  <si>
    <t>DEVOLUCAO EMPRESTIMO  PIX 10824208676 JUAN CARLOS TRINDADE</t>
  </si>
  <si>
    <t>DEVOLUCAO EMPRESTIMO  PIX 38707673000159 NU GALHO LTDA</t>
  </si>
  <si>
    <t>DEVOLUCAO EMPRESTIMO  PIX 38707673000310 NU GALHO LTDA</t>
  </si>
  <si>
    <t>DEVOLUCAO EMPRESTIMO  PIX 59022669000127 NU GALHO RAIZ LTDA</t>
  </si>
  <si>
    <t>DEVOLUCAO EMPRESTIMO JUAN CARLOS TRINDADE</t>
  </si>
  <si>
    <t>DEVOLUÇÃO DE EMPRESTIMO DO JUAN PAAGO PARA OUTRA PESSOA PAGAMENTO PIX 08197690618 FELIPE RODRIGUES DAVI  pagamento para abater o que deve o juan</t>
  </si>
  <si>
    <t xml:space="preserve">DEVOLUÇÃO DE EMPRESTIMO PARA O NU GALHO </t>
  </si>
  <si>
    <t>PAGAMENTO CARTÃO DE CREDITO CEF NU GALHO 10498.37030.97008.193043.00115.464893.415850002731784</t>
  </si>
  <si>
    <t>PAGAMENTO CARTÃO DE CREDITO CEF NU GALHO 10498.37030.97008.193043.00115.464976215920002554126</t>
  </si>
  <si>
    <t>PAGAMENTO CARTÃO DE CREDITO CEF NU GALHO 10496.27969 51001.187643 24403.211063 5 15850000493185</t>
  </si>
  <si>
    <t>DEVOLUÇÃO DE EMPRESTIMO PAGAMENTO PIX 38707673000159 NU GALHO LTDA</t>
  </si>
  <si>
    <t>DEVOLUCAO PAGAMENTO PIX 10824208676 JUAN CARLOS TRINDADE</t>
  </si>
  <si>
    <t>DEVOLUCAO PAGAMENTO PIX 38707673000159 NU GALHO LTDA</t>
  </si>
  <si>
    <t xml:space="preserve">DEVOLUÇÃO DE VALOR </t>
  </si>
  <si>
    <t xml:space="preserve">DEVOLUÇÃO 11238547699 FRANCISCO FERNANDES DEVOLUÇÃO DO SIDER </t>
  </si>
  <si>
    <t xml:space="preserve">PIX </t>
  </si>
  <si>
    <t>DEVOLUÇÃO EMPRESTIMO</t>
  </si>
  <si>
    <t>DEVOLUÇÃO PAGAMENTO PIX 38707673000159 NU GALHO LTDA</t>
  </si>
  <si>
    <t>PAGAMENTO PIX 10824208676 JUAN CARLOS TRINDADE</t>
  </si>
  <si>
    <t>DEVOLUCAO DE EMPRESTIMO PAGAMENTO PIX 10824208676 JUAN CARLOS TRINDADE</t>
  </si>
  <si>
    <t>DEVOLUCAO DE EMPRESTIMO NU GALHO PAGAMENTO PIX 38707673000159 NU GALHO LTDA</t>
  </si>
  <si>
    <t>EMPRESTIMO</t>
  </si>
  <si>
    <t xml:space="preserve">Mineiroca Beach Wear  ( mês  08/26 será a ultima parcela e vamos pagar apenas 10000,00 +2% juros </t>
  </si>
  <si>
    <t xml:space="preserve">JUAN CARLOS TRINDADE </t>
  </si>
  <si>
    <t xml:space="preserve">EMPRESTIMO ANA PAULA </t>
  </si>
  <si>
    <t>EMPRESTIMO PARA MARCO ANTONIO Pix Para Marco Antonio De Souza</t>
  </si>
  <si>
    <t>EPI</t>
  </si>
  <si>
    <t>EPI PARA 2 MOTORISTAS RME E RFX PAGAMENTO PIX 04352740829 EDILEIDE FERREIRA DE O</t>
  </si>
  <si>
    <t>COMPRA EPI PARA MOTORISTA SEV PAGAMENTO PIX 61401820697 JOAO BATISTA COELHO</t>
  </si>
  <si>
    <t xml:space="preserve">EPI </t>
  </si>
  <si>
    <t xml:space="preserve">EPI PARA O MOTORISTA JOAO BATISTA PLACA SEZ  PAGAMENTO PIX 04352740829 EDILEIDE FERREIRA DE </t>
  </si>
  <si>
    <t>FROTA162 TECNOLOGIA E INTERMEDIACAO  - Multas Contrato N. 60792412594 - Ref. Jul/2026 - Vencto. 03/08/2026</t>
  </si>
  <si>
    <t xml:space="preserve">RECAPAGEM RECATEC </t>
  </si>
  <si>
    <t>EMPRESTIMO 38707673000159 NU GALHO LTDA</t>
  </si>
  <si>
    <t>ORNELAS COMERCIO E IMPORTACAO LTDA -PNEU NF 1162 1 PARCELA</t>
  </si>
  <si>
    <t>NF 1162</t>
  </si>
  <si>
    <t>RECAPAGEM RECATEC</t>
  </si>
  <si>
    <t>NF 1188</t>
  </si>
  <si>
    <t>GR PARCERIA MONITORAMENTO CONTROLE DE TRAFEGO LTDA NF 2281 - PIX 09.384.726/0001-40</t>
  </si>
  <si>
    <t>NF 2281</t>
  </si>
  <si>
    <t>EMB TRUCK PEÇAS 3/4 NF 15168-03</t>
  </si>
  <si>
    <t>NF 15168</t>
  </si>
  <si>
    <t>EXCED ESCOLTA FATURA 22029 PARCELA 1 - PGTO EXCEDFLEX LICENCA TRAFEGAR FATURA 22029 PARCELA 1</t>
  </si>
  <si>
    <t>R &amp; S ACESSORIOS AUTOMOTIVOS L NF 4995 PLACA SYR4H04</t>
  </si>
  <si>
    <t xml:space="preserve">ORNELAS COMERCIO E IMPORTACAO LTDA -PNEU NF 1192 - 1 PARCELAS </t>
  </si>
  <si>
    <t>NF 1192</t>
  </si>
  <si>
    <t>R &amp; S ACESSORIOS AUTOMOTIVOS L NF 5011</t>
  </si>
  <si>
    <t>NF 5011</t>
  </si>
  <si>
    <t>VIGGA PROPR INTELECTUAL 31 8476-2735 REGISTRO DA MARCA 2/4 PARCELA</t>
  </si>
  <si>
    <t>R &amp; S ACESSORIOS AUTOMOTIVOS L  NF 5015</t>
  </si>
  <si>
    <t>NF 5015</t>
  </si>
  <si>
    <t>TRUCKS CONTROL - SERVICOS DE LOGISTICA LTDA -  instalação de rastreadores SYR / ASX</t>
  </si>
  <si>
    <t>TRUCKS CONTROL - SERVICOS DE LOGISTICA LTDA-  instalação de rastreadores  TCF / IRC</t>
  </si>
  <si>
    <t>TRUCKS CONTROL - SERVICOS DE LOGISTICA LTDA-  instalação de rastreadores  EVO</t>
  </si>
  <si>
    <t>EPI PARA MOTORISTA PLACA TCF PIX 04352740829 EDILEIDE FERREIRA DE O</t>
  </si>
  <si>
    <t>TRUCKS CONTROL - SERVICOS DE LOGISTICA LTDA-  INS - SYR / ASX NF 682080 PARCELA 1</t>
  </si>
  <si>
    <t xml:space="preserve">R &amp; S ACESSORIOS AUTOMOTIVOS L NF 5025 1 PARCELA PLACA </t>
  </si>
  <si>
    <t>NF 5025</t>
  </si>
  <si>
    <t xml:space="preserve">EMPRESTIMO JUA -  juancarlostrindade87@gmail.com SANTANDER </t>
  </si>
  <si>
    <t xml:space="preserve">EMPRESTIMO JUAN -  juancarlostrindade87@gmail.com SANTANDER </t>
  </si>
  <si>
    <t xml:space="preserve">GV CLINICAS CONTAGEM LTDA FUNCIONARIO ? NF 877887688 ADMISSAO/ DEMISSAO </t>
  </si>
  <si>
    <t>RECAPAGEM RECATEC RECUPERAÇÃO DE PNEUS  PLACA FQM4596 NF 7790 +7730  = 1103,33+335,00 pix 42993214000156</t>
  </si>
  <si>
    <t>01 DE 03</t>
  </si>
  <si>
    <t>ISCA FRETE TRATHO CTE 416</t>
  </si>
  <si>
    <t>MEGA COMERCIO E SERV. DE EMBREAGENS LTDA - POZ-6F28 NOTA FISCAL 1463 / 12899</t>
  </si>
  <si>
    <t>NF 12899</t>
  </si>
  <si>
    <t>MEGA COMERCIO E SERV DE EMBREAGENS LTDA POZ6F28 NOTA FISCAL 29328</t>
  </si>
  <si>
    <t>NF 29328</t>
  </si>
  <si>
    <t xml:space="preserve">ORNELAS COMERCIO E IMPORTACAO LTDA -PNEU NF 1162 2 PARCELAS PIX 31 99943-5372 </t>
  </si>
  <si>
    <t>PAPELARIA IMPRESSÃO DOCUMENTO RME</t>
  </si>
  <si>
    <t>PAPELARIA IMPRESSÃO DOCUMENTO SYR</t>
  </si>
  <si>
    <t>PAPELARIA IMPRESSÃO DOCUMENTO SEV</t>
  </si>
  <si>
    <t xml:space="preserve">ORNELAS COMERCIO E IMPORTACAO LTDA -PNEU NF 1192 - 2 PARCELAS </t>
  </si>
  <si>
    <t>EXCED ESCOLTA FATURA NF 22029 PARCELA 2/3 PIX CNPJ 19765808000198</t>
  </si>
  <si>
    <t xml:space="preserve">EPI PARA PLACA SEV </t>
  </si>
  <si>
    <t>FORNECEDOR V4 DIESEL NF 151 e 269</t>
  </si>
  <si>
    <t>SILPA  CNPJ 87.834.099/0001-05 Colocar gastos para todos cavalos</t>
  </si>
  <si>
    <t>R &amp; S ACESSORIOS AUTOMOTIVOS L NF 5112A PLACA SIO Solicitante Marco Antonio</t>
  </si>
  <si>
    <t>NF 5112</t>
  </si>
  <si>
    <t>EXCED ESCOLTA FATURA NF 22221 PARCELA 1/1 PIX CNPJ 19765808000198</t>
  </si>
  <si>
    <t xml:space="preserve">MEGA COMERCIO E SERV. DE EMBREAGENS LTDA - RFX-4H06 NOTA FISCAL 29774 PARCELA 1 Solicitante Marco Antonio pix </t>
  </si>
  <si>
    <t>NF 29774</t>
  </si>
  <si>
    <t>R &amp; S ACESSORIOS AUTOMOTIVOS L NF 5127A  PLACA CUA Solicitante Marco Antonio</t>
  </si>
  <si>
    <t>NF 5127</t>
  </si>
  <si>
    <t>FROTA162 TECNOLOGIA E INTERMEDIACAO  - Multas Contrato N. 60792412594 - Ref. Jul/2026 - Vencto. 03/08/2026 NF 2600000010596</t>
  </si>
  <si>
    <t>R &amp; S ACESSORIOS AUTOMOTIVOS L NF 5144 PARCELA PLACA SYR4H04</t>
  </si>
  <si>
    <t>NF 5144</t>
  </si>
  <si>
    <t>R &amp; S ACESSORIOS AUTOMOTIVOS L NF 5143 PARCELA PLACA SEV6G75</t>
  </si>
  <si>
    <t>NF 5143</t>
  </si>
  <si>
    <t>R &amp; S ACESSORIOS AUTOMOTIVOS L NF 5145 1 PARCELA PLACA QPM7278</t>
  </si>
  <si>
    <t>RECAPAGEM RECATEC  RECUPERAÇÃO DE PNEUS  PLACA FQM4596 NF 7790 + 7730  = 1103,33+335,00 pix 42993214000156</t>
  </si>
  <si>
    <t>GR PARCERIA CONSULTLOG CONTROLE DE TRAFEGO 08-2026 - NF 2544 BOLETO 1727,54</t>
  </si>
  <si>
    <t xml:space="preserve">BOLETO </t>
  </si>
  <si>
    <t>R &amp; S ACESSORIOS AUTOMOTIVOS L NF 5146 1 PARCELA PLACA TCF1D34</t>
  </si>
  <si>
    <t xml:space="preserve">DANIEL JACY DE FARIA RESTANTE DOS PNEUS </t>
  </si>
  <si>
    <t>EMB TRUCK PEÇAS 4/4 NF 15168-03</t>
  </si>
  <si>
    <t>EMB TRUCK PEÇAS 2/4 NF 15168-03</t>
  </si>
  <si>
    <t xml:space="preserve">ISCAS DESCARTÁVEIS 33.962.157 Italo Eduardo Da Costa Lopes De Oliveira r$ 700,00 40390.00007 33962.157021 00560.636011 3 15670000070000 </t>
  </si>
  <si>
    <t xml:space="preserve">ORNELAS COMERCIO E IMPORTACAO LTDA -PNEU NF 1192 - 3 PARCELAS </t>
  </si>
  <si>
    <t>EXCED ESCOLTA FATURA NF 22029 PARCELA 3/3 PIX CNPJ 19765808000198</t>
  </si>
  <si>
    <t xml:space="preserve">TRUCKS CONTROL - SERVICOS DE LOGISTICA LTDA-  INS - SYR / ASX NF 682080 PARCELA 2 - 377,38 </t>
  </si>
  <si>
    <t>VIGGA PROPR INTELECTUAL 31 8476-2735 REGISTRO DA MARCA 3/4 PARCELA valor 1037,50</t>
  </si>
  <si>
    <t xml:space="preserve">R &amp; S ACESSORIOS AUTOMOTIVOS L NF 5025 2 PARCELA PLACA </t>
  </si>
  <si>
    <t>ISCAS DESCARTÁVEIS 33.962.157 Italo Eduardo Da Costa Lopes De Oliveira  r$ 700,00</t>
  </si>
  <si>
    <t>TRUCKS CONTROL - SERVICOS DE LOGISTICA LTDA - CUA6C91 - NF 692760 INSTALAÇÃO DE SENSOR DE DESENGATE  valor 491,24 08490.00104 91000.105170 83009.299401 2 15760000048798</t>
  </si>
  <si>
    <t>TRUCKS CONTROL - SERVICOS DE LOGISTICA LTDA - CUA7A61 - NF 692763 INSTALAÇÃO DE SENSOR DE DESENGATE valor 491,24 08490.00104 91000.105170 84009.299409 1 15760000048798</t>
  </si>
  <si>
    <t>TRUCKS CONTROL - SERVICOS DE LOGISTICA LTDA - RFX4H06 - NF 693051 PARCELA 1 DE 2 valor 240,29 08490.00104 91000.105170 97009.299401 6 15760000023869</t>
  </si>
  <si>
    <t>MEGA COMERCIO E SERV. DE EMBREAGENS LTDA - POZ-6F28 NOTA FISCAL 29328</t>
  </si>
  <si>
    <t>MEGA COMERCIO E SERV. DE EMBREAGENS LTDA - POZ-6F28 NOTA FISCAL 1463</t>
  </si>
  <si>
    <t>TRUCKS CONTROL - SERVICOS DE LOGISTICA LTDA - SYR4H04 NF 3448651  08490.00104 91000.104488 26007.738805 5 15780000014000</t>
  </si>
  <si>
    <t xml:space="preserve">TRUCKS CONTROL - SERVICOS DE LOGISTICA LTDA - RFX4H06 - NF 3449276   INSTALAÇÃO DE SENSOR DE DESENGATE valor 159,64 </t>
  </si>
  <si>
    <t>SO PORTO BR LTDA PERIODO DO DIA 09/09 A 24/09 PIX 57358946000141</t>
  </si>
  <si>
    <t>PAGAMENTO REFERENTE AO RASTREADOR DA SYR Pix Para Ornelas Comercio E Importacao</t>
  </si>
  <si>
    <t>MASTER DISTRIBUIDORA DE PECAS NF 037788 PARCELA 2 75691.41497 01101.529012 01649.460019 3 15840000558434 valor 5584,33</t>
  </si>
  <si>
    <t>DIAS RECUPERADORA DE PECAS NF 965 PLACA ?????</t>
  </si>
  <si>
    <t>FORNECEDOR V4 DIESEL NF 184 E 307 PLACA POZ PARCELA 1 DE 2</t>
  </si>
  <si>
    <t>SILPA  CNPJ 87.834.099/0001-05</t>
  </si>
  <si>
    <t>ISCAS DESCARTÁVEIS  33.962.157 Italo Eduardo Da Costa Lopes De Oliveira 40390.00007 33962.157013 99919.353013 1 15860000012000</t>
  </si>
  <si>
    <t>MEGA COMERCIO E SERV. DE EMBREAGENS LTDA - RFX-4H06 NOTA FISCAL 29774 PARCELA 2 Solicitante Marco Antonio</t>
  </si>
  <si>
    <t>ISCAS DESCARTÁVEI Rastro Seguro Serviço e Tecnologia em Rastreamento Ltda -</t>
  </si>
  <si>
    <t>ISCAS DESCARTÁVEIS  33.962.157 Italo Eduardo Da Costa Lopes De Oliveira 40390.00007 33962.157021 00749.253019 2 15940000012000</t>
  </si>
  <si>
    <t>ISCAS DESCARTÁVEIS  33.962.157 Italo Eduardo Da Costa Lopes De Oliveira 40390.00007 33962.157021 04134.387010 3 16000000070000</t>
  </si>
  <si>
    <t>GR PARCERIA CONSULTLOG CONTROLE DE TRAFEGO 09-2026 - NF 2830 BOLETO 1820,47</t>
  </si>
  <si>
    <t>VIGGA PROPR INTELECTUAL 31 8476-2735 REGISTRO DA MARCA 4/4 PARCELA</t>
  </si>
  <si>
    <t>FORNECEDOR V4 DIESEL NF 184 E 307 PLACA POZ PARCELA 2 DE 2</t>
  </si>
  <si>
    <t>TRUCKS CONTROL - SERVICOS DE LOGISTICA LTDA -NF 695338 PLACA EVU78 PARCELA 2 DE 2</t>
  </si>
  <si>
    <t>MASTER DISTRIBUIDORA DE PECAS NF 037788 PARCELA 3</t>
  </si>
  <si>
    <t>R &amp; S ACESSORIOS AUTOMOTIVOS L NF 5270 2 PARCELA PLACA SYR4H04</t>
  </si>
  <si>
    <t>NF 5270</t>
  </si>
  <si>
    <t>R &amp; S ACESSORIOS AUTOMOTIVOS L NF 5270 1 PARCELA PLACA SYR4H04</t>
  </si>
  <si>
    <t>MEGA COMERCIO E SERV. DE EMBREAGENS LTDA - RFX-4H06 NOTA FISCAL 29774 PARCELA 3 Solicitante Marco Antonio</t>
  </si>
  <si>
    <t>TRUCKS CONTROL - SERVICOS DE LOGISTICA LTDA - MENSALIDADE NF 1783331 RASTREAMENTO PARCIAL MÊS OUTUBRO</t>
  </si>
  <si>
    <t xml:space="preserve">TRUCKS CONTROL - SERVICOS DE LOGISTICA LTDA - MENSALIDADE NF 3535449 BANCO DE DADOS MÊS OUTUBRO </t>
  </si>
  <si>
    <t>TRUCKS CONTROL - SERVICOS DE LOGISTICA LTDA -NF 6999052 TECLADO DO RASTREADOR DO CAMINHÃO DA PLACA RFX4H06 PARC 02</t>
  </si>
  <si>
    <t>TRUCKS CONTROL - SERVICOS DE LOGISTICA LTDA -NF 700934 TELEMETRIA PARC 02 /06</t>
  </si>
  <si>
    <t>R &amp; S ACESSORIOS AUTOMOTIVOS L NF 5270 3 PARCELA PLACA SYR4H04</t>
  </si>
  <si>
    <t>TRUCKS CONTROL - SERVICOS DE LOGISTICA LTDA -NF 6999052 TECLADO DO RASTREADOR DO CAMINHÃO DA PLACA RFX4H06 PARC 03</t>
  </si>
  <si>
    <t>TRUCKS CONTROL - SERVICOS DE LOGISTICA LTDA -NF 700934 TELEMETRIA PARC 03 /06</t>
  </si>
  <si>
    <t>TRUCKS CONTROL - SERVICOS DE LOGISTICA LTDA -NF 700934 TELEMETRIA PARC 04 /06</t>
  </si>
  <si>
    <t>TRUCKS CONTROL - SERVICOS DE LOGISTICA LTDA -NF 700934 TELEMETRIA PARC 05 /06</t>
  </si>
  <si>
    <t>DESPACHANTE PLACA EVU PAGAMENTO PIX 08011506633 José Mateus da Silva</t>
  </si>
  <si>
    <t>TRUCKS CONTROL - SERVICOS DE LOGISTICA LTDA -NF 700934 TELEMETRIA PARC 06 /06</t>
  </si>
  <si>
    <t>E-FRETE SEM PARAR PAGAMENTO PIX 01648418000172 E-FRETE</t>
  </si>
  <si>
    <t xml:space="preserve">LONA PLACA SEV PAGAMENTO PIX 19798192000151 CONVENIENCIA AGUIA </t>
  </si>
  <si>
    <t>PEDAGIO PLACA RFX PAGAMENTO PIX 95278761687 ISRAEL VIEIRA DA SILVA</t>
  </si>
  <si>
    <t xml:space="preserve">COMPRA DE PNEUS PLACA POZ  PAGAMENTO PIX 07965194635 THIAGO PARREIRAS THIAGO GADONI </t>
  </si>
  <si>
    <t>PEDAGIO PARA TODAS AS PLACAS PAGAMENTO PIX 16577631000299 CONECTCAR</t>
  </si>
  <si>
    <t>PEDAGIO PLACA RMEPAGAMENTO PIX 53588967672 ROBERTO FERREIRA DE SO</t>
  </si>
  <si>
    <t xml:space="preserve">PEDAGIO PLACA SEV PAGAMENTO PIX 03739816600 WALLISSON TAMIETTI DE </t>
  </si>
  <si>
    <t>PEDAGIO PLACA RME PAGAMENTO PIX 53588967672 Roberto Ferreira de So</t>
  </si>
  <si>
    <t xml:space="preserve">Pedagio placa RFX PAGAMENTO PIX 03739816600 WALLISSON TAMIETTI DE </t>
  </si>
  <si>
    <t>PEDAGIO PLACA PAGAMENTO PIX 05962409612 GILSON ALVES DA SILVA</t>
  </si>
  <si>
    <t xml:space="preserve">FUNCIONARIO </t>
  </si>
  <si>
    <t>PAGAMENTO FUNCIONARIO FINANCEIRO VERIDIANA ANTUNES</t>
  </si>
  <si>
    <t>07.26</t>
  </si>
  <si>
    <t>PAGAMENTO MOTORISTA - Motorista GILSON</t>
  </si>
  <si>
    <t>PAGAMENTO MOTORISTA - Motorista ISRAEL  23/07     DESCONTO TT 1.305,60 - 1000,00   ADT</t>
  </si>
  <si>
    <t xml:space="preserve">PAGAMENTO MOTORISTA - Motorista RUAN                  DESCONTO TT: 9252,00 - 3.000,00  ADT </t>
  </si>
  <si>
    <t>PAGAMENTO MOTORISTA - Motorista LEONARDO         DESCONTO TT 12.252,00 -3000,00 ADT</t>
  </si>
  <si>
    <t>PAGAMENTO MOTORISTA - Motorista JOAO BATISTA    DESCONTO TT 10652,00 -4294,00   ADT</t>
  </si>
  <si>
    <t>PAGAMENTO MOTORISTA - Motorista SERGIO                DESCONTO TT 8102,00 - 3000,00    ADT</t>
  </si>
  <si>
    <t>PAGAMENTO MOTORISTA - Motorista FABIO                  DESCONTO TT: 6652,00 -3753,00    ADT</t>
  </si>
  <si>
    <t xml:space="preserve">PAGAMENTO MOTORISTA - Motorista WALLISSON 24/07  DESCONTO TT 2.860,00 - 1200,00   ADT </t>
  </si>
  <si>
    <t>PAGAMENTO PRESTADOR DE SERVIÇO EMISSOR Marcos Vinicios NF</t>
  </si>
  <si>
    <t>PAGAMENTO PRESTADOR DE SERVIÇO PROGRAMADOR WELLIGTON</t>
  </si>
  <si>
    <t>PAGAMENTO FUNCIONARIO FINANCEIRO VERIDIANA ANTUNES                                  FLASH</t>
  </si>
  <si>
    <t xml:space="preserve">PAGAMENTO MOTORISTA - Motorista FABIO                         DIFERENÇA </t>
  </si>
  <si>
    <t xml:space="preserve">PAGAMENTO MOTORISTA - Motorista GILSON                       DIFERENÇA </t>
  </si>
  <si>
    <t xml:space="preserve">PAGAMENTO MOTORISTA - Motorista ISRAEL          23/07     DIFERENÇA </t>
  </si>
  <si>
    <t xml:space="preserve">PAGAMENTO MOTORISTA - Motorista LEONARDO                 DIFERENÇA </t>
  </si>
  <si>
    <t xml:space="preserve">PAGAMENTO MOTORISTA - Motorista SERGIO                       DIFERENÇA </t>
  </si>
  <si>
    <t xml:space="preserve">ADT PAGAMENTO MOTORISTA 40% VALOR FIXO - Motorista SERGIO ADIANTAMENTO </t>
  </si>
  <si>
    <t>08.26</t>
  </si>
  <si>
    <t xml:space="preserve">ADT PAGAMENTO MOTORISTA 40% VALOR FIXO - Motorista WALLISSON ADIANTAMENTO </t>
  </si>
  <si>
    <t>ADT PARA O MOTORISTA PLACA RME   PIX 61401820697 JOAO BATISTA COELHO</t>
  </si>
  <si>
    <t xml:space="preserve">ACERTO DE FUNCIONARIO FABIO </t>
  </si>
  <si>
    <t>ADT PAGAMENTO MOTORISTA 40% VALOR FIXO - Motorista Gilson Alves Da Silva</t>
  </si>
  <si>
    <t>ADT PAGAMENTO MOTORISTA 40% VALOR FIXO - Motorista ISRAEL</t>
  </si>
  <si>
    <t>ADT PAGAMENTO MOTORISTA 40% VALOR FIXO - Motorista JOAO BATISTA COELHO</t>
  </si>
  <si>
    <t>ADT PAGAMENTO MOTORISTA 40% VALOR FIXO - Motorista LEONARDO Silva Correia</t>
  </si>
  <si>
    <t>ADT PAGAMENTO MOTORISTA 40% VALOR FIXO - Motorista RUAN</t>
  </si>
  <si>
    <t>ADT PAGAMENTO MOTORISTA 40% VALOR FIXO - Motorista SERGIO Sergio Da Silva Ferreira</t>
  </si>
  <si>
    <t>ADT PAGAMENTO MOTORISTA 40% VALOR FIXO - Motorista WALLISSON</t>
  </si>
  <si>
    <t xml:space="preserve">ADT MOTORISTA ROBERTO FERREIRA DE SOUZA </t>
  </si>
  <si>
    <t xml:space="preserve">ADT PARA O MOTORISTA ROBERTO FERREIRA DE SOUZA PLACA RME </t>
  </si>
  <si>
    <t>PAGAMENTO MOTORISTA - Motorista GILSON PIX 31999191460</t>
  </si>
  <si>
    <t xml:space="preserve">PAGAMENTO MOTORISTA - Motorista ISRAEL  23/07     DESCONTO TT PIX CPF 95278761687 </t>
  </si>
  <si>
    <t xml:space="preserve">PAGAMENTO MOTORISTA - Motorista RUAN                  DESCONTO Tt pix  12195145609 - Ruan Augusto </t>
  </si>
  <si>
    <t>PAGAMENTO MOTORISTA - Motorista LEONARDO         DESCONTO PIX: 3199678-1551</t>
  </si>
  <si>
    <t>PAGAMENTO MOTORISTA - Motorista JOAO BATISTA    DESCONTO TT PIX 614.018.206-97</t>
  </si>
  <si>
    <t>PAGAMENTO MOTORISTA - Motorista SERGIO                DESCONTO TT PIX sergiosilvaferreira99@gmail.com</t>
  </si>
  <si>
    <t>PAGAMENTO MOTORISTA - Motorista ROBERTO                  DESCONTO TT</t>
  </si>
  <si>
    <t xml:space="preserve">PAGAMENTO MOTORISTA - Motorista WALLISSON 24/07  DESCONTO TT </t>
  </si>
  <si>
    <t>PAGAMENTO PRESTADOR DE SERVIÇO PROGRAMADOR WELLIGTON NF 5342470</t>
  </si>
  <si>
    <t>FLASH BENEFICIO DE FUNCIONARIO NF 5558116</t>
  </si>
  <si>
    <t xml:space="preserve">ADT MOTORISTA Ruan Augusto Corrêa </t>
  </si>
  <si>
    <t>ADT</t>
  </si>
  <si>
    <t xml:space="preserve">ADT FUNCIONARIO ROBERTO FERREIRA DE SOUSA </t>
  </si>
  <si>
    <t>PAGAMENTO MOTORISTA - Motorista WALLISSON DIFERENÇA DE COMISSÃO</t>
  </si>
  <si>
    <t xml:space="preserve">PAGAMENTO MOTORISTA - Motorista ROBERTO   DIFERENÇA 3 DIAS </t>
  </si>
  <si>
    <t>ACERTO DE FUNCIONARIO LEONARDO SAIDA 09/09/2026</t>
  </si>
  <si>
    <t>09.26</t>
  </si>
  <si>
    <t>ADT PAGAMENTO MOTORISTACPAGAMENTO PIX 03599371601 ANDRE TADEU PEREIRA DA</t>
  </si>
  <si>
    <t>ADT PAGAMENTO MOTORISTA 40% VALOR FIXO - Motorista Roberto</t>
  </si>
  <si>
    <t xml:space="preserve">ADT DE MOTORISTA GIOVANNI </t>
  </si>
  <si>
    <t xml:space="preserve"> </t>
  </si>
  <si>
    <t xml:space="preserve">ADIANTAMENTO DE MOTORISTA PAGAMENTO PIX 03451506602 GIOVANNI DOS SANTOS GO - Vale Giovani PLACA POZ </t>
  </si>
  <si>
    <t>ADIANTAMENTO MOTORISTA PAGAMENTO PIX 03451506602 GIOVANNI DOS SANTOS GO</t>
  </si>
  <si>
    <t>ADT VALE MOTORISTA PAGAMENTO PIX 03451506602 GIOVANNI DOS SANTOS GO</t>
  </si>
  <si>
    <t xml:space="preserve">PAGAMENTO MOTORISTA - Motorista ISRAEL  23/07     PIX CPF 95278761687 </t>
  </si>
  <si>
    <t xml:space="preserve">PAGAMENTO MOTORISTA - Motorista RUAN                   PIX  12195145609 - Ruan Augusto </t>
  </si>
  <si>
    <t>PAGAMENTO MOTORISTA - Motorista JOAO BATISTA     PIX 614.018.206-97</t>
  </si>
  <si>
    <t>PAGAMENTO MOTORISTA - Motorista SERGIO                 PIX sergiosilvaferreira99@gmail.com</t>
  </si>
  <si>
    <t>PAGAMENTO MOTORISTA - Motorista ROBERTO              PIX</t>
  </si>
  <si>
    <t>PAGAMENTO MOTORISTA - Motorista WALLISSON 24/07  PIX</t>
  </si>
  <si>
    <t>PAGAMENTO MOTORISTA - Motorista  GIOVANNI 25/09    PIX</t>
  </si>
  <si>
    <t xml:space="preserve">PAGAMENTO FUNCIONARIO FINANCEIRO VERIDIANA ANTUNES DEVOLUÇÃO EFETUADA NO MESMO DIA </t>
  </si>
  <si>
    <t xml:space="preserve">PAGAMENTO PRESTADOR DE SERVIÇO PROGRAMADOR WELLIGTON NF </t>
  </si>
  <si>
    <t>FLASH BENEFICIO DE FUNCIONARIO NF 00020101021226820014BR.GOV.BCB.PIX2560api.itau/pix/qr/v2/cobv/99f735f8-2ff7-4332-8006-309e212615fb5204000053039865802BR5909FLASH APP6009SAO PAULO62070503***6304B9FD</t>
  </si>
  <si>
    <t>10.26</t>
  </si>
  <si>
    <t>ADT PAGAMENTO MOTORISTA 40% VALOR FIXO - Motorista JOAO BATISTA COELHO PIX 614.018.206-97</t>
  </si>
  <si>
    <t>ADT PAGAMENTO MOTORISTA 40% VALOR FIXO - Motorista RUAN pix 12195145609 cpf</t>
  </si>
  <si>
    <t>ADT PAGAMENTO MOTORISTA 40% VALOR FIXO - Motorista SERGIO Sergio Da Silva Ferreira pix sergiosilvaferreira99@gmail.com</t>
  </si>
  <si>
    <t xml:space="preserve">ADT PAGAMENTO MOTORISTA 40% VALOR FIXO - Motorista WALLISSON PIX Pix tel . 31992151840 </t>
  </si>
  <si>
    <t>ADT PAGAMENTO MOTORISTA 40% VALOR FIXO - Motorista Roberto PIX robertoferreiradesouza.toraa@gmail.com</t>
  </si>
  <si>
    <t xml:space="preserve">ADT PAGAMENTO MOTORISTA 40% VALOR FIXO - Motorista FLAVIO PIX 64378385000108 CNPJ BANCO Inter </t>
  </si>
  <si>
    <t>ADT PAGAMENTO MOTORISTA 40% VALOR FIXO - Motorista Giovani</t>
  </si>
  <si>
    <t>ADT DE FUNCIONARIO GIOVANNI DOS SANTOS GODINHO</t>
  </si>
  <si>
    <t xml:space="preserve">ADT PAGAMENTO MOTORISTA 40% VALOR FIXO - Motorista Giovani pix 31997097908 31997097908 </t>
  </si>
  <si>
    <t>GNRE</t>
  </si>
  <si>
    <t>PGTO GNRE CTE 365  PLACA PUO-7J56 - 85820000029 5  40000300262 0  22010000337 8  89957309400 4</t>
  </si>
  <si>
    <t>ICMS DO CTE 416 TRATHO</t>
  </si>
  <si>
    <t>ICMS THATO CTE 416 PAGAMENTO PIX 00394585000171 ESTADO DE RONDONIA</t>
  </si>
  <si>
    <t>GNRE THATO CTE 438</t>
  </si>
  <si>
    <t xml:space="preserve">GNRE </t>
  </si>
  <si>
    <t>GNRE FRETE THATO CTE 526 DEBITO CONVENIOS 00000000000191 SEFROGN-C</t>
  </si>
  <si>
    <t xml:space="preserve">HOSPEDAGEM </t>
  </si>
  <si>
    <t>HOSPEDAGEM HOTEL FERNANDAO</t>
  </si>
  <si>
    <t>GIOVANNI DOS SANTOS GODINHO POZ HOSPEDAGEM</t>
  </si>
  <si>
    <t>IMPOSTO DAE</t>
  </si>
  <si>
    <t xml:space="preserve">DAE Diferença de Alíquota - MG - CNPJ e CPF e IE - Cod 317-8 : 09/2026 </t>
  </si>
  <si>
    <t>IMPOSTO DARF</t>
  </si>
  <si>
    <t>20.10 DARF - CSRF - 5952 -RETENÇÕES 09-2026 - Via Minas IMPOSTO</t>
  </si>
  <si>
    <t>20.10 DARF - 01 MAED - DCTFWEB -RETENÇÕES 17/12/-2024 - Via Minas IMPOSTO - 85800000002 0 19760385262 8 88071626288 5 86406101003 8</t>
  </si>
  <si>
    <t xml:space="preserve">IMPOSTO DARF </t>
  </si>
  <si>
    <t xml:space="preserve">18/09 DARF CONTRIBUIÇÃO PATRONAL agosto/2026 PRECISA SER RECALCULADA </t>
  </si>
  <si>
    <t>20/10 DARF CONTRIBUIÇÃO PATRONAL setembro/2026</t>
  </si>
  <si>
    <t>20/10 DARF CONTRIBUIÇÃO PATRONAL junho/2026 85880000002 4 99660385262 0 94071626288 2 86855380582 7</t>
  </si>
  <si>
    <t>20/10 DARF CONTRIBUIÇÃO PATRONAL julho/2026</t>
  </si>
  <si>
    <t xml:space="preserve">IMPOSTO FGTS </t>
  </si>
  <si>
    <t>GFD - Guia do FGTS Digital</t>
  </si>
  <si>
    <t xml:space="preserve">IMPOSTO ICMS </t>
  </si>
  <si>
    <t xml:space="preserve">35 BOLETOS DE IMPOSTOS DE ICMS MÊS AGOSTO </t>
  </si>
  <si>
    <t>VERIFICAR</t>
  </si>
  <si>
    <t xml:space="preserve">IMPOSTO IPVA </t>
  </si>
  <si>
    <t xml:space="preserve">PGTO 3 PARCELA IPVA DOCUMENTO VEICULO QPM7278 </t>
  </si>
  <si>
    <t>IMPOSTO IRPF</t>
  </si>
  <si>
    <t>20.10 GUIA IRRF 09-2026 - Via Minas IMPOSTO</t>
  </si>
  <si>
    <t>IMPOSTO ISSQN</t>
  </si>
  <si>
    <t>ISSQN Mensal - CNPJ e CPF - Contagem - MG 09/2026 REFRENTE AO MÊS 09.2026 -</t>
  </si>
  <si>
    <t>MAIS SOLUCOES</t>
  </si>
  <si>
    <t>MAIS SOLUÇÕES TECHNORASTRO JOAO VICTOR CEZINHA 10.08 Boleto_  USO MAIS SOLUÇÕES - MAIS SOLUÇÕES</t>
  </si>
  <si>
    <t>NF 86</t>
  </si>
  <si>
    <t xml:space="preserve">MULTA </t>
  </si>
  <si>
    <t xml:space="preserve">MULTA ATRASO DE CONTAINER PLACA SEZ JOAO BATISTA </t>
  </si>
  <si>
    <t xml:space="preserve">MULTAS </t>
  </si>
  <si>
    <t>ARRECADACAO ESTADUAL PLACA EVU9E79</t>
  </si>
  <si>
    <t xml:space="preserve">DEBITO CONVENIOS 00000000000191 SEFAZMG-G - Prova que perdi para viajar para via minas JUAN </t>
  </si>
  <si>
    <t>NUGALHO</t>
  </si>
  <si>
    <t>PAGAMENTO NU GALHO LM ( Nugalho contagem)  - multas PGTO DE MULTAS SEV6G75 E SEZ8G61</t>
  </si>
  <si>
    <t>PAGAMENTO NUGALHO Parcela do Volvo placa RME9B20 - início dia 26/02 - PARCELA 08 DEBITO SICRED</t>
  </si>
  <si>
    <t>PAGAMENTO NU GALHO  Parcela do Volvo placa RME9B20 - início dia 26/02 - PARCELA 07 DEBITO SICRED</t>
  </si>
  <si>
    <t xml:space="preserve">PAGAMENTO NU GALHO LM ( Nu galho contagem)  - SEV6G75 - PAGAMENTOS MENSAIS 36 MESES A PARTIR DE JUNHO/2026 - 6 PARCELA </t>
  </si>
  <si>
    <t xml:space="preserve">FIXO </t>
  </si>
  <si>
    <t xml:space="preserve">PAGAMENTO NU GALHO LM ( Nu galho contagem) -  SEZ8G61 - PAGAMENTOS MENSAIS 36 MESES A PARTIR DE JUNHO/2026 - 6 PARCELA </t>
  </si>
  <si>
    <t>PARCELA CAMINHAO</t>
  </si>
  <si>
    <t xml:space="preserve">PRESTACAO DO CAMINHAO QPM  no Sicoob - juancarlostrindade87@gmail.com </t>
  </si>
  <si>
    <t>PRESTAÇÃO VOLVO FH - POZ - 2/21 Mm Company Participacoes Ltda</t>
  </si>
  <si>
    <t>2. 21</t>
  </si>
  <si>
    <t>PRESTACAO DO RFX - Selva pagamento pelo itau - Pix cnpj : 65.167.050/0001-03- MM COMPANY PARTICIPACOES LTDA</t>
  </si>
  <si>
    <t>PRESTACAO SYR PARCELA 03.42 Ornelas Transporte E Logistica - 01.42</t>
  </si>
  <si>
    <t>01. 42</t>
  </si>
  <si>
    <t xml:space="preserve">PRESTACAO TCF MAIS SOLUCOES 10X 13.000,00 PARCELA 1 - PIX 56992505000134 - 10 parcelas </t>
  </si>
  <si>
    <t>01. 10</t>
  </si>
  <si>
    <t>PRESTACAO DO CAMINHAO TCF  32 PARCELAS 01/32</t>
  </si>
  <si>
    <t>01 DE 32</t>
  </si>
  <si>
    <t>PRESTACAO  TCF MAIS SOLUCOES 10X 13.000,00 PARCELA 2 - PIX e98e55eb-6742-455d-9b93-5b625b9a0cb7  - 10 parcelas</t>
  </si>
  <si>
    <t>02. 10</t>
  </si>
  <si>
    <t>PRESTAÇÃO VOLVO FH - POZ - 3/21 Mm Company Participacoes Ltda</t>
  </si>
  <si>
    <t>3. 21</t>
  </si>
  <si>
    <t xml:space="preserve">PRESTACAO SYR PARCELA 03.42 Ornelas Transporte E Logistica - 02.42 CHEQUE </t>
  </si>
  <si>
    <t>02. 42</t>
  </si>
  <si>
    <t>PRESTACAO DO CAMINHAO TCF  32 PARCELAS 02/32 com juros r$ 44,39 e multa 357,53</t>
  </si>
  <si>
    <t>02 DE 32</t>
  </si>
  <si>
    <t>PRESTACAO  TCF MAIS SOLUCOES 10X 13.000,00 PARCELA 3 - PIX e98e55eb-6742-455d-9b93-5b625b9a0cb7  - 10 parcelas</t>
  </si>
  <si>
    <t>03. 10</t>
  </si>
  <si>
    <t>PRESTACAO DO CAMINHAO TCF  32 PARCELAS 03/32</t>
  </si>
  <si>
    <t>03 DE 32</t>
  </si>
  <si>
    <t>PRESTAÇÃO VOLVO FH - POZ - 4/21 Mm Company Participacoes Ltda</t>
  </si>
  <si>
    <t>4. 21</t>
  </si>
  <si>
    <t>PRESTACAO SYR PARCELA 03.42 Ornelas Transporte E Logistica - 03.42 CHEQUE</t>
  </si>
  <si>
    <t>03. 42</t>
  </si>
  <si>
    <t>PRESTACAO  TCF MAIS SOLUCOES 10X 13.000,00 PARCELA 4 - PIX e98e55eb-6742-455d-9b93-5b625b9a0cb7  - 10 parcelas</t>
  </si>
  <si>
    <t>04. 10</t>
  </si>
  <si>
    <t>PRESTACAO DO CAMINHAO TCF  32 PARCELAS 04/32</t>
  </si>
  <si>
    <t>04 DE 32</t>
  </si>
  <si>
    <t>PRESTACAO  TCF MAIS SOLUCOES 10X 13.000,00 PARCELA 5 - PIX e98e55eb-6742-455d-9b93-5b625b9a0cb7  - 10 parcelas</t>
  </si>
  <si>
    <t>05. 10</t>
  </si>
  <si>
    <t>PRESTACAO DO CAMINHAO TCF  32 PARCELAS 05/32</t>
  </si>
  <si>
    <t>05 DE 32</t>
  </si>
  <si>
    <t>PRESTACAO  TCF MAIS SOLUCOES 10X 13.000,00 PARCELA 6 - PIX e98e55eb-6742-455d-9b93-5b625b9a0cb7  - 10 parcelas</t>
  </si>
  <si>
    <t>06. 10</t>
  </si>
  <si>
    <t>PRESTACAO DO CAMINHAO TCF  32 PARCELAS 06/32</t>
  </si>
  <si>
    <t>06 DE 32</t>
  </si>
  <si>
    <t>PRESTACAO TCF MAIS SOLUCOES 10X 13.000,00 PARCELA 7 - PIX e98e55eb-6742-455d-9b93-5b625b9a0cb7  - 10 parcelas</t>
  </si>
  <si>
    <t>07. 10</t>
  </si>
  <si>
    <t>PRESTACAO DO CAMINHAO TCF  32 PARCELAS 07/32</t>
  </si>
  <si>
    <t>07 DE 32</t>
  </si>
  <si>
    <t>PRESTACAO TCF MAIS SOLUCOES 10X 13.000,00 PARCELA 8 - PIX e98e55eb-6742-455d-9b93-5b625b9a0cb7  - 10 parcelas</t>
  </si>
  <si>
    <t>08. 10</t>
  </si>
  <si>
    <t>PRESTACAO DO CAMINHAO TCF  32 PARCELAS 08/32</t>
  </si>
  <si>
    <t>08 DE 32</t>
  </si>
  <si>
    <t>PRESTACAO  TCF MAIS SOLUCOES 10X 13.000,00 PARCELA 9 - PIX 5e98e55eb-6742-455d-9b93-5b625b9a0cb7  - 10 parcelas</t>
  </si>
  <si>
    <t>09. 10</t>
  </si>
  <si>
    <t>PRESTACAO DO CAMINHAO TCF  32 PARCELAS 09/32</t>
  </si>
  <si>
    <t>09 DE 32</t>
  </si>
  <si>
    <t>PRESTACAO  TCF MAIS SOLUCOES 10X 13.000,00 PARCELA 10 - PIX e98e55eb-6742-455d-9b93-5b625b9a0cb7  - 10 parcelas</t>
  </si>
  <si>
    <t>10. 10</t>
  </si>
  <si>
    <t>PRESTACAO DO CAMINHAO TCF  32 PARCELAS 10/32</t>
  </si>
  <si>
    <t>10 DE 32</t>
  </si>
  <si>
    <t>PEDAGIO</t>
  </si>
  <si>
    <t xml:space="preserve">PLACA ? E-frete Nstech Ip S.a. PAGO POR JUAN </t>
  </si>
  <si>
    <t>E-FRETE Vale pedágio CTE 365 Frete Leafer - Terceiro Pedágio Placa PUO7J56</t>
  </si>
  <si>
    <t>PEDAGIO CTE 378 - PLACA TDN1J07 - FRETE FEITO PELA MAIS SOLUÇÕES</t>
  </si>
  <si>
    <t>CTE 378</t>
  </si>
  <si>
    <t>Pedágio de Volta Fabrico - Ref. ao CTE 337 E 338 - Frete XCMG TOTAL- R$345,95 - Pedágio Ida diferença R$78,23</t>
  </si>
  <si>
    <t>CTE 337 E 338</t>
  </si>
  <si>
    <t>Pedágio de Volta Fabrico - Ref. ao CTE 349 E 350 - Frete XCMG TOTAL R$ 345,95 - Pedágio ida diferença + R$78,23</t>
  </si>
  <si>
    <t>CTE 349 E 350</t>
  </si>
  <si>
    <t>PEDAGIO SEM PARAR 04088208000165 Sem Parar Instituic</t>
  </si>
  <si>
    <t xml:space="preserve">PEDAGIO E-FRETE </t>
  </si>
  <si>
    <t>PEDAGIO REEMBOLSO DE SEM PARAR Sergio Da Silva Ferreira</t>
  </si>
  <si>
    <t xml:space="preserve">PEDAGIO </t>
  </si>
  <si>
    <t>PEDAGIO EFRETE TDN1J06</t>
  </si>
  <si>
    <t>E-FRETE PEDAGIO</t>
  </si>
  <si>
    <t>PEDAGIO E-FRETE VIA FACIL/SEM PARAR</t>
  </si>
  <si>
    <t>PEDAGIO PAGAMENTO PIX 01648418000172 E-FRETE</t>
  </si>
  <si>
    <t>MENSALIDADE EFRETE NSTECH IP INSTITUIÇÃO DE PAGAMENTO S.A</t>
  </si>
  <si>
    <t>TAXA DE UTILIZAÇÃO EFRETE DO SISTEMA NSTECH IP INSTITUIÇÃO DE PAGAMENTO S.A</t>
  </si>
  <si>
    <t>PEDAGIO E-FRETE VIA FACIL/SEM PARAR 26209190953</t>
  </si>
  <si>
    <t>PAGAMENTO PIX 12195145609 RUAN AUGUSTO CORREA TE</t>
  </si>
  <si>
    <t xml:space="preserve">PLACA QPM  RECIBOS DE PEDAGIOS RUAM PLACA QPM </t>
  </si>
  <si>
    <t xml:space="preserve">cartao sicoob conta Juancarlos@gmail.com vencimento todo dia 03 CONECTCAR </t>
  </si>
  <si>
    <t xml:space="preserve">POSTO FISCAL </t>
  </si>
  <si>
    <t>PGTO POSTO FISCAL LIBERACAO FRETE DINLOG PAGAMENTO Pix Para Wallisson Tamietti De Siqueira</t>
  </si>
  <si>
    <t xml:space="preserve">PRO-LABORE </t>
  </si>
  <si>
    <t>PRÓ-LABORE JUAN - PIX CPF SICRED</t>
  </si>
  <si>
    <t>PRÓ-LABORE MARCO - PIX CPF SICRED</t>
  </si>
  <si>
    <t>CONTA DIGITAL VIVO 08/2026 FINACEIRO E PROGRAMACAO  TELEFONIA Período: 25/08/2026 a 24/09/2026</t>
  </si>
  <si>
    <t xml:space="preserve">VERIIFICAR </t>
  </si>
  <si>
    <t>REEMBOLSO</t>
  </si>
  <si>
    <t xml:space="preserve">VIRA DE CONTAINER DOS MOTORISTAS JOAO, ROBERTO, SERGIO, WILLIAN </t>
  </si>
  <si>
    <t xml:space="preserve">PAGAMENTO PRESTADOR DE SERVIÇO PROGRAMADOR WELLIGTON DIF DE SALARIO </t>
  </si>
  <si>
    <t>PASSAGEM DO MOTORISTA PLACA RFX PAGAMENTO PIX 95278761687 ISRAEL VIEIRA DA SILVA</t>
  </si>
  <si>
    <t>RETIRADA SOCIO</t>
  </si>
  <si>
    <t>DISTRIBUICAO DE LUCRO 01530448611 MARCO ANTONIO DE SOUZA</t>
  </si>
  <si>
    <t>DISTRIBUICAO DE LUCRO 10824208676 JUAN CARLOS TRINDADE</t>
  </si>
  <si>
    <t>PAGAMENTO MARCO - PIX CPF SICRED</t>
  </si>
  <si>
    <t>SEGURO</t>
  </si>
  <si>
    <t xml:space="preserve">⁠SEGURO AUTO CARGAS Seguro RFX /RME/ SEV / SEZ/ POZ </t>
  </si>
  <si>
    <t xml:space="preserve">SEGURO Allianz Seguros S.A ARCANJO CORRETORA DE SEGURO SEGURO TERCEIROS </t>
  </si>
  <si>
    <t xml:space="preserve">SEGURO AVAP CARRETA PLACA QPM - fazer pelo itau </t>
  </si>
  <si>
    <t>SEGURO Allianz Seguros S.A SEGURO DAS CARGAS E CTES AVARIA</t>
  </si>
  <si>
    <t xml:space="preserve">SEGURO Allianz Seguros S.A SEGURO DAS CARGAS E CTES ROUBOS </t>
  </si>
  <si>
    <t xml:space="preserve">SEGURO PLACA TCF - EM NOME DA MAIS SOLUÇÕES </t>
  </si>
  <si>
    <t>TECHNORASTRO LTDA NF 96 MENSALIDADE r$ 341,41</t>
  </si>
  <si>
    <t>NF 96</t>
  </si>
  <si>
    <t>TECHNORASTRO LTDA NF 101 ISCA E TAXA ENTREGA r$ 484,97</t>
  </si>
  <si>
    <t>NF 101</t>
  </si>
  <si>
    <t>⁠AUTO CARGAS Seguro RFX /RME/ SEV / SEZ/ POZ - SOLICITAR MARCOS VINICIUS</t>
  </si>
  <si>
    <t>Allianz Seguros S.A SEGURO DAS CARGAS E CTES AVARIA 03399.79320 23500.007374 41965.201019 1 15830000417576</t>
  </si>
  <si>
    <t>Allianz Seguros S.A SEGURO DAS CARGAS E CTES ROUBOS 03399.79320 23500.007374 41966.001012 5 15830000417576</t>
  </si>
  <si>
    <t>SEGURO AVAP CARRETA PLACA QPM - 75691.31662 01104.936404 47268.370013 4 15980000141884 -</t>
  </si>
  <si>
    <t>Allianz Seguros S.A ARCANJO CORRETORA DE SEGURO TERCEIROS 03399.79320 23500.007358 14127.401017 3 15820000077314 - VALOR 773,14</t>
  </si>
  <si>
    <t>PGTO BSOFT Internetworks MELHORIA DO SISTEMA</t>
  </si>
  <si>
    <t>FRETEBRAS REFERENTE AO 30.08 A 29/09 NF 34188080 PIX 00020101021226890014br.gov.bcb.pix2567qr.iugu.com/public/payload/v2/cobv/D5EEC6D9BEDA4B268F3E7AE2A6BA5A5D5204000053039865406400.005802BR5925FRETEBRAS INTERNET E SERV6007BARUERI62070503***63040B4D</t>
  </si>
  <si>
    <t>PGTO BSOFT Internetworks MELHORIA DO SISTEMA 34191.09016 78510.013846 90617.380002 3 15640000014900</t>
  </si>
  <si>
    <t>BSOFT SOFTWARE Fatura 1780995 BOLETO r$ 1679,29 NF 140230</t>
  </si>
  <si>
    <t>FRETEBRAS REFERENTE AO 30.09 A 29/10 PIX 00020101021226890014br.gov.bcb.pix2567qr.iugu.com/public/payload/v2/cobv/EA64B37B3CAD49C7A18087D00D0D039E5204000053039865406400.005802BR5925FRETEBRAS INTERNET E SERV6007BARUERI62070503***63042905</t>
  </si>
  <si>
    <t>TARIFA BANCARIA</t>
  </si>
  <si>
    <t xml:space="preserve">TARIFA SERV.COBR.TITULOS SICRED EMISSÃO DE BOLETO </t>
  </si>
  <si>
    <t xml:space="preserve">TARIFA BANCARIA </t>
  </si>
  <si>
    <t>TARIFA SERV.COBR.TITULOS</t>
  </si>
  <si>
    <t xml:space="preserve">TARIFA DE BAIXA DE TITULOS SICRED </t>
  </si>
  <si>
    <t xml:space="preserve">40 FOLHAS DE CHEQUE PAGAMENTO DA SYR ORNELAS </t>
  </si>
  <si>
    <t>CESTA DE SERVIÇO BANCARIOS SICRED</t>
  </si>
  <si>
    <t>TARIFA BANCARIA SALDO MÊS ANTERIOR</t>
  </si>
  <si>
    <t xml:space="preserve">TARIFA SERV.COBR.TITULOS SICOOB </t>
  </si>
  <si>
    <t>TARIFA BANCARIA JUROS LIMITE DA CONTA</t>
  </si>
  <si>
    <t>01/09/2026</t>
  </si>
  <si>
    <t>TARIFA BANCARIA JUROS EXCESSO LIM CONTA</t>
  </si>
  <si>
    <t>TARIFA BANCARIAIOF 6938.74700-0/    C/C</t>
  </si>
  <si>
    <t>02/09/2026</t>
  </si>
  <si>
    <t>TARIFA BANCARIA IOF</t>
  </si>
  <si>
    <t>TARIFA BANCARIA JUROS       6938.74700-0</t>
  </si>
  <si>
    <t>23/09/2026</t>
  </si>
  <si>
    <t>TARIFA BAIXA DE TITULOS COB000011</t>
  </si>
  <si>
    <t>TARIFA CESTA DE SERVIÇOS</t>
  </si>
  <si>
    <t>TARIFA SERV.COBR.TITULOS COB000005</t>
  </si>
  <si>
    <t xml:space="preserve">TAR PIX PGTO TRANSF       </t>
  </si>
  <si>
    <t>FATURA ITAU EMPRESAS V</t>
  </si>
  <si>
    <t>TARIFA SERV.COBR.TITULOS COB000006</t>
  </si>
  <si>
    <t>TARIFA BAIXA DE TITULOS COB000002</t>
  </si>
  <si>
    <t>USADO PARA PAGAR O JUROS DO DINHEIRO PEGO PARA A VIA MINAS PAGAMENTO PIX 10824208676 JUAN CARLOS TRINDADE</t>
  </si>
  <si>
    <t>TARIFA SERV.COBR.TITULOS COB000003</t>
  </si>
  <si>
    <t>TARIFA SERV.COBR.TITULOS COB000004</t>
  </si>
  <si>
    <t xml:space="preserve">CONTA DIGITAL VIVO 08/2026 FINACEIRO E PROGRAMACAO </t>
  </si>
  <si>
    <t>TRANSFERENCIA ENTRE CONTAS</t>
  </si>
  <si>
    <t xml:space="preserve">TRANSFERENCIA ENTRE CONTAS SICREDI PARA ITAU </t>
  </si>
  <si>
    <t xml:space="preserve">BANCO SICOOB PARA ITAU </t>
  </si>
  <si>
    <t xml:space="preserve">TRANSFERENCIA ENTRE CONTAS </t>
  </si>
  <si>
    <t xml:space="preserve">PAGAMENTO CARTÃO DE CREDITO ITAU </t>
  </si>
  <si>
    <t>UBER</t>
  </si>
  <si>
    <t>REEMBOLSO DE UBER VIAGENS DIA 21/07 R$ 57,90 E 30/07 R$ 48,10</t>
  </si>
  <si>
    <t>REEMBOLSO DE UBER ENVIO DE TAG E CARTOES DE ABASTECIMENTO PLACA SYR4H04 MARCOS VINICIOS</t>
  </si>
  <si>
    <t>REEMBOLSO DE UBER VIAGENS DIA 04/08 R$ 54,91 + 11/08 R$ 55,91 + 18/08 R$ 53,91 = 164,73</t>
  </si>
  <si>
    <t>REEMBOLSO DE UBER PAGAMENTO PIX 12938083696 Marcos Vinicius Magalh</t>
  </si>
  <si>
    <t>PAGAMENTO PIX 34276192811 Izabela Carvalho Tunne</t>
  </si>
  <si>
    <t>REMMBOLSO DE UBER ROBERTO</t>
  </si>
  <si>
    <t>REEMBOLSO DE UBER VIAGENS DIA 25/08 R$ 53,87 + 01/09 R$ 58,86 + 08/09 R$ 53,89  22/09 R$ 56,90  29/09 R$ 53,86</t>
  </si>
  <si>
    <t>UBER PAGAMENTO PIX 14154010638 IGOR NIQUELINOS SILVAN</t>
  </si>
  <si>
    <t>UBER PARA MOTORISTA PLACA POZ PAGAMENTO PIX 03451506602 GIOVANNI DOS SANTOS GO</t>
  </si>
  <si>
    <t>PAGAMENTO DE UBER PLACA POZ PAGAMENTO PIX 17895646000187 UBER DO BRASIL TECN</t>
  </si>
  <si>
    <t>REEMBOLSO DE UBER VIAGENS DIA 05/10 R$ 53,40 +  06/10 R$ 53,88 + 08/10 R$ 56,91  13/10 R$ 54,85 15/10 R$ 54,85</t>
  </si>
  <si>
    <t>UBER PARA MOTORISTA GIOVANNI DOS SANTOS GODINHO</t>
  </si>
  <si>
    <t xml:space="preserve">USO </t>
  </si>
  <si>
    <t>PAGAMENTO DE CAPA DE CHUVA RUAN E SERGIO PAGAMENTO PIX 03782011000169 ELETRICA PARANA</t>
  </si>
  <si>
    <t>VIAGEM</t>
  </si>
  <si>
    <t>PASSAGENS Outlet De Passagens</t>
  </si>
  <si>
    <t>PASSAGEM PARA MOTORISTA PAGAMENTO PIX 45718545000176 Outlet de Passagens</t>
  </si>
  <si>
    <t xml:space="preserve">VIAGEM </t>
  </si>
  <si>
    <t>ALIMENTACAO JUAN E MARCO ANTONIO</t>
  </si>
  <si>
    <t xml:space="preserve">ALIMENTACAO JUAN E MARCO ANTONIO AVELINOS </t>
  </si>
  <si>
    <t>ALIMENTACAO JUAN E MARCO ANTONIO Mel Restaurante E Grill Ltda</t>
  </si>
  <si>
    <t>HOSPEDAGEM JUAN E MARCO ANTONIO Booking.com Brasil Servicos De Reserva De Hoteis Ltda.</t>
  </si>
  <si>
    <t xml:space="preserve">POUSADA CANOA GUARUJA LTDA </t>
  </si>
  <si>
    <t>PIX 09967852010602 hotelaria accor HOTEL JONATHA</t>
  </si>
  <si>
    <t>PAGAMENTO NU GALHO Parcela do Volvo placa RME9B20 - início dia 26/02 - PARCELA 06 DEBITO SICRED</t>
  </si>
  <si>
    <t xml:space="preserve">06. </t>
  </si>
  <si>
    <t xml:space="preserve">PAGAMENTO NU GALHO LM ( Nugalho contagem)  - SEV6G75 - PAGAMENTOS MENSAIS 36 MESES A PARTIR DE JUNHO/2026 - 3 PARCELA </t>
  </si>
  <si>
    <t>3. 36</t>
  </si>
  <si>
    <t xml:space="preserve">PAGAMENTO NU GALHO LM ( Nugalho contagem) -  SEZ8G61 - PAGAMENTOS MENSAIS 36 MESES A PARTIR DE JUNHO/2026 - 3 PARCELA </t>
  </si>
  <si>
    <t xml:space="preserve">PAGAMENTO NU GALHO LM ( Nu galho contagem)  - SEV6G75 - PAGAMENTOS MENSAIS 36 MESES A PARTIR DE JUNHO/2026 - 4 PARCELA </t>
  </si>
  <si>
    <t xml:space="preserve">PAGAMENTO NU GALHO LM ( Nu galho contagem) -  SEZ8G61 - PAGAMENTOS MENSAIS 36 MESES A PARTIR DE JUNHO/2026 - 4 PARCELA </t>
  </si>
  <si>
    <t xml:space="preserve">PAGAMENTO NU GALHO LM ( Nu galho contagem)  - SEV6G75 - PAGAMENTOS MENSAIS 36 MESES A PARTIR DE JUNHO/2026 - 5 PARCELA </t>
  </si>
  <si>
    <t xml:space="preserve">PAGAMENTO NU GALHO LM ( Nu galho contagem) -  SEZ8G61 - PAGAMENTOS MENSAIS 36 MESES A PARTIR DE JUNHO/2026 - 5 PARCELA </t>
  </si>
  <si>
    <t xml:space="preserve">CONTAS A RECEBER VIA MINAS LOGISTICA </t>
  </si>
  <si>
    <t xml:space="preserve">CLIENTE </t>
  </si>
  <si>
    <t xml:space="preserve">DESCRIÇÃO </t>
  </si>
  <si>
    <t>MOTORISTA</t>
  </si>
  <si>
    <t xml:space="preserve">CTE </t>
  </si>
  <si>
    <t>DT EMISSÃO</t>
  </si>
  <si>
    <t xml:space="preserve">DT pagamento </t>
  </si>
  <si>
    <t xml:space="preserve">REFERENCIA </t>
  </si>
  <si>
    <t xml:space="preserve">COMERCIAL </t>
  </si>
  <si>
    <t>WILIAN</t>
  </si>
  <si>
    <t>VIAGEM 1 - ADT            - VIAGEM 9.500,00 SANTOS X VARGINHA CORPORATE LOGISTI</t>
  </si>
  <si>
    <t>JOAO BATISTA</t>
  </si>
  <si>
    <t xml:space="preserve">3800,01 + 3800,01 valor recebido </t>
  </si>
  <si>
    <t xml:space="preserve">WILLIAN comissão paga </t>
  </si>
  <si>
    <t>VIAGEM 1 - SD               - VIAGEM 9.500,00 SANTOS X VARGINHA CORPORATE LOGISTI</t>
  </si>
  <si>
    <t>450,00 + 950,00 VALOR RECEBIDO</t>
  </si>
  <si>
    <t>VIAGEM 1 -PEDAGIO     - VIAGEM 9.500,00 SANTOS X VARGINHA CORPORATE LOGISTI</t>
  </si>
  <si>
    <t>DESC PEDAGIO</t>
  </si>
  <si>
    <t>VIAGEM 2 - ADT             - VIAGEM  6.000,00 VARGINHA X SETE LAGOAS CORPORATE LOGISTI</t>
  </si>
  <si>
    <t xml:space="preserve">3137,78 + 2941,16 valor recebido </t>
  </si>
  <si>
    <t>VIAGEM 2 - SD               - VIAGEM  6.000,00 VARGINHA X SETE LAGOAS CORPORATE LOGISTI</t>
  </si>
  <si>
    <t>735,29 +784,44 valor recebido</t>
  </si>
  <si>
    <t>VIAGEM 2 -PEDAGIO     - VIAGEM  6.000,00 VARGINHA X SETE LAGOAS CORPORATE LOGISTI</t>
  </si>
  <si>
    <t>VIAGEM 3 - ADT             - VIAGEM 8.000,00 SANTOS X CAMBUI CORPORATE LOGISTI</t>
  </si>
  <si>
    <t>WALLISSON</t>
  </si>
  <si>
    <t>2977,29 + 3091,04 VALOR RECEBIDO</t>
  </si>
  <si>
    <t>VIAGEM 3 - SD               - VIAGEM 8.000,00 SANTOS X CAMBUI CORPORATE LOGISTI</t>
  </si>
  <si>
    <t>744,32 + 772,76 VALOR RECEBIDO</t>
  </si>
  <si>
    <t>VIAGEM 3 -PEDAGIO     - VIAGEM 8.000,00 SANTOS X CAMBUI CORPORATE LOGISTI</t>
  </si>
  <si>
    <t>VIAGEM 4 - ADT             - VIAGEM 8.000,00 SANTOS X CAMBUI CORPORATE LOGISTI</t>
  </si>
  <si>
    <t>ROBERTO</t>
  </si>
  <si>
    <t>2977,29 + 2977,29 VALOR RECEBIDO</t>
  </si>
  <si>
    <t>EXPRESSO LEGIONAR</t>
  </si>
  <si>
    <t xml:space="preserve">RECEBIMENTO PIX 48391118000114 EXPRESSO LEGIONAR - </t>
  </si>
  <si>
    <t xml:space="preserve">ISRAEL </t>
  </si>
  <si>
    <t xml:space="preserve">FRETE MARCO ANTONIO </t>
  </si>
  <si>
    <t>VIAGEM 4 - SD                - VIAGEM 8.000,00 SANTOS X CAMBUI CORPORATE LOGISTI</t>
  </si>
  <si>
    <t>744,32 + 744,32 VALOR RECEBIDO</t>
  </si>
  <si>
    <t>XCMG</t>
  </si>
  <si>
    <t>SJ0648 -26 R$ 30.000,00</t>
  </si>
  <si>
    <t xml:space="preserve">LAIS </t>
  </si>
  <si>
    <t>VIAGEM 4 -PEDAGIO      - VIAGEM 8.000,00 SANTOS X CAMBUI CORPORATE LOGISTI</t>
  </si>
  <si>
    <t>VIAGEM 5 - ADT - VIAGEM 5.000,00 SANTOS X PIEDADE SP SHARLOG</t>
  </si>
  <si>
    <t>VIAGEM 5 - SD   - VIAGEM 5.000,00 SANTOS X PIEDADE SP SHARLOG</t>
  </si>
  <si>
    <t xml:space="preserve">EM ATRASO </t>
  </si>
  <si>
    <t>ZJ0116-26 R$ 5.700,00</t>
  </si>
  <si>
    <t>VIAGEM11 -  MARGEM- VIAGEM 5.200,00  DPW GjaX JUNDIAI MAVIMAR</t>
  </si>
  <si>
    <t>ELLO  Isneu Maquelin</t>
  </si>
  <si>
    <t>MARGEM</t>
  </si>
  <si>
    <t>EM ABERTO</t>
  </si>
  <si>
    <t xml:space="preserve">VIAGEM 6 - ADT - VIAGEM 7.800,00 SANTOS X JACUTINGA </t>
  </si>
  <si>
    <t xml:space="preserve">5460,00 valor recebido </t>
  </si>
  <si>
    <t xml:space="preserve">VIAGEM 6 - SD   - VIAGEM 7.800,00 SANTOS X JACUTINGA </t>
  </si>
  <si>
    <t xml:space="preserve">VIAGEM 7 - ADT - VIAGEM 7.800,00 SANTOS X JACUTINGA </t>
  </si>
  <si>
    <t>Desconto de 1000,00  perda de janela dois no show e descontamos</t>
  </si>
  <si>
    <t xml:space="preserve">VIAGEM 7 - SD    - VIAGEM 7.800,00 SANTOS X JACUTINGA </t>
  </si>
  <si>
    <t>PAGO 1245,00 DIA 29/09 o valor do saldo era 2340,00</t>
  </si>
  <si>
    <t xml:space="preserve">VIAGEM 8 - ADT  - VIAGEM 5.200,00 SANTOS X INDAIATUBA </t>
  </si>
  <si>
    <t xml:space="preserve">VIAGEM 8 - SD    - VIAGEM 5.200,00 SANTOS X INDAIATUBA </t>
  </si>
  <si>
    <t>SJ0748-26 R$ 25.000,00</t>
  </si>
  <si>
    <t>VIAGEM 9 - ADT  -  VIAGEM 5.200,00 INDAIATUBA X SANTOS SHARLOG</t>
  </si>
  <si>
    <t>S /CTE</t>
  </si>
  <si>
    <t>VIAGEM 9 - SD    -  VIAGEM 5.200,00 INDAIATUBA X SANTOS SHARLOG</t>
  </si>
  <si>
    <t xml:space="preserve">VIAGEM10 - ADT - VIAGEM 6.000,00 SANTOS X HORTOLANDIA </t>
  </si>
  <si>
    <t xml:space="preserve">VIAGEM10 - SD   - VIAGEM 6.000,00 SANTOS X HORTOLANDIA </t>
  </si>
  <si>
    <t>VENTANA</t>
  </si>
  <si>
    <t>VENTANA CIOT  - FICHA 82454 SEZ-8G61</t>
  </si>
  <si>
    <t>FICHA 82454 carreta tombou</t>
  </si>
  <si>
    <t>SAMUEL</t>
  </si>
  <si>
    <t>VIAGEM11 - ADT VIAGEM 5.200,00  DPW GjaX JUNDIAI MAVIMAR</t>
  </si>
  <si>
    <t>PAGO</t>
  </si>
  <si>
    <t>POMPILIO</t>
  </si>
  <si>
    <t>RECEBIMENTO PIX 76941361620 POMPILIO APARECIDO C</t>
  </si>
  <si>
    <t xml:space="preserve">TRATO METAL </t>
  </si>
  <si>
    <t xml:space="preserve">	TRATHO METAL QUIMICA LTDA 14 dias após a entrega </t>
  </si>
  <si>
    <t>TERCEIRO</t>
  </si>
  <si>
    <t>DEVOLUÇÃO</t>
  </si>
  <si>
    <t>DEVOLUCAO PAGAMENTO EFETUADO A MAIOR RECEBIMENTO PIX 07259632631 Veridiana Antunes Mo</t>
  </si>
  <si>
    <t>SJ0751-26 R$ 25.000,00</t>
  </si>
  <si>
    <t>SJ0857-26 R$ 25.000,00</t>
  </si>
  <si>
    <t>SJ0862-26 R$ 25.000,00</t>
  </si>
  <si>
    <t>SJ0865-26 R$ 25.000,00</t>
  </si>
  <si>
    <t>SJ0905-26 R$ 25.000,00</t>
  </si>
  <si>
    <t>SJ0977-26 R$ 25.000,00</t>
  </si>
  <si>
    <t>SJ0994-26 R$ 25.000,00</t>
  </si>
  <si>
    <t>SJ0974-26 R$ 25.000,00</t>
  </si>
  <si>
    <t>SJ0983-26 R$ 25.000,00</t>
  </si>
  <si>
    <t>SJ1001-26 R$ 20.000,00</t>
  </si>
  <si>
    <t>SJ1000-26 R$ 20.000,00</t>
  </si>
  <si>
    <t>SJ0971-26 R$ 25.000,00</t>
  </si>
  <si>
    <t>SJ0973-26 R$ 25.000,00</t>
  </si>
  <si>
    <t>SJ1005-26 R$ 25.000,00</t>
  </si>
  <si>
    <t>SJ1008-26 R$ 25.000,00</t>
  </si>
  <si>
    <t>SJ1046-26 R$ 25.000,00</t>
  </si>
  <si>
    <t>SJ0945-26 R$ 30.000,00</t>
  </si>
  <si>
    <t>SJ1106-26 R$ 15.000,00</t>
  </si>
  <si>
    <t>SJ1012-26 R$ 25.000,00</t>
  </si>
  <si>
    <t>ZJ0145-26 R$ 30.000,00</t>
  </si>
  <si>
    <t>SJ1124-26 R$ 20.000,00</t>
  </si>
  <si>
    <t>SJ1113-26 R$ 25.000,00</t>
  </si>
  <si>
    <t>XCMG BRASIL INDUSTRIA LTDA D</t>
  </si>
  <si>
    <t>ZJ0155-26 R$ 4.500,00</t>
  </si>
  <si>
    <t>SJ1163-26 R$ 25.000,00</t>
  </si>
  <si>
    <t>SJ1121-26 R$ 25.000,00</t>
  </si>
  <si>
    <t>CS0021-26 ANTIGO SJ1143 R$ 34.255,44</t>
  </si>
  <si>
    <t>SJ1198-26 R$ 15.000,00</t>
  </si>
  <si>
    <t>SJ1172-26 R$ 10.000,00</t>
  </si>
  <si>
    <t xml:space="preserve">VENTANA CIOT  - </t>
  </si>
  <si>
    <t>PG</t>
  </si>
  <si>
    <t>SJ1234-26 R$ 52.800,00</t>
  </si>
  <si>
    <t xml:space="preserve">ACO FORJA </t>
  </si>
  <si>
    <t xml:space="preserve">ACO FORJA 60 DIAS DA EMISSÃO </t>
  </si>
  <si>
    <t>CTE 304 E 305</t>
  </si>
  <si>
    <t xml:space="preserve">KARINA </t>
  </si>
  <si>
    <t>ALTERNATIVA VIDROS - MESSI MAQUINAS</t>
  </si>
  <si>
    <t>ZJ0182-26 R$ 52.800,00</t>
  </si>
  <si>
    <t>SJ1221-26 R$ 20.000,00</t>
  </si>
  <si>
    <t>ZJ0187/26 R$ 35.200,00</t>
  </si>
  <si>
    <t xml:space="preserve">FABRICIO </t>
  </si>
  <si>
    <t>SJ1226-26 R$ 35.200,00</t>
  </si>
  <si>
    <t xml:space="preserve">SERGIO </t>
  </si>
  <si>
    <t>SERGIO</t>
  </si>
  <si>
    <t>VENTANA CIOT 520019064297 - RPA2016433</t>
  </si>
  <si>
    <t>GILSON</t>
  </si>
  <si>
    <t>VENTANA CIOT 520019386054 - RPA2016509</t>
  </si>
  <si>
    <t>VENTANA CIOT 520019653450 - RPA2016572</t>
  </si>
  <si>
    <t>VENTANA CIOT 520020065734 - RPA2016664</t>
  </si>
  <si>
    <t>LEONARDO</t>
  </si>
  <si>
    <t>VENTANA CIOT 520020387016 - RPA2016728</t>
  </si>
  <si>
    <t>VENTANA CIOT 520020823141 - RPA2016776</t>
  </si>
  <si>
    <t>RUAN</t>
  </si>
  <si>
    <t>VENTANA CIOT 520020876669 - RPA2016789</t>
  </si>
  <si>
    <t>VENTANA CIOT 520021039125 - RPA2016808</t>
  </si>
  <si>
    <t>VENTANA CIOT 520021070222 - RPA2016809</t>
  </si>
  <si>
    <t xml:space="preserve">LEONARDO </t>
  </si>
  <si>
    <t>SJ1245-26 R$ 13.200,00</t>
  </si>
  <si>
    <t xml:space="preserve">LEAFER FERRO </t>
  </si>
  <si>
    <t>SJ1255-26 R$ 26.400,00</t>
  </si>
  <si>
    <t>VENTANA CIOT 520021725056 - RPA2016921 - RPA2016922</t>
  </si>
  <si>
    <t>CHARLES + SOLUÇÕES</t>
  </si>
  <si>
    <t>SJ1238-26 R$ 13.200,00</t>
  </si>
  <si>
    <t>VENTANA CIOT 520022048094 - RPA2016983</t>
  </si>
  <si>
    <t xml:space="preserve">RUAN </t>
  </si>
  <si>
    <t>SJ1257/26 R$ 8.800,00</t>
  </si>
  <si>
    <t>SJ1270/26 R$ 13.200,00</t>
  </si>
  <si>
    <t>SJ1267/26 R$ 17.600,00</t>
  </si>
  <si>
    <t>VENTANA CIOT 520021647606 - RPA2017081</t>
  </si>
  <si>
    <t xml:space="preserve">CIOT VENTANA </t>
  </si>
  <si>
    <t>VENTANA CIOT 520022846231 - RPA2017081</t>
  </si>
  <si>
    <t>VENTANA CIOT 520022879162 - RPA2017091</t>
  </si>
  <si>
    <t>SJ1269/26 R$ 13.200,00</t>
  </si>
  <si>
    <t>COMERCIAL DE ALIMENTOS ESTHAMPA</t>
  </si>
  <si>
    <t>COMERCIAL DE ALIMENTOS ESTHAMPA LTDA</t>
  </si>
  <si>
    <t>VENTANA CIOT 520023230428 - RPA2017133</t>
  </si>
  <si>
    <t>VENTANA CIOT 520023551274 - RPA2017187</t>
  </si>
  <si>
    <t>VENTANA CIOT 520023871909 - RPA2017262</t>
  </si>
  <si>
    <t>VENTANA CIOT 520023891218 - RPA2017263</t>
  </si>
  <si>
    <t>VENTANA CIOT 520024208360 - RPA2017319</t>
  </si>
  <si>
    <t>TOTAL DE R$ 14.750,60</t>
  </si>
  <si>
    <t>VENTANA CIOT 520024678312 - RPA2017317</t>
  </si>
  <si>
    <t>VENTANA CIOT 520024681206 - RPA2017306</t>
  </si>
  <si>
    <t>VENTANA CIOT 520025052209 - RPA2017358</t>
  </si>
  <si>
    <t>VENTANA CIOT 520026181123  - RPA2017527</t>
  </si>
  <si>
    <t xml:space="preserve">VENTANA CIOT 520027184128 - RPA2017633       81452             </t>
  </si>
  <si>
    <t>81452 Descarregou cheio 09/09/26 o vazio 10/09</t>
  </si>
  <si>
    <t xml:space="preserve">VENTANA CIOT 520027474079 - RPA 2017679      81494                   </t>
  </si>
  <si>
    <t>VENTANA CIOT 520027879092 - RPA 2017752   81561</t>
  </si>
  <si>
    <t>VENTANA CIOT 520027919517 - RPA 2017771      81541</t>
  </si>
  <si>
    <t xml:space="preserve">	ZJ0223/26 R$ 26.400,00</t>
  </si>
  <si>
    <t xml:space="preserve">COMERCIAL DE ALIMENTOS ESTHAMPA LTDA - 14 dias </t>
  </si>
  <si>
    <t xml:space="preserve">MARCO ANTONIO </t>
  </si>
  <si>
    <t xml:space="preserve">VENTANA CIOT 	520029804234 - RPA2018050 QPM7278                         </t>
  </si>
  <si>
    <t>FICHA 81808 6 diarias</t>
  </si>
  <si>
    <t>CANCELAMENTO</t>
  </si>
  <si>
    <t xml:space="preserve">VENTANA CIOT 	520029804234 - RPA2018050 QPM7278                        </t>
  </si>
  <si>
    <t xml:space="preserve">VENTANA CIOT 520030070462 - RPA2018018  TCF1D34                        </t>
  </si>
  <si>
    <t>FICHA 81854</t>
  </si>
  <si>
    <t>DEVOLUCAO PIX 17895646000187 UBER DO BRASIL TECN</t>
  </si>
  <si>
    <t xml:space="preserve">EMPRESTIMO </t>
  </si>
  <si>
    <t>RECEBIMENTO PIX 10824208676 JUAN CARLOS TRINDADE</t>
  </si>
  <si>
    <t>SJ1356/26 R$ 8.800,00</t>
  </si>
  <si>
    <t>SJ1272/26 R$ 26.400,00</t>
  </si>
  <si>
    <t xml:space="preserve">BSO TRASNPORTES </t>
  </si>
  <si>
    <t>RECEBIMENTO PIX 16024403607 BRENER DE SOUZA OLIV</t>
  </si>
  <si>
    <t>VIAGEM17 - ADT VIAGEM 18.000,00 Sorroso-MT x Santos DINLOG</t>
  </si>
  <si>
    <t xml:space="preserve">ANDRE </t>
  </si>
  <si>
    <t>DESCONTO VIRA 321,00 + PEDAGIO 1149,80 DEPOSITADO NO TAG</t>
  </si>
  <si>
    <t>VENTANA CIOT 520030669107 - RPA2018064 SYR4H04</t>
  </si>
  <si>
    <t>FICHA 81915</t>
  </si>
  <si>
    <t>VIAGEM21 - ADT   - VIAGEM 5.400,00 GRUPO MAVIMAR SANTOSXITUPEVA</t>
  </si>
  <si>
    <t>A Mavimar só paga o saldo mediante a entrega do comprovante fisico</t>
  </si>
  <si>
    <t>RECEBIMENTO PIX 38707673000159 NU GALHO LTDA</t>
  </si>
  <si>
    <t>RECEBIMENTO PIX 01530448611 MARCO ANTONIO DE SOU</t>
  </si>
  <si>
    <t>RECEBIMENTO PIX 59022669000127 NU GALHO RAIZ LTD</t>
  </si>
  <si>
    <t>RECEBIMENTO PIX 55555177000146 CARGOCOTTON TRANS</t>
  </si>
  <si>
    <t>VERIFICAR CCOM O JUAN QUAL VIAGEM É ESSA?</t>
  </si>
  <si>
    <t>SJ1349/26 R$ 17.600,00</t>
  </si>
  <si>
    <t>ZJ0219/26 R$ 17.600,00</t>
  </si>
  <si>
    <t>VENTANA CIOT 520031689032 - RPA2018226 SYR4H04</t>
  </si>
  <si>
    <t>FICHA 82051</t>
  </si>
  <si>
    <t>VENTANA CIOT 520031749682 - RPA2018228 SEZ8G61</t>
  </si>
  <si>
    <t>FICHA 82066</t>
  </si>
  <si>
    <t>SJ1363/26 R$ 35.200,00</t>
  </si>
  <si>
    <t>VENTANA CIOT 520032107695 - RPA QPM-7278</t>
  </si>
  <si>
    <t>FICHA 82122 11 diarias</t>
  </si>
  <si>
    <t>FICHA 82122</t>
  </si>
  <si>
    <t>SJ1275/26 R$ 26.400,00</t>
  </si>
  <si>
    <t>ANDRE TADEU</t>
  </si>
  <si>
    <t>SJ1306/26 R$ 8.800,00</t>
  </si>
  <si>
    <t>ZJ0229/26 R$ 13,200,00</t>
  </si>
  <si>
    <t>SJ1308/26 R$ 8.800,00</t>
  </si>
  <si>
    <t>SJ1401/26 R$22.000,00</t>
  </si>
  <si>
    <t>ZJ0240/26 R$ 13.200,00</t>
  </si>
  <si>
    <t>SJ1397/26 R$ 13.200,00</t>
  </si>
  <si>
    <t>VIAGEM17 - ADT VIAGEM 18.000,00 Sorroso-MT x Santos DINLOG +1724,60 PEDAGIO</t>
  </si>
  <si>
    <t>VIAGEM12 - ADT VIAGEM 5.800,00  ECOPORTO SantosX CAMPINAS</t>
  </si>
  <si>
    <t xml:space="preserve">ELLO Marcos Regiano </t>
  </si>
  <si>
    <t>VIAGEM12 - MAGEM VIAGEM 5.800,00  ECOPORTO SantosX CAMPINAS</t>
  </si>
  <si>
    <t>VIAGEM12 - SD VIAGEM 5.800,00  ECOPORTO SantosX CAMPINAS</t>
  </si>
  <si>
    <t>VIAGEM13 - ADT VIAGEM 25.000,00  SantosxSorriso MT - PLACA SXA8I02 - SXJ1D22 - SXJ1D12 CTE 1188 e 1189</t>
  </si>
  <si>
    <t xml:space="preserve">Joeldo da silva </t>
  </si>
  <si>
    <t>R$ 21766,95 ADT 70% R$ 15.236,87  + SD R$ 6.530,09</t>
  </si>
  <si>
    <t xml:space="preserve">DESCONTO DE PEDAGIO 2587,05 + 646,00 VIRA </t>
  </si>
  <si>
    <t>DESCONTO</t>
  </si>
  <si>
    <t>VIAGEM13 - SD VIAGEM 25.000,00  SantosxSorriso MT  - PLACA SXA8I02 - SXJ1D22 - SXJ1D12 CTE 1188 e 1189</t>
  </si>
  <si>
    <t>VIAGEM14 - ADT VIAGEM 25.000,00  SantosxSorriso MT - PLACA RYW9E66 - RYU7E86 - RYU7E66 CTE 1186 e 1187</t>
  </si>
  <si>
    <t xml:space="preserve"> Daniel Ismael </t>
  </si>
  <si>
    <t>VIAGEM14 - SD VIAGEM 25.000,00  SantosxSorriso MT - PLACA RYW9E66 - RYU7E86 - RYU7E66 CTE 1186 e 1187</t>
  </si>
  <si>
    <t>VIAGEM15 - ADT E SD RECEBIMENTO PIX 55555177000146 CARGOCOTTON TRANS</t>
  </si>
  <si>
    <t xml:space="preserve">OK PAGO </t>
  </si>
  <si>
    <t>VIAGEM16 - ADT E SD RECEBIMENTO PIX 55555177000146 CARGOCOTTON TRANS</t>
  </si>
  <si>
    <t xml:space="preserve">DANIEL Ismael </t>
  </si>
  <si>
    <t>VIAGEM18 - ADT VIAGEM 25.000,00 Sorroso-MT x Santos DINLOG</t>
  </si>
  <si>
    <t xml:space="preserve">DESCONTO 642,00 VIRA </t>
  </si>
  <si>
    <t>VIAGEM18 - SD VIAGEM 25.000,00 Sorroso-MT x Santos DINLOG</t>
  </si>
  <si>
    <t>23500,00 + pedagio</t>
  </si>
  <si>
    <t xml:space="preserve">VIAGEM20 - ADT   - VIAGEM 4.500,00 GRUPO PGA CAMPINASXSANTOS </t>
  </si>
  <si>
    <t>ISRAEL</t>
  </si>
  <si>
    <t>VIAGEM22 - ADT - VIAGEM 5.000,00 GRUPO UNITRADING</t>
  </si>
  <si>
    <t>JÁ DESCARREGOU</t>
  </si>
  <si>
    <t>VIAGEM19 - SD   - VIAGEM 7.000,00 SANTOS X SALTINHO GRUPO MAVIMAR</t>
  </si>
  <si>
    <t xml:space="preserve">VIAGEM20 - PEDAGIO   - VIAGEM 4.500,00 GRUPO PGA CAMPINASXSANTOS </t>
  </si>
  <si>
    <t>FLAVIO</t>
  </si>
  <si>
    <t>RECEBIMENTO PIX 64378385000108 64 378 385 FLAVIO</t>
  </si>
  <si>
    <t>VIAGEM22 - SD   - VIAGEM 5.000,00 GRUPO UNITRADING</t>
  </si>
  <si>
    <t>line transportes</t>
  </si>
  <si>
    <t>SJ1353/26 R$ 17.600,00</t>
  </si>
  <si>
    <t>GIOVANNI</t>
  </si>
  <si>
    <t>VENTANA CIOT  - FICHA 82547 SYR-4H04</t>
  </si>
  <si>
    <t>FICHA 82547</t>
  </si>
  <si>
    <t>VENTANA CIOT  - FICHA 82652 RME-9B20</t>
  </si>
  <si>
    <t>FICHA 82652</t>
  </si>
  <si>
    <t>VENTANA FICHA 82691</t>
  </si>
  <si>
    <t>FICHA 82691</t>
  </si>
  <si>
    <t xml:space="preserve">DEVOLUÇAO DE FRETE MOTORISTA PAULO MIGUEL </t>
  </si>
  <si>
    <t xml:space="preserve">PAULO MIGUEL </t>
  </si>
  <si>
    <t xml:space="preserve"> TERCEIRO</t>
  </si>
  <si>
    <t>Devolução de pagamento a maior</t>
  </si>
  <si>
    <t xml:space="preserve">WELLIGTON </t>
  </si>
  <si>
    <t>DEVOLUÇÃO EST CESTA/TARIFA SERVICO</t>
  </si>
  <si>
    <t>CASH BACK</t>
  </si>
  <si>
    <t>VIAGEM19 - ADT - VIAGEM 7.000,00 SANTOS X SALTINHO GRUPO MAVIMAR</t>
  </si>
  <si>
    <t xml:space="preserve">ROBERTO </t>
  </si>
  <si>
    <t xml:space="preserve">VIAGEM20 - SD   - VIAGEM 4.500,00 GRUPO PGA CAMPINASXSANTOS </t>
  </si>
  <si>
    <t>VIAGEM21 -  MARGEM- VIAGEM 5.400,00 GRUPO MAVIMAR SANTOS XITUPEVA</t>
  </si>
  <si>
    <t xml:space="preserve">MARGEM </t>
  </si>
  <si>
    <t>SJ1396/26 R$ 8800,00</t>
  </si>
  <si>
    <t>DEVOLUÇÃO VALOR PAGO A MAIOR RECEBIMENTO PIX 09425485666 WELLINGTON MOREIRA D</t>
  </si>
  <si>
    <t>DEVOLUCAO</t>
  </si>
  <si>
    <t>ZJ0232/26 R$ 22.000,00</t>
  </si>
  <si>
    <t>SIDERTRANS</t>
  </si>
  <si>
    <t xml:space="preserve">SIDERTRANS TRANSPORTES RODOVIARIOS LTDA </t>
  </si>
  <si>
    <t>DIARIAS</t>
  </si>
  <si>
    <t>DESCONHECIDO</t>
  </si>
  <si>
    <t>XCMG DIARIAS</t>
  </si>
  <si>
    <t>XCMG BRASIL INDUSTRIA LTDA ( DIARIAS)</t>
  </si>
  <si>
    <t>DIARIAS 356, 357, 358, 359,360, 361, 362</t>
  </si>
  <si>
    <t>EMPRESTIMO  38707673000159 NU GALHO LTDA</t>
  </si>
  <si>
    <t>PIX  SICRED</t>
  </si>
  <si>
    <t>SJ1362/26 R$ 22.000,00</t>
  </si>
  <si>
    <t>VIAGEM23 - SD -  VIAGEM 5.400,00 GRUPO MAVIMAR SANTOSXITUPEVA</t>
  </si>
  <si>
    <t>PRAICE</t>
  </si>
  <si>
    <t xml:space="preserve">VENTANA </t>
  </si>
  <si>
    <t>VENTANA FICHA FV 83197</t>
  </si>
  <si>
    <t>BOLETO</t>
  </si>
  <si>
    <t>Ficha 83197</t>
  </si>
  <si>
    <t>VENTANA CIOT  - FICHA 82836</t>
  </si>
  <si>
    <t>FICHA 82836 CTE COMPLEMENTAR 511</t>
  </si>
  <si>
    <t>VENTANA FICHA 83206</t>
  </si>
  <si>
    <t>BOLETO EMITIR</t>
  </si>
  <si>
    <t>Ficha 83206</t>
  </si>
  <si>
    <t>VENTANA FICHA 83199</t>
  </si>
  <si>
    <t>FICHA 83199</t>
  </si>
  <si>
    <t>VIAGEM21 - SD   -    VIAGEM 5.400,00 GRUPO MAVIMAR SANTOSXITUPEVA</t>
  </si>
  <si>
    <t>SJ1378/26 R$ 8.800,00</t>
  </si>
  <si>
    <t>SJ1408/26 R$ 22.000,00</t>
  </si>
  <si>
    <t>RABBIT BRUNO</t>
  </si>
  <si>
    <t>Bruno Rabbit</t>
  </si>
  <si>
    <t xml:space="preserve">TMS THIAGO </t>
  </si>
  <si>
    <t>tms thiago e bruno</t>
  </si>
  <si>
    <t>TRANSFERENCIA</t>
  </si>
  <si>
    <t>DO SICOOB PARA ITAU</t>
  </si>
  <si>
    <t>Pix De Via Minas Logistica Ltda</t>
  </si>
  <si>
    <t>DO ITAU PARA SICOOB</t>
  </si>
  <si>
    <t>TRANSFERENCIA ENTRE CONTAS PIX 58144757000139 VIA MINAS LOGISTI</t>
  </si>
  <si>
    <t>ANTECIPAÇÃO</t>
  </si>
  <si>
    <t>SJ1350/26 R$ 26.400,00</t>
  </si>
  <si>
    <t>EST CESTA/TARIFA SERVICO</t>
  </si>
  <si>
    <t>COMERCIO E SOLUCOES</t>
  </si>
  <si>
    <t>COMERCIO E SOLUCO  RECEBIMENTO PIX 54931896000151 - parte devolução emprestimo</t>
  </si>
  <si>
    <t>ESTORNO DO DESPACHANTE RECEBIMENTO PIX 19775364000171 ANDREY ALMICE CAL</t>
  </si>
  <si>
    <t>DESPACHANTE</t>
  </si>
  <si>
    <t>DEVOLUÇÃO DE EMPRESTIMO RECEBIMENTO PIX 01530448611 MARCO ANTONIO DE SOU</t>
  </si>
  <si>
    <t xml:space="preserve">RECEBIMENTO JUAN CARLOS TRINDADE </t>
  </si>
  <si>
    <t>RECEBIMENTO PIX 38707673000310 NU GALHO LTDA</t>
  </si>
  <si>
    <t>RECEBIMENTOPIX 59022669000127 NU GALHO RAIZ LTD</t>
  </si>
  <si>
    <t>RECEBIMENTO PIX-CX253611 10824208676 JUAN CARLOS TRINDADE</t>
  </si>
  <si>
    <t>EMPRESTIMO RECEBIMENTO PIX 38707673000159 NU GALHO LTDA</t>
  </si>
  <si>
    <t>EMPRESTIMO RECEBIMENTO PIX 10824208676 JUAN CARLOS TRINDADE</t>
  </si>
  <si>
    <t>VENTANA CIOT 520019431194 - RPA2016513</t>
  </si>
  <si>
    <t>-</t>
  </si>
  <si>
    <t>VENTANA CIOT 520021647606 - RPA2016903</t>
  </si>
  <si>
    <t>Leonardo Silva Correia</t>
  </si>
  <si>
    <t>FRETE CTE 689 DA MAIS SOLUCOES PAGAR A VIA MINAS</t>
  </si>
  <si>
    <t>Pompilio Aparecido Cardoso</t>
  </si>
  <si>
    <t xml:space="preserve">SAULO DONATO </t>
  </si>
  <si>
    <t>RECEBIMENTO PIX 99645408687 SAULO DONATO PADILHA</t>
  </si>
  <si>
    <t xml:space="preserve">RECEBIMENTO DESCONHECIDO </t>
  </si>
  <si>
    <t>PIX RECEBIDO VIA MIN30/09</t>
  </si>
  <si>
    <t>VENTANA CIOT 520019322025 - RPA2016486</t>
  </si>
  <si>
    <t>CTE VENTANA</t>
  </si>
  <si>
    <t>VENTANA CIOT                          - RPA 2016128</t>
  </si>
  <si>
    <t>DIARA</t>
  </si>
  <si>
    <t>VENTANA CIOT                          - RPA2017211</t>
  </si>
  <si>
    <t>DIARIA</t>
  </si>
  <si>
    <t>VENTANA CIOT                          - RPA2017213</t>
  </si>
  <si>
    <t>VENTANA CIOT                          - RPA2017318</t>
  </si>
  <si>
    <t xml:space="preserve">PEDAGIO RECEBIMENTO PIX 04915315001515 VENTANA SERRA </t>
  </si>
  <si>
    <t>Sicred</t>
  </si>
  <si>
    <t xml:space="preserve">VENTANA PEDAGIO </t>
  </si>
  <si>
    <t>VENTANA diarias Joao 5</t>
  </si>
  <si>
    <t xml:space="preserve">DIARIAS </t>
  </si>
  <si>
    <t xml:space="preserve">CTES EMITIDOS 542,543 E 544 </t>
  </si>
  <si>
    <t>VENTANA diarias Ruan  21</t>
  </si>
  <si>
    <t>VENTANA diarias Sergio 1</t>
  </si>
  <si>
    <t>SJ1417/26 R$ 4.400,00</t>
  </si>
  <si>
    <t>VENTANA FICHA 82562</t>
  </si>
  <si>
    <t xml:space="preserve">5 DIARIAS </t>
  </si>
  <si>
    <t>FICHA 82562</t>
  </si>
  <si>
    <t>VENTANA FICHA 82563</t>
  </si>
  <si>
    <t>1,76 DIARIAS</t>
  </si>
  <si>
    <t>FICHA 82563</t>
  </si>
  <si>
    <t>VENTANA FICHA 82571</t>
  </si>
  <si>
    <t>1,5 DIARIAS</t>
  </si>
  <si>
    <t>FICHA 82571</t>
  </si>
  <si>
    <t xml:space="preserve">VENTANA FICHA </t>
  </si>
  <si>
    <t>FICHA  cte complementar 513</t>
  </si>
  <si>
    <t>CTE 429 E 430 1 BOLETO DE 12.000,00</t>
  </si>
  <si>
    <t>RODOFIVE</t>
  </si>
  <si>
    <t xml:space="preserve">RODOFIVE  Jefferson </t>
  </si>
  <si>
    <t>PLACA RME-9B20, EVU-9E78, EVU-9E80, EVU-9E79</t>
  </si>
  <si>
    <t xml:space="preserve">VENTANA CIOT                             - RPA2017653                     - </t>
  </si>
  <si>
    <t>VIAGEM23 - ADT -  VIAGEM 5.400,00 GRUPO MAVIMAR SANTOSXITUPEVA</t>
  </si>
  <si>
    <r>
      <t xml:space="preserve">VIAGEM24 - ADT -  VIAGEM 5.400,00 GRUPO MAVIMAR </t>
    </r>
    <r>
      <rPr>
        <sz val="12"/>
        <color rgb="FFFF0000"/>
        <rFont val="Calibri"/>
        <family val="2"/>
        <scheme val="minor"/>
      </rPr>
      <t>VIAGEM CANCELADA</t>
    </r>
  </si>
  <si>
    <t>VIAGEM11 - SD VIAGEM 5.200,00  DPW GUARUJAX JUNDIAI MAVIMAR</t>
  </si>
  <si>
    <t>A FATURAR</t>
  </si>
  <si>
    <t>SJ1347/26</t>
  </si>
  <si>
    <t xml:space="preserve">SJ1394/26 </t>
  </si>
  <si>
    <t xml:space="preserve">SJ1429/26 </t>
  </si>
  <si>
    <t>VENTANA FICHA 83232 Santos x Balsas/Maranhão 10 ton/Container de 40 LS FV 83232</t>
  </si>
  <si>
    <t>WALDECIR</t>
  </si>
  <si>
    <t>FICHA 83232</t>
  </si>
  <si>
    <t>CTE 431 E 432 1 BOLETO DE 12.000,00</t>
  </si>
  <si>
    <t xml:space="preserve">VENTANA FICHA DIARIA </t>
  </si>
  <si>
    <t xml:space="preserve">XCMG </t>
  </si>
  <si>
    <t>SJ1413/26</t>
  </si>
  <si>
    <t xml:space="preserve">SJ1413/26 </t>
  </si>
  <si>
    <t xml:space="preserve">MATHEUS </t>
  </si>
  <si>
    <t>CTE 422/423</t>
  </si>
  <si>
    <t>chegada do motorista Ruan</t>
  </si>
  <si>
    <t>Ruan</t>
  </si>
  <si>
    <t>Sergio</t>
  </si>
  <si>
    <t>Joao</t>
  </si>
  <si>
    <t>6 diarias</t>
  </si>
  <si>
    <t>saida do motorista 12;10</t>
  </si>
  <si>
    <t>cte 439/440</t>
  </si>
  <si>
    <t>QPM7278</t>
  </si>
  <si>
    <t xml:space="preserve">chegada </t>
  </si>
  <si>
    <t>Chegada do motorista Ruan</t>
  </si>
  <si>
    <t xml:space="preserve">6 diarias </t>
  </si>
  <si>
    <t xml:space="preserve"> 19;43:00</t>
  </si>
  <si>
    <t>cte 472/473</t>
  </si>
  <si>
    <t>chegada</t>
  </si>
  <si>
    <t xml:space="preserve">7 diarias </t>
  </si>
  <si>
    <t>17;50</t>
  </si>
  <si>
    <t>cte 441</t>
  </si>
  <si>
    <t>TCF1D34</t>
  </si>
  <si>
    <t>Chegada do motorista Sergio</t>
  </si>
  <si>
    <t xml:space="preserve">1 diaria </t>
  </si>
  <si>
    <t>19;37</t>
  </si>
  <si>
    <t>cte 462</t>
  </si>
  <si>
    <t>S</t>
  </si>
  <si>
    <t>Chegada do motorista joao Batista</t>
  </si>
  <si>
    <t xml:space="preserve">5 diarias </t>
  </si>
  <si>
    <t>19;10</t>
  </si>
  <si>
    <t>VIAGEM 11 R$ 5.200,00 FALTA SALDO</t>
  </si>
  <si>
    <t>VIAGEM 11 R$ 5.200,00</t>
  </si>
  <si>
    <t xml:space="preserve">RECEITA </t>
  </si>
  <si>
    <t>DESPESA</t>
  </si>
  <si>
    <t xml:space="preserve">Star </t>
  </si>
  <si>
    <t>ELLO ADT E SD</t>
  </si>
  <si>
    <t>COMISSÃO WILLIAN</t>
  </si>
  <si>
    <t>Total</t>
  </si>
  <si>
    <t>total</t>
  </si>
  <si>
    <t xml:space="preserve">Falta pagar saldo + margem </t>
  </si>
  <si>
    <t>VIAGEM 12 R$ 5.800,00</t>
  </si>
  <si>
    <t>VIAGEM 13 e 14 R$ 25.000,00</t>
  </si>
  <si>
    <t>FRETE BRUTO</t>
  </si>
  <si>
    <t xml:space="preserve">Vira </t>
  </si>
  <si>
    <t xml:space="preserve">comissão Luiz </t>
  </si>
  <si>
    <t>Comissão Willian</t>
  </si>
  <si>
    <t>ELO</t>
  </si>
  <si>
    <t>STATUS</t>
  </si>
  <si>
    <t>LOCAL DE DEPOSITO</t>
  </si>
  <si>
    <t>DATA</t>
  </si>
  <si>
    <t>HORA</t>
  </si>
  <si>
    <t>NAVIO</t>
  </si>
  <si>
    <t>ABERTURA</t>
  </si>
  <si>
    <t>DEADLINE</t>
  </si>
  <si>
    <t>VINCULO</t>
  </si>
  <si>
    <t>LOCAL DE RETIRADA</t>
  </si>
  <si>
    <t>DATA DE RETIRADA</t>
  </si>
  <si>
    <t>VIRA</t>
  </si>
  <si>
    <t>PATIO</t>
  </si>
  <si>
    <t>FREETIME</t>
  </si>
  <si>
    <t>Nº SERIE</t>
  </si>
  <si>
    <t>CLIENTE</t>
  </si>
  <si>
    <t>PLANTA</t>
  </si>
  <si>
    <t>LOCAL DE CARREGAMENTO</t>
  </si>
  <si>
    <t>DATA DE CARREGAMENTO</t>
  </si>
  <si>
    <t>HORARIO</t>
  </si>
  <si>
    <t>CONTRATO</t>
  </si>
  <si>
    <t>CARGA</t>
  </si>
  <si>
    <t>RESERVA</t>
  </si>
  <si>
    <t>ARMADOR</t>
  </si>
  <si>
    <t>CPF</t>
  </si>
  <si>
    <t>CNH</t>
  </si>
  <si>
    <t>RG</t>
  </si>
  <si>
    <t>CONTATO</t>
  </si>
  <si>
    <t>CAVALO</t>
  </si>
  <si>
    <t>CARRETA</t>
  </si>
  <si>
    <t>CONTEINER</t>
  </si>
  <si>
    <t>TIPO</t>
  </si>
  <si>
    <t>TEMPERATURA</t>
  </si>
  <si>
    <t>TARA</t>
  </si>
  <si>
    <t>PAYLOAD</t>
  </si>
  <si>
    <t>MAX GROSS</t>
  </si>
  <si>
    <t>LACRE</t>
  </si>
  <si>
    <t>DESTINO</t>
  </si>
  <si>
    <t>TERMINAL DE ENTREGA</t>
  </si>
  <si>
    <t>NATUREZA DA CARGA</t>
  </si>
  <si>
    <t>GENSET</t>
  </si>
  <si>
    <t>OBSERVACOES</t>
  </si>
  <si>
    <t>VIAGEM FINALIZADA</t>
  </si>
  <si>
    <t>LECHMAN</t>
  </si>
  <si>
    <t>CMA CGM YUKON</t>
  </si>
  <si>
    <t>MOVECTA (GJA)</t>
  </si>
  <si>
    <t>01-09</t>
  </si>
  <si>
    <t>XCMG BRASIL</t>
  </si>
  <si>
    <t>POUSO ALEGRE</t>
  </si>
  <si>
    <t>ROD FERNAO DIAS - BR 381, S/N - KM 854/855 - DISTRITO INDUSTRIAL (CDI) - POUSO ALEGRE - MG - CEP: 37556830</t>
  </si>
  <si>
    <t>ZJ0223/26</t>
  </si>
  <si>
    <t>COSU6505773870</t>
  </si>
  <si>
    <t>COSCO</t>
  </si>
  <si>
    <t>ISRAEL VIEIRA DA SILVA</t>
  </si>
  <si>
    <t>SIO8E70</t>
  </si>
  <si>
    <t>FFAU2755380</t>
  </si>
  <si>
    <t>40 HC (45G1)</t>
  </si>
  <si>
    <t>SANTOS</t>
  </si>
  <si>
    <t>SANTOS BRASIL PART S/A (GJA) - 02.762.121/0014-10</t>
  </si>
  <si>
    <t>DIVERSOS</t>
  </si>
  <si>
    <t>26BR00014990653</t>
  </si>
  <si>
    <t>02-09</t>
  </si>
  <si>
    <t>EVO4633</t>
  </si>
  <si>
    <t>CSNU6395633</t>
  </si>
  <si>
    <t>03-09</t>
  </si>
  <si>
    <t>JOAO BATISTA COELHO</t>
  </si>
  <si>
    <t>SEZ8G61</t>
  </si>
  <si>
    <t>IRC3B39</t>
  </si>
  <si>
    <t>TLLU5742689</t>
  </si>
  <si>
    <t>04-09</t>
  </si>
  <si>
    <t>IRC3A85</t>
  </si>
  <si>
    <t>CSNU7152978</t>
  </si>
  <si>
    <t>05-09</t>
  </si>
  <si>
    <t>OOLU8958121</t>
  </si>
  <si>
    <t>06-09</t>
  </si>
  <si>
    <t>OOCU8966413</t>
  </si>
  <si>
    <t>07-09</t>
  </si>
  <si>
    <t>SJ1356/26</t>
  </si>
  <si>
    <t>COSU6505773610</t>
  </si>
  <si>
    <t>TCKU7661169</t>
  </si>
  <si>
    <t>26BR00016482337</t>
  </si>
  <si>
    <t>08-09</t>
  </si>
  <si>
    <t>FSCU7268838</t>
  </si>
  <si>
    <t>EVER FEAT</t>
  </si>
  <si>
    <t>09-09</t>
  </si>
  <si>
    <t>SJ1272/26</t>
  </si>
  <si>
    <t>COSU6504897200</t>
  </si>
  <si>
    <t>WALLISSON TAMIETTI DE SIQUEIRA</t>
  </si>
  <si>
    <t>SEV6G75</t>
  </si>
  <si>
    <t>ASX7G23</t>
  </si>
  <si>
    <t>TIIU5736935</t>
  </si>
  <si>
    <t>26BR00016717547</t>
  </si>
  <si>
    <t>10-09</t>
  </si>
  <si>
    <t>ASX7G22</t>
  </si>
  <si>
    <t>FCIU9639142</t>
  </si>
  <si>
    <t>11-09</t>
  </si>
  <si>
    <t>ROBERTO FERREIRA DE SOUZA</t>
  </si>
  <si>
    <t>RME9B20</t>
  </si>
  <si>
    <t>EVU9E78</t>
  </si>
  <si>
    <t>CSNU6870179</t>
  </si>
  <si>
    <t>12-09</t>
  </si>
  <si>
    <t>EVU9E79</t>
  </si>
  <si>
    <t>CSGU6593856</t>
  </si>
  <si>
    <t>13-09</t>
  </si>
  <si>
    <t>SJ1349/26</t>
  </si>
  <si>
    <t>COSU6505755250</t>
  </si>
  <si>
    <t>BSIU8438520</t>
  </si>
  <si>
    <t>26BR00016638329</t>
  </si>
  <si>
    <t>14-09</t>
  </si>
  <si>
    <t>CBHU9413877</t>
  </si>
  <si>
    <t>15-09</t>
  </si>
  <si>
    <t>CSGU6312100</t>
  </si>
  <si>
    <t>16-09</t>
  </si>
  <si>
    <t>OOCU6801395</t>
  </si>
  <si>
    <t>17-09</t>
  </si>
  <si>
    <t>OOCU7081319</t>
  </si>
  <si>
    <t>18-09</t>
  </si>
  <si>
    <t>FFAU1620499</t>
  </si>
  <si>
    <t>19-09</t>
  </si>
  <si>
    <t>ZJ0219/26</t>
  </si>
  <si>
    <t>COSU6504921710</t>
  </si>
  <si>
    <t>SERGIO DA SILVA FERREIRA</t>
  </si>
  <si>
    <t>FQL0363</t>
  </si>
  <si>
    <t>FCIU9968575</t>
  </si>
  <si>
    <t>26BR00014630355</t>
  </si>
  <si>
    <t>AGENDADO NO REDEX</t>
  </si>
  <si>
    <t>20-09</t>
  </si>
  <si>
    <t>FQM4596</t>
  </si>
  <si>
    <t>OOCU8823520</t>
  </si>
  <si>
    <t>ATLANTIS</t>
  </si>
  <si>
    <t>KOTA EMBUN</t>
  </si>
  <si>
    <t>21-09</t>
  </si>
  <si>
    <t>SJ1363/26</t>
  </si>
  <si>
    <t>COSU6506455480</t>
  </si>
  <si>
    <t>TGBU9660910</t>
  </si>
  <si>
    <t>26BR00015974848</t>
  </si>
  <si>
    <t>22-09</t>
  </si>
  <si>
    <t>CSNU6832203</t>
  </si>
  <si>
    <t>23-09</t>
  </si>
  <si>
    <t>CBHU9066166</t>
  </si>
  <si>
    <t>24-09</t>
  </si>
  <si>
    <t>CSNU6714324</t>
  </si>
  <si>
    <t>25-09</t>
  </si>
  <si>
    <t>TRHU4920454</t>
  </si>
  <si>
    <t>26-09</t>
  </si>
  <si>
    <t>OOCU8211905</t>
  </si>
  <si>
    <t>27-09</t>
  </si>
  <si>
    <t>UETU5266459</t>
  </si>
  <si>
    <t>28-09</t>
  </si>
  <si>
    <t>TGBU4956509</t>
  </si>
  <si>
    <t>29-09</t>
  </si>
  <si>
    <t>SJ1275/26</t>
  </si>
  <si>
    <t>COSU6504922420</t>
  </si>
  <si>
    <t>OOCU6269220</t>
  </si>
  <si>
    <t>26BR00014671108</t>
  </si>
  <si>
    <t>30-09</t>
  </si>
  <si>
    <t>OOLU9366934</t>
  </si>
  <si>
    <t>31-09</t>
  </si>
  <si>
    <t>TIIU6828980</t>
  </si>
  <si>
    <t>32-09</t>
  </si>
  <si>
    <t>CSNU7136283</t>
  </si>
  <si>
    <t>33-09</t>
  </si>
  <si>
    <t>TGBU4955082</t>
  </si>
  <si>
    <t>34-09</t>
  </si>
  <si>
    <t>TRHU7258172</t>
  </si>
  <si>
    <t>35-09</t>
  </si>
  <si>
    <t>SJ1306/26</t>
  </si>
  <si>
    <t>COSU6506452580</t>
  </si>
  <si>
    <t>OOLU9128793</t>
  </si>
  <si>
    <t>26BR00015714153</t>
  </si>
  <si>
    <t>36-09</t>
  </si>
  <si>
    <t>OOCU6153564</t>
  </si>
  <si>
    <t>37-09</t>
  </si>
  <si>
    <t>GILSON ALVES DA SILVA</t>
  </si>
  <si>
    <t>SYR4H04</t>
  </si>
  <si>
    <t>ASW4C92</t>
  </si>
  <si>
    <t>OOCU9559520</t>
  </si>
  <si>
    <t>38-09</t>
  </si>
  <si>
    <t>ASW4C94</t>
  </si>
  <si>
    <t>CSNU6965633</t>
  </si>
  <si>
    <t>39-09</t>
  </si>
  <si>
    <t>ZJ0229/26</t>
  </si>
  <si>
    <t>COSU6506456710</t>
  </si>
  <si>
    <t>FFAU6094479</t>
  </si>
  <si>
    <t>26BR00016101864</t>
  </si>
  <si>
    <t>40-09</t>
  </si>
  <si>
    <t>TGBU8748329</t>
  </si>
  <si>
    <t>41-09</t>
  </si>
  <si>
    <t>TXGU8042145</t>
  </si>
  <si>
    <t>COSCO SHIPPING RHINE</t>
  </si>
  <si>
    <t>42-09</t>
  </si>
  <si>
    <t>SJ1308/26</t>
  </si>
  <si>
    <t>COSU6507335070</t>
  </si>
  <si>
    <t>FSCU9320431</t>
  </si>
  <si>
    <t>26BR00017021180</t>
  </si>
  <si>
    <t>43-09</t>
  </si>
  <si>
    <t>SJ1401/26</t>
  </si>
  <si>
    <t>COSU6507151030</t>
  </si>
  <si>
    <t>CSNU6956354</t>
  </si>
  <si>
    <t>26BR00016742258</t>
  </si>
  <si>
    <t>44-09</t>
  </si>
  <si>
    <t>FSCU8717492</t>
  </si>
  <si>
    <t>45-09</t>
  </si>
  <si>
    <t>ZJ0240/26</t>
  </si>
  <si>
    <t>COSU6506456780</t>
  </si>
  <si>
    <t>OOCU5724000</t>
  </si>
  <si>
    <t>26BR00016119160</t>
  </si>
  <si>
    <t>46-09</t>
  </si>
  <si>
    <t>OOLU9115311</t>
  </si>
  <si>
    <t>47-09</t>
  </si>
  <si>
    <t>CSNU7366054</t>
  </si>
  <si>
    <t>48-09</t>
  </si>
  <si>
    <t>CSGU6828210</t>
  </si>
  <si>
    <t>49-09</t>
  </si>
  <si>
    <t>CSNU6114757</t>
  </si>
  <si>
    <t>50-09</t>
  </si>
  <si>
    <t>SJ1397/26</t>
  </si>
  <si>
    <t>COSU6507150790</t>
  </si>
  <si>
    <t>FFAU2560687</t>
  </si>
  <si>
    <t>26BR00016880138</t>
  </si>
  <si>
    <t>51-09</t>
  </si>
  <si>
    <t>FCIU7022228</t>
  </si>
  <si>
    <t>52-09</t>
  </si>
  <si>
    <t>TRHU5827109</t>
  </si>
  <si>
    <t>53-09</t>
  </si>
  <si>
    <t>CBHU9592999</t>
  </si>
  <si>
    <t>54-09</t>
  </si>
  <si>
    <t>OOLU9564776</t>
  </si>
  <si>
    <t>55-09</t>
  </si>
  <si>
    <t>SJ1396/26</t>
  </si>
  <si>
    <t>COSU6507151060</t>
  </si>
  <si>
    <t>BEAU5560962</t>
  </si>
  <si>
    <t>26BR00016942451</t>
  </si>
  <si>
    <t>56-09</t>
  </si>
  <si>
    <t>OOCU6273209</t>
  </si>
  <si>
    <t>57-09</t>
  </si>
  <si>
    <t>SJ1353/26</t>
  </si>
  <si>
    <t>COSU6507336330</t>
  </si>
  <si>
    <t>GIOVANNI DOS SANTOS GODINHO</t>
  </si>
  <si>
    <t>POZ6F28</t>
  </si>
  <si>
    <t>FQA4231</t>
  </si>
  <si>
    <t>CSNU6238594</t>
  </si>
  <si>
    <t>26BR00017223793</t>
  </si>
  <si>
    <t>58-09</t>
  </si>
  <si>
    <t>GJP6400</t>
  </si>
  <si>
    <t>OOCU8885266</t>
  </si>
  <si>
    <t>59-09</t>
  </si>
  <si>
    <t>OOLU9109617</t>
  </si>
  <si>
    <t>60-09</t>
  </si>
  <si>
    <t>OOCU8888706</t>
  </si>
  <si>
    <t>MAIS SOLUÇÕES MEGA COMERCIO DE SERVIÇO NF 1513 PARCELA 1 R$ 3474,00 PLACA RLO 6C66</t>
  </si>
  <si>
    <t>NF 1513</t>
  </si>
  <si>
    <t>Marco Antonio</t>
  </si>
  <si>
    <t>MAIS SOLUÇÕES MEGA COMERCIO DE SERVIÇO NF 29412 PARCELA 1 R$ 8.000,00 PLACA RLO 6C66</t>
  </si>
  <si>
    <t>NF 29412</t>
  </si>
  <si>
    <t>MAIS SOLUÇÕES MEGA COMERCIO DE SERVIÇO NF 1513 PARCELA 2 R$ 3474,00 PLACA RLO 6C66</t>
  </si>
  <si>
    <t>NF 12949 / 1513</t>
  </si>
  <si>
    <t>MAIS SOLUÇÕES MEGA COMERCIO DE SERVIÇO NF 29412 PARCELA 2 R$ 8.000,00 PLACA RLO 6C66</t>
  </si>
  <si>
    <t>MAIS SOLUÇÕES MEGA COMERCIO DE SERVIÇO NF 1513 PARCELA 3 R$ 3474,00 PLACA RLO 6C66</t>
  </si>
  <si>
    <t>MAIS SOLUÇÕES MEGA COMERCIO DE SERVIÇO NF 29412 PARCELA 3 R$ 8.000,00 PLACA RLO 6C66</t>
  </si>
  <si>
    <t>Recisão do Fábio</t>
  </si>
  <si>
    <t>Recisão do Leonardo</t>
  </si>
  <si>
    <t xml:space="preserve">LEONARDO SILVA CORREIA </t>
  </si>
  <si>
    <t xml:space="preserve">Admissão: 13/03/2026 </t>
  </si>
  <si>
    <t xml:space="preserve">Admissão: 16/06/2026 </t>
  </si>
  <si>
    <t xml:space="preserve">DT PAGAMENTO </t>
  </si>
  <si>
    <t xml:space="preserve">VALOR </t>
  </si>
  <si>
    <t>Demissão: 10/08/2026</t>
  </si>
  <si>
    <t>Demissão: 08/09/2026</t>
  </si>
  <si>
    <t xml:space="preserve">Salario: R$ 3.352,00 </t>
  </si>
  <si>
    <t>Salario: R$ 3.048,97 + Adicional 15% 502,80</t>
  </si>
  <si>
    <t>Adiantamento</t>
  </si>
  <si>
    <t>Total R$ 3552,00</t>
  </si>
  <si>
    <t>Pagamento</t>
  </si>
  <si>
    <t xml:space="preserve">Adiantamento </t>
  </si>
  <si>
    <t xml:space="preserve">Mês Junho </t>
  </si>
  <si>
    <t xml:space="preserve">Premiação 7 viagens </t>
  </si>
  <si>
    <t xml:space="preserve">Premiação Viagem </t>
  </si>
  <si>
    <t xml:space="preserve">Diaria </t>
  </si>
  <si>
    <t xml:space="preserve">Saldo de Salario 10 dias </t>
  </si>
  <si>
    <t xml:space="preserve">Saldo de Salario 8 dias </t>
  </si>
  <si>
    <t>Férias</t>
  </si>
  <si>
    <t>Mês Julho</t>
  </si>
  <si>
    <t>1/3º Férias</t>
  </si>
  <si>
    <t xml:space="preserve">13º Salario </t>
  </si>
  <si>
    <t>Total a pagar com férias e 13º</t>
  </si>
  <si>
    <t>Total a pagar com férias e 13º e 1/3 de férias</t>
  </si>
  <si>
    <t>Estimativa FGTS 8%</t>
  </si>
  <si>
    <t>Mês Agosto</t>
  </si>
  <si>
    <t xml:space="preserve">Multa de 40% FGTS </t>
  </si>
  <si>
    <t xml:space="preserve">Total a pagar </t>
  </si>
  <si>
    <t xml:space="preserve">ENTRADA </t>
  </si>
  <si>
    <t xml:space="preserve">PARCELA </t>
  </si>
  <si>
    <t xml:space="preserve">DATA PAGAMENTO </t>
  </si>
  <si>
    <t>RPA</t>
  </si>
  <si>
    <t>Data emissão CTE</t>
  </si>
  <si>
    <t>VENCIMENTO</t>
  </si>
  <si>
    <t xml:space="preserve"> LLU-4C38 </t>
  </si>
  <si>
    <t>saldo</t>
  </si>
  <si>
    <t>FQD-4F41</t>
  </si>
  <si>
    <t>315 e 316</t>
  </si>
  <si>
    <t>PAULO GUSTAVO DE MOLA / 479.971.728-66</t>
  </si>
  <si>
    <t xml:space="preserve">DBM-5G21 </t>
  </si>
  <si>
    <t>Paulo gustavo de mola</t>
  </si>
  <si>
    <t>AG: 0001</t>
  </si>
  <si>
    <t>323 E 324</t>
  </si>
  <si>
    <t>C/C: 23910184-1</t>
  </si>
  <si>
    <t>FROTA - QPM-7278</t>
  </si>
  <si>
    <t>325 E 327</t>
  </si>
  <si>
    <t>Nu Pagamentos</t>
  </si>
  <si>
    <t>329 E 330</t>
  </si>
  <si>
    <t>Pix: 479.971.728-66</t>
  </si>
  <si>
    <t>343 e 344</t>
  </si>
  <si>
    <t xml:space="preserve">FROTA </t>
  </si>
  <si>
    <t>FROTA - RME9B20</t>
  </si>
  <si>
    <t>333 E 334</t>
  </si>
  <si>
    <t>FABRICIO SANTIAGO DE SOUZA RLO6C66  IRC3B39  IRC3B07 IRC3A85</t>
  </si>
  <si>
    <t xml:space="preserve"> RLO-6C66</t>
  </si>
  <si>
    <t>ADT E SALDO D+2</t>
  </si>
  <si>
    <t>pix 04706905699</t>
  </si>
  <si>
    <t>347 E 348</t>
  </si>
  <si>
    <t>FROTA - SYR-4H04</t>
  </si>
  <si>
    <t>SYR-4H04</t>
  </si>
  <si>
    <t>339 E 340</t>
  </si>
  <si>
    <t>345 E 346</t>
  </si>
  <si>
    <t>FROTA - TCF1D34</t>
  </si>
  <si>
    <t xml:space="preserve">351 E 352 </t>
  </si>
  <si>
    <t>335 E 336</t>
  </si>
  <si>
    <t>PUO7J56</t>
  </si>
  <si>
    <t>ADT 1</t>
  </si>
  <si>
    <t>SD REF CTE 365 PLACA PUO7J56 VIAGEM LEAFER FERRO</t>
  </si>
  <si>
    <t>SALDO D+2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</si>
</sst>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  <numFmt numFmtId="165" formatCode="[$R$-416]\ #,##0.00;[Red]\-[$R$-416]\ #,##0.00"/>
    <numFmt numFmtId="166" formatCode="dd&quot;/&quot;mm"/>
    <numFmt numFmtId="167" formatCode="dd/mm"/>
    <numFmt numFmtId="168" formatCode="dd&quot;/&quot;mm&quot; - &quot;hh&quot;:&quot;mm"/>
    <numFmt numFmtId="169" formatCode="hh&quot;:&quot;mm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i/>
      <sz val="16"/>
      <color indexed="8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8"/>
      <name val="Arial"/>
      <family val="2"/>
    </font>
    <font>
      <b/>
      <i/>
      <u/>
      <sz val="11"/>
      <color indexed="8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sz val="10"/>
      <color theme="1"/>
      <name val="Arial"/>
    </font>
    <font>
      <b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1">
    <xf numFmtId="0" fontId="0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2" applyNumberFormat="0" applyAlignment="0" applyProtection="0"/>
    <xf numFmtId="0" fontId="6" fillId="17" borderId="3" applyNumberFormat="0" applyAlignment="0" applyProtection="0"/>
    <xf numFmtId="0" fontId="7" fillId="0" borderId="4" applyNumberFormat="0" applyFill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2" applyNumberFormat="0" applyAlignment="0" applyProtection="0"/>
    <xf numFmtId="0" fontId="9" fillId="0" borderId="0">
      <alignment horizontal="center"/>
    </xf>
    <xf numFmtId="0" fontId="9" fillId="0" borderId="0">
      <alignment horizontal="center" textRotation="90"/>
    </xf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2" fillId="0" borderId="0"/>
    <xf numFmtId="0" fontId="12" fillId="23" borderId="5" applyNumberFormat="0" applyAlignment="0" applyProtection="0"/>
    <xf numFmtId="0" fontId="13" fillId="0" borderId="0"/>
    <xf numFmtId="165" fontId="13" fillId="0" borderId="0"/>
    <xf numFmtId="0" fontId="14" fillId="16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44" fontId="26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697">
    <xf numFmtId="0" fontId="0" fillId="0" borderId="0" xfId="0"/>
    <xf numFmtId="43" fontId="0" fillId="0" borderId="0" xfId="0" applyNumberFormat="1"/>
    <xf numFmtId="164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/>
    <xf numFmtId="0" fontId="0" fillId="25" borderId="0" xfId="0" applyFill="1"/>
    <xf numFmtId="0" fontId="0" fillId="26" borderId="0" xfId="0" applyFill="1"/>
    <xf numFmtId="0" fontId="1" fillId="24" borderId="13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164" fontId="1" fillId="24" borderId="15" xfId="0" applyNumberFormat="1" applyFont="1" applyFill="1" applyBorder="1" applyAlignment="1">
      <alignment horizontal="center"/>
    </xf>
    <xf numFmtId="0" fontId="1" fillId="24" borderId="14" xfId="0" applyFont="1" applyFill="1" applyBorder="1" applyAlignment="1">
      <alignment horizontal="center"/>
    </xf>
    <xf numFmtId="0" fontId="1" fillId="29" borderId="18" xfId="0" applyFont="1" applyFill="1" applyBorder="1" applyAlignment="1">
      <alignment horizontal="center"/>
    </xf>
    <xf numFmtId="164" fontId="1" fillId="29" borderId="20" xfId="0" applyNumberFormat="1" applyFont="1" applyFill="1" applyBorder="1" applyAlignment="1">
      <alignment horizontal="center"/>
    </xf>
    <xf numFmtId="0" fontId="23" fillId="0" borderId="0" xfId="0" applyFont="1"/>
    <xf numFmtId="164" fontId="23" fillId="31" borderId="1" xfId="0" applyNumberFormat="1" applyFont="1" applyFill="1" applyBorder="1" applyAlignment="1">
      <alignment horizontal="center"/>
    </xf>
    <xf numFmtId="43" fontId="23" fillId="31" borderId="1" xfId="0" applyNumberFormat="1" applyFont="1" applyFill="1" applyBorder="1"/>
    <xf numFmtId="164" fontId="23" fillId="30" borderId="16" xfId="0" applyNumberFormat="1" applyFont="1" applyFill="1" applyBorder="1" applyAlignment="1">
      <alignment horizontal="center"/>
    </xf>
    <xf numFmtId="0" fontId="23" fillId="30" borderId="16" xfId="0" applyFont="1" applyFill="1" applyBorder="1"/>
    <xf numFmtId="0" fontId="23" fillId="30" borderId="16" xfId="0" applyFont="1" applyFill="1" applyBorder="1" applyAlignment="1">
      <alignment horizontal="center"/>
    </xf>
    <xf numFmtId="43" fontId="24" fillId="27" borderId="14" xfId="0" applyNumberFormat="1" applyFont="1" applyFill="1" applyBorder="1"/>
    <xf numFmtId="0" fontId="23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3" fillId="0" borderId="25" xfId="0" applyNumberFormat="1" applyFont="1" applyBorder="1" applyAlignment="1">
      <alignment horizontal="left"/>
    </xf>
    <xf numFmtId="164" fontId="23" fillId="0" borderId="26" xfId="0" applyNumberFormat="1" applyFont="1" applyBorder="1" applyAlignment="1">
      <alignment horizontal="left"/>
    </xf>
    <xf numFmtId="0" fontId="1" fillId="24" borderId="15" xfId="0" applyFont="1" applyFill="1" applyBorder="1" applyAlignment="1">
      <alignment vertical="top"/>
    </xf>
    <xf numFmtId="44" fontId="1" fillId="24" borderId="15" xfId="48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3" fillId="30" borderId="16" xfId="0" applyFont="1" applyFill="1" applyBorder="1" applyAlignment="1">
      <alignment vertical="top"/>
    </xf>
    <xf numFmtId="44" fontId="24" fillId="30" borderId="16" xfId="48" applyFont="1" applyFill="1" applyBorder="1"/>
    <xf numFmtId="0" fontId="0" fillId="0" borderId="0" xfId="0" applyAlignment="1">
      <alignment vertical="top"/>
    </xf>
    <xf numFmtId="44" fontId="0" fillId="0" borderId="0" xfId="48" applyFont="1"/>
    <xf numFmtId="44" fontId="24" fillId="30" borderId="31" xfId="48" applyFont="1" applyFill="1" applyBorder="1" applyAlignment="1">
      <alignment vertical="center"/>
    </xf>
    <xf numFmtId="0" fontId="1" fillId="24" borderId="15" xfId="0" applyFont="1" applyFill="1" applyBorder="1" applyAlignment="1">
      <alignment horizontal="center" vertical="center"/>
    </xf>
    <xf numFmtId="0" fontId="23" fillId="30" borderId="16" xfId="0" applyFont="1" applyFill="1" applyBorder="1" applyAlignment="1">
      <alignment horizontal="left" vertical="center"/>
    </xf>
    <xf numFmtId="164" fontId="23" fillId="0" borderId="29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center" vertical="center"/>
    </xf>
    <xf numFmtId="164" fontId="25" fillId="27" borderId="11" xfId="0" applyNumberFormat="1" applyFont="1" applyFill="1" applyBorder="1" applyAlignment="1">
      <alignment horizontal="center"/>
    </xf>
    <xf numFmtId="164" fontId="23" fillId="0" borderId="27" xfId="0" applyNumberFormat="1" applyFont="1" applyBorder="1" applyAlignment="1">
      <alignment horizontal="left"/>
    </xf>
    <xf numFmtId="164" fontId="23" fillId="0" borderId="28" xfId="0" applyNumberFormat="1" applyFont="1" applyBorder="1" applyAlignment="1">
      <alignment horizontal="left"/>
    </xf>
    <xf numFmtId="43" fontId="24" fillId="30" borderId="16" xfId="0" applyNumberFormat="1" applyFont="1" applyFill="1" applyBorder="1" applyAlignment="1">
      <alignment horizontal="center"/>
    </xf>
    <xf numFmtId="0" fontId="0" fillId="0" borderId="29" xfId="0" applyBorder="1"/>
    <xf numFmtId="0" fontId="0" fillId="0" borderId="33" xfId="0" applyBorder="1"/>
    <xf numFmtId="164" fontId="23" fillId="0" borderId="33" xfId="0" applyNumberFormat="1" applyFont="1" applyBorder="1" applyAlignment="1">
      <alignment horizontal="center" vertical="center"/>
    </xf>
    <xf numFmtId="0" fontId="23" fillId="30" borderId="16" xfId="0" applyFont="1" applyFill="1" applyBorder="1" applyAlignment="1">
      <alignment wrapText="1"/>
    </xf>
    <xf numFmtId="164" fontId="23" fillId="30" borderId="31" xfId="0" applyNumberFormat="1" applyFont="1" applyFill="1" applyBorder="1" applyAlignment="1">
      <alignment horizontal="center"/>
    </xf>
    <xf numFmtId="164" fontId="23" fillId="30" borderId="1" xfId="0" applyNumberFormat="1" applyFont="1" applyFill="1" applyBorder="1" applyAlignment="1">
      <alignment horizontal="center"/>
    </xf>
    <xf numFmtId="0" fontId="23" fillId="30" borderId="0" xfId="0" applyFont="1" applyFill="1" applyAlignment="1">
      <alignment horizontal="center"/>
    </xf>
    <xf numFmtId="0" fontId="23" fillId="30" borderId="1" xfId="0" applyFont="1" applyFill="1" applyBorder="1" applyAlignment="1">
      <alignment horizontal="center"/>
    </xf>
    <xf numFmtId="164" fontId="23" fillId="0" borderId="0" xfId="0" applyNumberFormat="1" applyFont="1" applyAlignment="1">
      <alignment horizontal="left"/>
    </xf>
    <xf numFmtId="0" fontId="30" fillId="0" borderId="0" xfId="0" applyFont="1" applyAlignment="1">
      <alignment horizontal="center"/>
    </xf>
    <xf numFmtId="164" fontId="1" fillId="29" borderId="20" xfId="0" applyNumberFormat="1" applyFont="1" applyFill="1" applyBorder="1"/>
    <xf numFmtId="0" fontId="1" fillId="24" borderId="14" xfId="0" applyFont="1" applyFill="1" applyBorder="1"/>
    <xf numFmtId="164" fontId="23" fillId="30" borderId="0" xfId="0" applyNumberFormat="1" applyFont="1" applyFill="1" applyAlignment="1">
      <alignment horizontal="center"/>
    </xf>
    <xf numFmtId="0" fontId="23" fillId="30" borderId="0" xfId="0" applyFont="1" applyFill="1"/>
    <xf numFmtId="164" fontId="23" fillId="30" borderId="28" xfId="0" applyNumberFormat="1" applyFont="1" applyFill="1" applyBorder="1" applyAlignment="1">
      <alignment horizontal="center"/>
    </xf>
    <xf numFmtId="43" fontId="24" fillId="30" borderId="27" xfId="0" applyNumberFormat="1" applyFont="1" applyFill="1" applyBorder="1"/>
    <xf numFmtId="0" fontId="28" fillId="30" borderId="16" xfId="0" applyFont="1" applyFill="1" applyBorder="1"/>
    <xf numFmtId="164" fontId="23" fillId="30" borderId="16" xfId="0" applyNumberFormat="1" applyFont="1" applyFill="1" applyBorder="1" applyAlignment="1">
      <alignment horizontal="center" vertical="center"/>
    </xf>
    <xf numFmtId="164" fontId="25" fillId="27" borderId="0" xfId="0" applyNumberFormat="1" applyFont="1" applyFill="1" applyAlignment="1">
      <alignment horizontal="center"/>
    </xf>
    <xf numFmtId="164" fontId="23" fillId="30" borderId="26" xfId="0" applyNumberFormat="1" applyFont="1" applyFill="1" applyBorder="1" applyAlignment="1">
      <alignment horizontal="center"/>
    </xf>
    <xf numFmtId="0" fontId="24" fillId="0" borderId="0" xfId="0" applyFont="1"/>
    <xf numFmtId="164" fontId="31" fillId="0" borderId="0" xfId="0" applyNumberFormat="1" applyFont="1" applyAlignment="1">
      <alignment horizontal="center"/>
    </xf>
    <xf numFmtId="43" fontId="31" fillId="0" borderId="0" xfId="0" applyNumberFormat="1" applyFont="1"/>
    <xf numFmtId="0" fontId="31" fillId="0" borderId="0" xfId="0" applyFont="1"/>
    <xf numFmtId="43" fontId="24" fillId="27" borderId="22" xfId="0" applyNumberFormat="1" applyFont="1" applyFill="1" applyBorder="1"/>
    <xf numFmtId="0" fontId="23" fillId="34" borderId="0" xfId="0" applyFont="1" applyFill="1"/>
    <xf numFmtId="164" fontId="0" fillId="34" borderId="0" xfId="0" applyNumberFormat="1" applyFill="1" applyAlignment="1">
      <alignment horizontal="center"/>
    </xf>
    <xf numFmtId="0" fontId="0" fillId="34" borderId="0" xfId="0" applyFill="1"/>
    <xf numFmtId="43" fontId="0" fillId="34" borderId="0" xfId="0" applyNumberFormat="1" applyFill="1"/>
    <xf numFmtId="0" fontId="0" fillId="33" borderId="0" xfId="0" applyFill="1"/>
    <xf numFmtId="0" fontId="0" fillId="0" borderId="0" xfId="0" applyAlignment="1">
      <alignment horizontal="left" vertical="top"/>
    </xf>
    <xf numFmtId="0" fontId="0" fillId="34" borderId="0" xfId="0" applyFill="1" applyAlignment="1">
      <alignment horizontal="center" vertical="center"/>
    </xf>
    <xf numFmtId="0" fontId="23" fillId="34" borderId="0" xfId="0" applyFont="1" applyFill="1" applyAlignment="1">
      <alignment vertical="center"/>
    </xf>
    <xf numFmtId="164" fontId="0" fillId="34" borderId="0" xfId="0" applyNumberFormat="1" applyFill="1" applyAlignment="1">
      <alignment horizontal="center" vertical="center"/>
    </xf>
    <xf numFmtId="0" fontId="0" fillId="34" borderId="0" xfId="0" applyFill="1" applyAlignment="1">
      <alignment vertical="center"/>
    </xf>
    <xf numFmtId="43" fontId="0" fillId="34" borderId="0" xfId="0" applyNumberFormat="1" applyFill="1" applyAlignment="1">
      <alignment vertical="center"/>
    </xf>
    <xf numFmtId="0" fontId="28" fillId="34" borderId="0" xfId="0" applyFont="1" applyFill="1" applyAlignment="1">
      <alignment vertical="center"/>
    </xf>
    <xf numFmtId="164" fontId="29" fillId="34" borderId="0" xfId="0" applyNumberFormat="1" applyFont="1" applyFill="1" applyAlignment="1">
      <alignment horizontal="center" vertical="center"/>
    </xf>
    <xf numFmtId="0" fontId="29" fillId="34" borderId="0" xfId="0" applyFont="1" applyFill="1" applyAlignment="1">
      <alignment vertical="center"/>
    </xf>
    <xf numFmtId="43" fontId="29" fillId="34" borderId="0" xfId="0" applyNumberFormat="1" applyFont="1" applyFill="1" applyAlignment="1">
      <alignment vertical="center"/>
    </xf>
    <xf numFmtId="0" fontId="23" fillId="34" borderId="0" xfId="0" applyFont="1" applyFill="1" applyAlignment="1">
      <alignment horizontal="left" vertical="top"/>
    </xf>
    <xf numFmtId="0" fontId="0" fillId="30" borderId="0" xfId="0" applyFill="1" applyAlignment="1">
      <alignment vertical="center"/>
    </xf>
    <xf numFmtId="0" fontId="29" fillId="30" borderId="0" xfId="0" applyFont="1" applyFill="1" applyAlignment="1">
      <alignment vertical="center"/>
    </xf>
    <xf numFmtId="14" fontId="23" fillId="34" borderId="0" xfId="0" applyNumberFormat="1" applyFont="1" applyFill="1" applyAlignment="1">
      <alignment horizontal="center"/>
    </xf>
    <xf numFmtId="0" fontId="23" fillId="34" borderId="36" xfId="0" applyFont="1" applyFill="1" applyBorder="1"/>
    <xf numFmtId="0" fontId="23" fillId="34" borderId="33" xfId="0" applyFont="1" applyFill="1" applyBorder="1"/>
    <xf numFmtId="0" fontId="1" fillId="36" borderId="23" xfId="0" applyFont="1" applyFill="1" applyBorder="1" applyAlignment="1">
      <alignment horizontal="center" vertical="center"/>
    </xf>
    <xf numFmtId="0" fontId="1" fillId="36" borderId="34" xfId="0" applyFont="1" applyFill="1" applyBorder="1" applyAlignment="1">
      <alignment horizontal="center" vertical="center"/>
    </xf>
    <xf numFmtId="44" fontId="1" fillId="36" borderId="34" xfId="48" applyFont="1" applyFill="1" applyBorder="1" applyAlignment="1">
      <alignment horizontal="center" vertical="center"/>
    </xf>
    <xf numFmtId="14" fontId="1" fillId="36" borderId="34" xfId="0" applyNumberFormat="1" applyFont="1" applyFill="1" applyBorder="1" applyAlignment="1">
      <alignment horizontal="center" vertical="center"/>
    </xf>
    <xf numFmtId="0" fontId="1" fillId="36" borderId="24" xfId="0" applyFont="1" applyFill="1" applyBorder="1" applyAlignment="1">
      <alignment horizontal="center" vertical="center"/>
    </xf>
    <xf numFmtId="164" fontId="1" fillId="34" borderId="0" xfId="0" applyNumberFormat="1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44" fontId="0" fillId="0" borderId="0" xfId="48" applyFont="1" applyBorder="1"/>
    <xf numFmtId="0" fontId="1" fillId="0" borderId="0" xfId="0" applyFont="1" applyAlignment="1">
      <alignment horizontal="center" vertical="center"/>
    </xf>
    <xf numFmtId="164" fontId="23" fillId="35" borderId="1" xfId="0" applyNumberFormat="1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35" borderId="37" xfId="0" applyFill="1" applyBorder="1" applyAlignment="1">
      <alignment horizontal="left" vertical="top"/>
    </xf>
    <xf numFmtId="0" fontId="23" fillId="35" borderId="37" xfId="0" applyFont="1" applyFill="1" applyBorder="1" applyAlignment="1">
      <alignment horizontal="left" vertical="center"/>
    </xf>
    <xf numFmtId="0" fontId="23" fillId="35" borderId="37" xfId="0" applyFont="1" applyFill="1" applyBorder="1" applyAlignment="1">
      <alignment horizontal="center"/>
    </xf>
    <xf numFmtId="44" fontId="24" fillId="35" borderId="37" xfId="48" applyFont="1" applyFill="1" applyBorder="1" applyAlignment="1">
      <alignment vertical="center"/>
    </xf>
    <xf numFmtId="43" fontId="24" fillId="35" borderId="37" xfId="0" applyNumberFormat="1" applyFont="1" applyFill="1" applyBorder="1" applyAlignment="1">
      <alignment horizontal="left" vertical="top" wrapText="1"/>
    </xf>
    <xf numFmtId="164" fontId="23" fillId="35" borderId="37" xfId="0" applyNumberFormat="1" applyFont="1" applyFill="1" applyBorder="1" applyAlignment="1">
      <alignment horizontal="center"/>
    </xf>
    <xf numFmtId="43" fontId="24" fillId="35" borderId="37" xfId="0" applyNumberFormat="1" applyFont="1" applyFill="1" applyBorder="1" applyAlignment="1">
      <alignment horizontal="left" vertical="center"/>
    </xf>
    <xf numFmtId="44" fontId="24" fillId="35" borderId="37" xfId="48" applyFont="1" applyFill="1" applyBorder="1" applyAlignment="1">
      <alignment horizontal="center" vertical="center"/>
    </xf>
    <xf numFmtId="0" fontId="23" fillId="35" borderId="37" xfId="0" applyFont="1" applyFill="1" applyBorder="1" applyAlignment="1">
      <alignment horizontal="left" vertical="top"/>
    </xf>
    <xf numFmtId="43" fontId="24" fillId="35" borderId="37" xfId="0" applyNumberFormat="1" applyFont="1" applyFill="1" applyBorder="1" applyAlignment="1">
      <alignment horizontal="left"/>
    </xf>
    <xf numFmtId="0" fontId="23" fillId="35" borderId="37" xfId="0" applyFont="1" applyFill="1" applyBorder="1" applyAlignment="1">
      <alignment horizontal="left"/>
    </xf>
    <xf numFmtId="0" fontId="24" fillId="35" borderId="37" xfId="0" applyFont="1" applyFill="1" applyBorder="1" applyAlignment="1">
      <alignment horizontal="left" vertical="top"/>
    </xf>
    <xf numFmtId="164" fontId="25" fillId="35" borderId="37" xfId="0" applyNumberFormat="1" applyFont="1" applyFill="1" applyBorder="1" applyAlignment="1">
      <alignment horizontal="center"/>
    </xf>
    <xf numFmtId="43" fontId="24" fillId="35" borderId="37" xfId="0" applyNumberFormat="1" applyFont="1" applyFill="1" applyBorder="1" applyAlignment="1">
      <alignment vertical="top" wrapText="1"/>
    </xf>
    <xf numFmtId="164" fontId="23" fillId="35" borderId="37" xfId="0" applyNumberFormat="1" applyFont="1" applyFill="1" applyBorder="1" applyAlignment="1">
      <alignment horizontal="center" vertical="center"/>
    </xf>
    <xf numFmtId="44" fontId="23" fillId="35" borderId="37" xfId="48" applyFont="1" applyFill="1" applyBorder="1"/>
    <xf numFmtId="0" fontId="23" fillId="35" borderId="37" xfId="0" applyFont="1" applyFill="1" applyBorder="1" applyAlignment="1">
      <alignment horizontal="center" vertical="center"/>
    </xf>
    <xf numFmtId="43" fontId="24" fillId="35" borderId="37" xfId="0" applyNumberFormat="1" applyFont="1" applyFill="1" applyBorder="1" applyAlignment="1">
      <alignment horizontal="left" vertical="center" wrapText="1"/>
    </xf>
    <xf numFmtId="44" fontId="24" fillId="35" borderId="37" xfId="48" applyFont="1" applyFill="1" applyBorder="1"/>
    <xf numFmtId="0" fontId="23" fillId="35" borderId="37" xfId="0" applyFont="1" applyFill="1" applyBorder="1"/>
    <xf numFmtId="164" fontId="23" fillId="35" borderId="16" xfId="0" applyNumberFormat="1" applyFont="1" applyFill="1" applyBorder="1" applyAlignment="1">
      <alignment horizontal="left" vertical="top" wrapText="1"/>
    </xf>
    <xf numFmtId="44" fontId="24" fillId="34" borderId="0" xfId="48" applyFont="1" applyFill="1" applyBorder="1"/>
    <xf numFmtId="14" fontId="23" fillId="35" borderId="37" xfId="0" applyNumberFormat="1" applyFont="1" applyFill="1" applyBorder="1" applyAlignment="1">
      <alignment horizontal="center"/>
    </xf>
    <xf numFmtId="164" fontId="23" fillId="35" borderId="37" xfId="0" applyNumberFormat="1" applyFont="1" applyFill="1" applyBorder="1" applyAlignment="1">
      <alignment horizontal="left" vertical="top" wrapText="1"/>
    </xf>
    <xf numFmtId="44" fontId="24" fillId="35" borderId="16" xfId="48" applyFont="1" applyFill="1" applyBorder="1"/>
    <xf numFmtId="0" fontId="28" fillId="35" borderId="37" xfId="0" applyFont="1" applyFill="1" applyBorder="1" applyAlignment="1">
      <alignment horizontal="left" vertical="top"/>
    </xf>
    <xf numFmtId="0" fontId="0" fillId="0" borderId="37" xfId="0" applyBorder="1" applyAlignment="1">
      <alignment horizontal="left"/>
    </xf>
    <xf numFmtId="0" fontId="0" fillId="0" borderId="37" xfId="0" applyBorder="1"/>
    <xf numFmtId="0" fontId="0" fillId="37" borderId="37" xfId="0" applyFill="1" applyBorder="1" applyAlignment="1">
      <alignment horizontal="left" wrapText="1"/>
    </xf>
    <xf numFmtId="0" fontId="0" fillId="35" borderId="37" xfId="0" applyFill="1" applyBorder="1" applyAlignment="1">
      <alignment horizontal="left"/>
    </xf>
    <xf numFmtId="164" fontId="1" fillId="36" borderId="20" xfId="0" applyNumberFormat="1" applyFont="1" applyFill="1" applyBorder="1" applyAlignment="1">
      <alignment horizontal="center" vertical="center"/>
    </xf>
    <xf numFmtId="0" fontId="29" fillId="0" borderId="0" xfId="0" applyFont="1"/>
    <xf numFmtId="0" fontId="24" fillId="35" borderId="37" xfId="0" applyFont="1" applyFill="1" applyBorder="1" applyAlignment="1">
      <alignment horizontal="center" vertical="center"/>
    </xf>
    <xf numFmtId="0" fontId="24" fillId="35" borderId="37" xfId="0" applyFont="1" applyFill="1" applyBorder="1" applyAlignment="1">
      <alignment horizontal="center"/>
    </xf>
    <xf numFmtId="44" fontId="0" fillId="0" borderId="37" xfId="48" applyFont="1" applyBorder="1"/>
    <xf numFmtId="0" fontId="23" fillId="30" borderId="37" xfId="0" applyFont="1" applyFill="1" applyBorder="1" applyAlignment="1">
      <alignment horizontal="center"/>
    </xf>
    <xf numFmtId="44" fontId="24" fillId="30" borderId="37" xfId="48" applyFont="1" applyFill="1" applyBorder="1"/>
    <xf numFmtId="0" fontId="0" fillId="35" borderId="0" xfId="0" applyFill="1"/>
    <xf numFmtId="0" fontId="0" fillId="35" borderId="37" xfId="0" applyFill="1" applyBorder="1" applyAlignment="1">
      <alignment horizontal="center" vertical="center"/>
    </xf>
    <xf numFmtId="164" fontId="24" fillId="34" borderId="0" xfId="0" applyNumberFormat="1" applyFont="1" applyFill="1" applyAlignment="1">
      <alignment horizontal="left"/>
    </xf>
    <xf numFmtId="0" fontId="24" fillId="34" borderId="0" xfId="0" applyFont="1" applyFill="1" applyAlignment="1">
      <alignment horizontal="left" vertical="top"/>
    </xf>
    <xf numFmtId="0" fontId="24" fillId="34" borderId="0" xfId="0" applyFont="1" applyFill="1" applyAlignment="1">
      <alignment horizontal="center"/>
    </xf>
    <xf numFmtId="14" fontId="24" fillId="34" borderId="0" xfId="0" applyNumberFormat="1" applyFont="1" applyFill="1" applyAlignment="1">
      <alignment horizontal="center"/>
    </xf>
    <xf numFmtId="43" fontId="24" fillId="34" borderId="0" xfId="0" applyNumberFormat="1" applyFont="1" applyFill="1" applyAlignment="1">
      <alignment horizontal="center" vertical="center"/>
    </xf>
    <xf numFmtId="44" fontId="23" fillId="35" borderId="37" xfId="48" applyFont="1" applyFill="1" applyBorder="1" applyAlignment="1">
      <alignment horizontal="center" vertical="center"/>
    </xf>
    <xf numFmtId="43" fontId="24" fillId="35" borderId="37" xfId="0" applyNumberFormat="1" applyFont="1" applyFill="1" applyBorder="1" applyAlignment="1">
      <alignment horizontal="left" vertical="top"/>
    </xf>
    <xf numFmtId="43" fontId="23" fillId="35" borderId="37" xfId="0" applyNumberFormat="1" applyFont="1" applyFill="1" applyBorder="1"/>
    <xf numFmtId="44" fontId="23" fillId="35" borderId="37" xfId="48" applyFont="1" applyFill="1" applyBorder="1" applyAlignment="1">
      <alignment vertical="center"/>
    </xf>
    <xf numFmtId="44" fontId="23" fillId="35" borderId="37" xfId="48" applyFont="1" applyFill="1" applyBorder="1" applyAlignment="1">
      <alignment horizontal="center"/>
    </xf>
    <xf numFmtId="164" fontId="24" fillId="35" borderId="37" xfId="0" applyNumberFormat="1" applyFont="1" applyFill="1" applyBorder="1" applyAlignment="1">
      <alignment horizontal="center"/>
    </xf>
    <xf numFmtId="44" fontId="24" fillId="35" borderId="37" xfId="48" applyFont="1" applyFill="1" applyBorder="1" applyAlignment="1">
      <alignment horizontal="center"/>
    </xf>
    <xf numFmtId="9" fontId="23" fillId="35" borderId="37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14" fontId="25" fillId="36" borderId="18" xfId="0" applyNumberFormat="1" applyFont="1" applyFill="1" applyBorder="1" applyAlignment="1">
      <alignment horizontal="center" vertical="center"/>
    </xf>
    <xf numFmtId="14" fontId="23" fillId="34" borderId="0" xfId="0" applyNumberFormat="1" applyFont="1" applyFill="1" applyAlignment="1">
      <alignment horizontal="center" vertical="center"/>
    </xf>
    <xf numFmtId="164" fontId="23" fillId="35" borderId="37" xfId="0" applyNumberFormat="1" applyFont="1" applyFill="1" applyBorder="1" applyAlignment="1">
      <alignment horizontal="left" vertical="center"/>
    </xf>
    <xf numFmtId="0" fontId="24" fillId="35" borderId="16" xfId="0" applyFont="1" applyFill="1" applyBorder="1" applyAlignment="1">
      <alignment horizontal="left" vertical="top"/>
    </xf>
    <xf numFmtId="43" fontId="24" fillId="29" borderId="37" xfId="0" applyNumberFormat="1" applyFont="1" applyFill="1" applyBorder="1" applyAlignment="1">
      <alignment horizontal="left" vertical="top"/>
    </xf>
    <xf numFmtId="44" fontId="23" fillId="33" borderId="37" xfId="48" applyFont="1" applyFill="1" applyBorder="1" applyAlignment="1">
      <alignment horizontal="center"/>
    </xf>
    <xf numFmtId="0" fontId="23" fillId="35" borderId="1" xfId="0" applyFont="1" applyFill="1" applyBorder="1" applyAlignment="1">
      <alignment horizontal="left" vertical="top"/>
    </xf>
    <xf numFmtId="0" fontId="23" fillId="35" borderId="1" xfId="0" applyFont="1" applyFill="1" applyBorder="1" applyAlignment="1">
      <alignment horizontal="center" vertical="center"/>
    </xf>
    <xf numFmtId="164" fontId="23" fillId="35" borderId="1" xfId="0" applyNumberFormat="1" applyFont="1" applyFill="1" applyBorder="1" applyAlignment="1">
      <alignment horizontal="center"/>
    </xf>
    <xf numFmtId="0" fontId="23" fillId="35" borderId="16" xfId="0" applyFont="1" applyFill="1" applyBorder="1" applyAlignment="1">
      <alignment horizontal="left" vertical="top"/>
    </xf>
    <xf numFmtId="0" fontId="24" fillId="35" borderId="16" xfId="0" applyFont="1" applyFill="1" applyBorder="1" applyAlignment="1">
      <alignment horizontal="center"/>
    </xf>
    <xf numFmtId="44" fontId="23" fillId="35" borderId="16" xfId="48" applyFont="1" applyFill="1" applyBorder="1"/>
    <xf numFmtId="164" fontId="23" fillId="35" borderId="16" xfId="0" applyNumberFormat="1" applyFont="1" applyFill="1" applyBorder="1" applyAlignment="1">
      <alignment horizontal="center"/>
    </xf>
    <xf numFmtId="164" fontId="23" fillId="35" borderId="16" xfId="0" applyNumberFormat="1" applyFont="1" applyFill="1" applyBorder="1" applyAlignment="1">
      <alignment horizontal="center" vertical="center"/>
    </xf>
    <xf numFmtId="0" fontId="23" fillId="35" borderId="16" xfId="0" applyFont="1" applyFill="1" applyBorder="1"/>
    <xf numFmtId="0" fontId="23" fillId="35" borderId="16" xfId="0" applyFont="1" applyFill="1" applyBorder="1" applyAlignment="1">
      <alignment horizontal="left"/>
    </xf>
    <xf numFmtId="0" fontId="23" fillId="35" borderId="16" xfId="0" applyFont="1" applyFill="1" applyBorder="1" applyAlignment="1">
      <alignment horizontal="center"/>
    </xf>
    <xf numFmtId="0" fontId="28" fillId="35" borderId="37" xfId="0" applyFont="1" applyFill="1" applyBorder="1" applyAlignment="1">
      <alignment horizontal="center" vertical="center"/>
    </xf>
    <xf numFmtId="44" fontId="28" fillId="35" borderId="37" xfId="48" applyFont="1" applyFill="1" applyBorder="1"/>
    <xf numFmtId="164" fontId="28" fillId="35" borderId="38" xfId="0" applyNumberFormat="1" applyFont="1" applyFill="1" applyBorder="1" applyAlignment="1">
      <alignment horizontal="left"/>
    </xf>
    <xf numFmtId="164" fontId="28" fillId="35" borderId="40" xfId="0" applyNumberFormat="1" applyFont="1" applyFill="1" applyBorder="1" applyAlignment="1">
      <alignment horizontal="left"/>
    </xf>
    <xf numFmtId="9" fontId="24" fillId="35" borderId="37" xfId="0" applyNumberFormat="1" applyFont="1" applyFill="1" applyBorder="1" applyAlignment="1">
      <alignment horizontal="center"/>
    </xf>
    <xf numFmtId="9" fontId="23" fillId="35" borderId="16" xfId="0" applyNumberFormat="1" applyFont="1" applyFill="1" applyBorder="1" applyAlignment="1">
      <alignment horizontal="center" vertical="center"/>
    </xf>
    <xf numFmtId="164" fontId="24" fillId="35" borderId="16" xfId="0" applyNumberFormat="1" applyFont="1" applyFill="1" applyBorder="1" applyAlignment="1">
      <alignment horizontal="center"/>
    </xf>
    <xf numFmtId="164" fontId="24" fillId="35" borderId="37" xfId="0" applyNumberFormat="1" applyFont="1" applyFill="1" applyBorder="1" applyAlignment="1">
      <alignment horizontal="center" vertical="center"/>
    </xf>
    <xf numFmtId="164" fontId="24" fillId="35" borderId="16" xfId="0" applyNumberFormat="1" applyFont="1" applyFill="1" applyBorder="1" applyAlignment="1">
      <alignment horizontal="center" vertical="center"/>
    </xf>
    <xf numFmtId="0" fontId="23" fillId="35" borderId="37" xfId="0" applyFont="1" applyFill="1" applyBorder="1" applyAlignment="1">
      <alignment vertical="center"/>
    </xf>
    <xf numFmtId="0" fontId="28" fillId="35" borderId="37" xfId="0" applyFont="1" applyFill="1" applyBorder="1" applyAlignment="1">
      <alignment horizontal="center"/>
    </xf>
    <xf numFmtId="164" fontId="28" fillId="35" borderId="37" xfId="0" applyNumberFormat="1" applyFont="1" applyFill="1" applyBorder="1" applyAlignment="1">
      <alignment horizontal="center" vertical="center"/>
    </xf>
    <xf numFmtId="9" fontId="28" fillId="35" borderId="37" xfId="0" applyNumberFormat="1" applyFont="1" applyFill="1" applyBorder="1" applyAlignment="1">
      <alignment horizontal="center" vertical="center"/>
    </xf>
    <xf numFmtId="164" fontId="28" fillId="35" borderId="37" xfId="0" applyNumberFormat="1" applyFont="1" applyFill="1" applyBorder="1" applyAlignment="1">
      <alignment horizontal="center"/>
    </xf>
    <xf numFmtId="0" fontId="29" fillId="35" borderId="37" xfId="0" applyFont="1" applyFill="1" applyBorder="1" applyAlignment="1">
      <alignment horizontal="left" vertical="top"/>
    </xf>
    <xf numFmtId="164" fontId="23" fillId="35" borderId="16" xfId="0" applyNumberFormat="1" applyFont="1" applyFill="1" applyBorder="1" applyAlignment="1">
      <alignment horizontal="left"/>
    </xf>
    <xf numFmtId="14" fontId="23" fillId="35" borderId="37" xfId="0" applyNumberFormat="1" applyFont="1" applyFill="1" applyBorder="1" applyAlignment="1">
      <alignment horizontal="left" vertical="top"/>
    </xf>
    <xf numFmtId="0" fontId="1" fillId="0" borderId="37" xfId="0" applyFont="1" applyBorder="1"/>
    <xf numFmtId="0" fontId="23" fillId="35" borderId="38" xfId="0" applyFont="1" applyFill="1" applyBorder="1" applyAlignment="1">
      <alignment horizontal="left"/>
    </xf>
    <xf numFmtId="43" fontId="24" fillId="35" borderId="38" xfId="0" applyNumberFormat="1" applyFont="1" applyFill="1" applyBorder="1" applyAlignment="1">
      <alignment horizontal="left"/>
    </xf>
    <xf numFmtId="0" fontId="0" fillId="35" borderId="38" xfId="0" applyFill="1" applyBorder="1" applyAlignment="1">
      <alignment horizontal="left" vertical="top"/>
    </xf>
    <xf numFmtId="0" fontId="23" fillId="35" borderId="38" xfId="0" applyFont="1" applyFill="1" applyBorder="1" applyAlignment="1">
      <alignment horizontal="left" vertical="top"/>
    </xf>
    <xf numFmtId="0" fontId="23" fillId="35" borderId="1" xfId="0" applyFont="1" applyFill="1" applyBorder="1" applyAlignment="1">
      <alignment horizontal="left"/>
    </xf>
    <xf numFmtId="164" fontId="23" fillId="35" borderId="16" xfId="0" applyNumberFormat="1" applyFont="1" applyFill="1" applyBorder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43" fontId="24" fillId="35" borderId="31" xfId="0" applyNumberFormat="1" applyFont="1" applyFill="1" applyBorder="1" applyAlignment="1">
      <alignment horizontal="left" vertical="center"/>
    </xf>
    <xf numFmtId="164" fontId="1" fillId="36" borderId="37" xfId="0" applyNumberFormat="1" applyFont="1" applyFill="1" applyBorder="1" applyAlignment="1">
      <alignment horizontal="left" vertical="top"/>
    </xf>
    <xf numFmtId="0" fontId="1" fillId="36" borderId="37" xfId="0" applyFont="1" applyFill="1" applyBorder="1" applyAlignment="1">
      <alignment horizontal="left" vertical="top"/>
    </xf>
    <xf numFmtId="164" fontId="23" fillId="35" borderId="38" xfId="0" applyNumberFormat="1" applyFont="1" applyFill="1" applyBorder="1" applyAlignment="1">
      <alignment horizontal="left" vertical="center"/>
    </xf>
    <xf numFmtId="43" fontId="24" fillId="35" borderId="16" xfId="0" applyNumberFormat="1" applyFont="1" applyFill="1" applyBorder="1" applyAlignment="1">
      <alignment horizontal="left"/>
    </xf>
    <xf numFmtId="10" fontId="0" fillId="0" borderId="0" xfId="0" applyNumberFormat="1"/>
    <xf numFmtId="14" fontId="0" fillId="0" borderId="37" xfId="0" applyNumberFormat="1" applyBorder="1"/>
    <xf numFmtId="14" fontId="0" fillId="38" borderId="37" xfId="0" applyNumberFormat="1" applyFill="1" applyBorder="1"/>
    <xf numFmtId="44" fontId="0" fillId="38" borderId="37" xfId="48" applyFont="1" applyFill="1" applyBorder="1"/>
    <xf numFmtId="0" fontId="0" fillId="38" borderId="39" xfId="0" applyFill="1" applyBorder="1"/>
    <xf numFmtId="44" fontId="0" fillId="38" borderId="39" xfId="48" applyFont="1" applyFill="1" applyBorder="1"/>
    <xf numFmtId="0" fontId="24" fillId="35" borderId="1" xfId="0" applyFont="1" applyFill="1" applyBorder="1" applyAlignment="1">
      <alignment horizontal="left" vertical="top"/>
    </xf>
    <xf numFmtId="43" fontId="23" fillId="35" borderId="37" xfId="0" applyNumberFormat="1" applyFont="1" applyFill="1" applyBorder="1" applyAlignment="1">
      <alignment horizontal="center" vertical="center"/>
    </xf>
    <xf numFmtId="9" fontId="24" fillId="35" borderId="37" xfId="0" applyNumberFormat="1" applyFont="1" applyFill="1" applyBorder="1" applyAlignment="1">
      <alignment horizontal="center" vertical="center"/>
    </xf>
    <xf numFmtId="164" fontId="24" fillId="35" borderId="1" xfId="0" applyNumberFormat="1" applyFont="1" applyFill="1" applyBorder="1" applyAlignment="1">
      <alignment horizontal="center" vertical="center"/>
    </xf>
    <xf numFmtId="164" fontId="24" fillId="35" borderId="31" xfId="0" applyNumberFormat="1" applyFont="1" applyFill="1" applyBorder="1" applyAlignment="1">
      <alignment horizontal="center" vertical="center"/>
    </xf>
    <xf numFmtId="0" fontId="0" fillId="35" borderId="1" xfId="0" applyFill="1" applyBorder="1" applyAlignment="1">
      <alignment horizontal="left" vertical="top"/>
    </xf>
    <xf numFmtId="0" fontId="24" fillId="0" borderId="0" xfId="0" applyFont="1" applyAlignment="1">
      <alignment horizontal="center" vertical="center"/>
    </xf>
    <xf numFmtId="164" fontId="23" fillId="35" borderId="1" xfId="0" applyNumberFormat="1" applyFont="1" applyFill="1" applyBorder="1" applyAlignment="1">
      <alignment horizontal="center" vertical="center"/>
    </xf>
    <xf numFmtId="44" fontId="24" fillId="0" borderId="0" xfId="48" applyFont="1" applyFill="1" applyBorder="1"/>
    <xf numFmtId="14" fontId="24" fillId="35" borderId="16" xfId="0" applyNumberFormat="1" applyFont="1" applyFill="1" applyBorder="1"/>
    <xf numFmtId="0" fontId="30" fillId="35" borderId="37" xfId="0" applyFont="1" applyFill="1" applyBorder="1" applyAlignment="1">
      <alignment horizontal="center"/>
    </xf>
    <xf numFmtId="43" fontId="23" fillId="35" borderId="16" xfId="0" applyNumberFormat="1" applyFont="1" applyFill="1" applyBorder="1"/>
    <xf numFmtId="44" fontId="0" fillId="0" borderId="0" xfId="0" applyNumberFormat="1"/>
    <xf numFmtId="0" fontId="0" fillId="35" borderId="37" xfId="0" applyFill="1" applyBorder="1" applyAlignment="1">
      <alignment vertical="top"/>
    </xf>
    <xf numFmtId="164" fontId="23" fillId="35" borderId="37" xfId="0" applyNumberFormat="1" applyFont="1" applyFill="1" applyBorder="1"/>
    <xf numFmtId="0" fontId="24" fillId="35" borderId="16" xfId="0" applyFont="1" applyFill="1" applyBorder="1" applyAlignment="1">
      <alignment horizontal="center" vertical="center"/>
    </xf>
    <xf numFmtId="0" fontId="0" fillId="34" borderId="37" xfId="0" applyFill="1" applyBorder="1"/>
    <xf numFmtId="0" fontId="29" fillId="0" borderId="37" xfId="0" applyFont="1" applyBorder="1"/>
    <xf numFmtId="44" fontId="0" fillId="34" borderId="37" xfId="48" applyFont="1" applyFill="1" applyBorder="1"/>
    <xf numFmtId="44" fontId="29" fillId="0" borderId="37" xfId="48" applyFont="1" applyBorder="1"/>
    <xf numFmtId="44" fontId="0" fillId="0" borderId="37" xfId="0" applyNumberFormat="1" applyBorder="1"/>
    <xf numFmtId="44" fontId="29" fillId="0" borderId="37" xfId="0" applyNumberFormat="1" applyFont="1" applyBorder="1"/>
    <xf numFmtId="0" fontId="0" fillId="0" borderId="16" xfId="0" applyBorder="1" applyAlignment="1">
      <alignment horizontal="left"/>
    </xf>
    <xf numFmtId="44" fontId="23" fillId="0" borderId="0" xfId="48" applyFont="1" applyFill="1" applyBorder="1"/>
    <xf numFmtId="0" fontId="23" fillId="35" borderId="40" xfId="0" applyFont="1" applyFill="1" applyBorder="1"/>
    <xf numFmtId="0" fontId="24" fillId="35" borderId="40" xfId="0" applyFont="1" applyFill="1" applyBorder="1" applyAlignment="1">
      <alignment horizontal="center"/>
    </xf>
    <xf numFmtId="164" fontId="1" fillId="36" borderId="37" xfId="0" applyNumberFormat="1" applyFont="1" applyFill="1" applyBorder="1" applyAlignment="1">
      <alignment vertical="top"/>
    </xf>
    <xf numFmtId="0" fontId="1" fillId="36" borderId="37" xfId="0" applyFont="1" applyFill="1" applyBorder="1" applyAlignment="1">
      <alignment vertical="top"/>
    </xf>
    <xf numFmtId="164" fontId="23" fillId="35" borderId="38" xfId="0" applyNumberFormat="1" applyFont="1" applyFill="1" applyBorder="1" applyAlignment="1">
      <alignment horizontal="center" vertical="center"/>
    </xf>
    <xf numFmtId="9" fontId="24" fillId="35" borderId="16" xfId="0" applyNumberFormat="1" applyFont="1" applyFill="1" applyBorder="1" applyAlignment="1">
      <alignment horizontal="center"/>
    </xf>
    <xf numFmtId="164" fontId="23" fillId="35" borderId="40" xfId="0" applyNumberFormat="1" applyFont="1" applyFill="1" applyBorder="1" applyAlignment="1">
      <alignment horizontal="center" vertical="center"/>
    </xf>
    <xf numFmtId="0" fontId="1" fillId="36" borderId="40" xfId="0" applyFont="1" applyFill="1" applyBorder="1"/>
    <xf numFmtId="0" fontId="0" fillId="0" borderId="16" xfId="0" applyBorder="1"/>
    <xf numFmtId="0" fontId="28" fillId="35" borderId="16" xfId="0" applyFont="1" applyFill="1" applyBorder="1" applyAlignment="1">
      <alignment horizontal="center"/>
    </xf>
    <xf numFmtId="0" fontId="30" fillId="35" borderId="16" xfId="0" applyFont="1" applyFill="1" applyBorder="1" applyAlignment="1">
      <alignment horizontal="left" vertical="top"/>
    </xf>
    <xf numFmtId="0" fontId="23" fillId="35" borderId="16" xfId="0" applyFont="1" applyFill="1" applyBorder="1" applyAlignment="1">
      <alignment horizontal="left" vertical="center"/>
    </xf>
    <xf numFmtId="0" fontId="23" fillId="35" borderId="16" xfId="0" applyFont="1" applyFill="1" applyBorder="1" applyAlignment="1">
      <alignment vertical="top"/>
    </xf>
    <xf numFmtId="0" fontId="28" fillId="35" borderId="16" xfId="0" applyFont="1" applyFill="1" applyBorder="1" applyAlignment="1">
      <alignment horizontal="center" vertical="center"/>
    </xf>
    <xf numFmtId="0" fontId="24" fillId="35" borderId="1" xfId="0" applyFont="1" applyFill="1" applyBorder="1" applyAlignment="1">
      <alignment horizontal="center"/>
    </xf>
    <xf numFmtId="0" fontId="23" fillId="35" borderId="1" xfId="0" applyFont="1" applyFill="1" applyBorder="1" applyAlignment="1">
      <alignment horizontal="center"/>
    </xf>
    <xf numFmtId="44" fontId="24" fillId="35" borderId="16" xfId="48" applyFont="1" applyFill="1" applyBorder="1" applyAlignment="1">
      <alignment horizontal="center" vertical="center"/>
    </xf>
    <xf numFmtId="44" fontId="23" fillId="35" borderId="1" xfId="48" applyFont="1" applyFill="1" applyBorder="1"/>
    <xf numFmtId="43" fontId="24" fillId="35" borderId="1" xfId="0" applyNumberFormat="1" applyFont="1" applyFill="1" applyBorder="1" applyAlignment="1">
      <alignment horizontal="left" vertical="top" wrapText="1"/>
    </xf>
    <xf numFmtId="43" fontId="24" fillId="35" borderId="38" xfId="0" applyNumberFormat="1" applyFont="1" applyFill="1" applyBorder="1" applyAlignment="1">
      <alignment horizontal="left" vertical="center"/>
    </xf>
    <xf numFmtId="43" fontId="24" fillId="35" borderId="38" xfId="0" applyNumberFormat="1" applyFont="1" applyFill="1" applyBorder="1" applyAlignment="1">
      <alignment horizontal="left" vertical="top"/>
    </xf>
    <xf numFmtId="0" fontId="24" fillId="35" borderId="31" xfId="0" applyFont="1" applyFill="1" applyBorder="1" applyAlignment="1">
      <alignment horizontal="left" vertical="top"/>
    </xf>
    <xf numFmtId="0" fontId="24" fillId="35" borderId="38" xfId="0" applyFont="1" applyFill="1" applyBorder="1" applyAlignment="1">
      <alignment horizontal="left" vertical="top"/>
    </xf>
    <xf numFmtId="0" fontId="23" fillId="0" borderId="38" xfId="0" applyFont="1" applyBorder="1"/>
    <xf numFmtId="0" fontId="23" fillId="0" borderId="25" xfId="0" applyFont="1" applyBorder="1"/>
    <xf numFmtId="0" fontId="23" fillId="0" borderId="37" xfId="0" applyFont="1" applyBorder="1"/>
    <xf numFmtId="0" fontId="23" fillId="0" borderId="16" xfId="0" applyFont="1" applyBorder="1"/>
    <xf numFmtId="0" fontId="23" fillId="35" borderId="40" xfId="0" applyFont="1" applyFill="1" applyBorder="1" applyAlignment="1">
      <alignment horizontal="center" vertical="center"/>
    </xf>
    <xf numFmtId="0" fontId="0" fillId="0" borderId="40" xfId="0" applyBorder="1"/>
    <xf numFmtId="0" fontId="30" fillId="35" borderId="40" xfId="0" applyFont="1" applyFill="1" applyBorder="1" applyAlignment="1">
      <alignment horizontal="center"/>
    </xf>
    <xf numFmtId="9" fontId="24" fillId="35" borderId="16" xfId="0" applyNumberFormat="1" applyFont="1" applyFill="1" applyBorder="1" applyAlignment="1">
      <alignment horizontal="center" vertical="center"/>
    </xf>
    <xf numFmtId="0" fontId="24" fillId="35" borderId="37" xfId="0" applyFont="1" applyFill="1" applyBorder="1"/>
    <xf numFmtId="0" fontId="0" fillId="0" borderId="1" xfId="0" applyBorder="1" applyAlignment="1">
      <alignment horizontal="left"/>
    </xf>
    <xf numFmtId="0" fontId="24" fillId="35" borderId="37" xfId="0" applyFont="1" applyFill="1" applyBorder="1" applyAlignment="1">
      <alignment horizontal="left"/>
    </xf>
    <xf numFmtId="9" fontId="24" fillId="35" borderId="40" xfId="0" applyNumberFormat="1" applyFont="1" applyFill="1" applyBorder="1" applyAlignment="1">
      <alignment horizontal="center"/>
    </xf>
    <xf numFmtId="44" fontId="24" fillId="35" borderId="38" xfId="48" applyFont="1" applyFill="1" applyBorder="1"/>
    <xf numFmtId="0" fontId="24" fillId="35" borderId="16" xfId="0" applyFont="1" applyFill="1" applyBorder="1" applyAlignment="1">
      <alignment horizontal="left"/>
    </xf>
    <xf numFmtId="164" fontId="0" fillId="0" borderId="37" xfId="0" applyNumberFormat="1" applyBorder="1" applyAlignment="1">
      <alignment horizontal="center"/>
    </xf>
    <xf numFmtId="20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2" borderId="37" xfId="0" applyFill="1" applyBorder="1"/>
    <xf numFmtId="164" fontId="28" fillId="35" borderId="37" xfId="0" applyNumberFormat="1" applyFont="1" applyFill="1" applyBorder="1" applyAlignment="1">
      <alignment horizontal="center" vertical="top"/>
    </xf>
    <xf numFmtId="164" fontId="29" fillId="0" borderId="37" xfId="0" applyNumberFormat="1" applyFont="1" applyBorder="1" applyAlignment="1">
      <alignment horizontal="center"/>
    </xf>
    <xf numFmtId="0" fontId="24" fillId="35" borderId="16" xfId="0" applyFont="1" applyFill="1" applyBorder="1" applyAlignment="1">
      <alignment horizontal="left" vertical="center"/>
    </xf>
    <xf numFmtId="0" fontId="24" fillId="35" borderId="37" xfId="0" applyFont="1" applyFill="1" applyBorder="1" applyAlignment="1">
      <alignment horizontal="left" vertical="center"/>
    </xf>
    <xf numFmtId="0" fontId="28" fillId="35" borderId="37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/>
    </xf>
    <xf numFmtId="0" fontId="0" fillId="0" borderId="1" xfId="0" applyBorder="1"/>
    <xf numFmtId="14" fontId="24" fillId="35" borderId="37" xfId="0" applyNumberFormat="1" applyFont="1" applyFill="1" applyBorder="1"/>
    <xf numFmtId="0" fontId="31" fillId="0" borderId="37" xfId="0" applyFont="1" applyBorder="1"/>
    <xf numFmtId="0" fontId="31" fillId="0" borderId="37" xfId="0" applyFont="1" applyBorder="1" applyAlignment="1">
      <alignment horizontal="left"/>
    </xf>
    <xf numFmtId="0" fontId="24" fillId="35" borderId="40" xfId="0" applyFont="1" applyFill="1" applyBorder="1" applyAlignment="1">
      <alignment horizontal="left"/>
    </xf>
    <xf numFmtId="164" fontId="24" fillId="35" borderId="40" xfId="0" applyNumberFormat="1" applyFont="1" applyFill="1" applyBorder="1" applyAlignment="1">
      <alignment horizontal="center" vertical="center"/>
    </xf>
    <xf numFmtId="0" fontId="34" fillId="0" borderId="32" xfId="0" applyFont="1" applyBorder="1" applyAlignment="1">
      <alignment horizontal="left" vertical="center"/>
    </xf>
    <xf numFmtId="49" fontId="34" fillId="0" borderId="32" xfId="0" applyNumberFormat="1" applyFont="1" applyBorder="1" applyAlignment="1">
      <alignment horizontal="left" vertical="center"/>
    </xf>
    <xf numFmtId="166" fontId="34" fillId="0" borderId="32" xfId="0" applyNumberFormat="1" applyFont="1" applyBorder="1" applyAlignment="1">
      <alignment horizontal="left" vertical="center"/>
    </xf>
    <xf numFmtId="49" fontId="35" fillId="0" borderId="32" xfId="0" applyNumberFormat="1" applyFont="1" applyBorder="1" applyAlignment="1">
      <alignment horizontal="left" vertical="center"/>
    </xf>
    <xf numFmtId="0" fontId="35" fillId="0" borderId="32" xfId="0" applyFont="1" applyBorder="1" applyAlignment="1">
      <alignment horizontal="left" vertical="center"/>
    </xf>
    <xf numFmtId="166" fontId="35" fillId="0" borderId="32" xfId="0" applyNumberFormat="1" applyFont="1" applyBorder="1" applyAlignment="1">
      <alignment horizontal="left" vertical="center"/>
    </xf>
    <xf numFmtId="167" fontId="35" fillId="0" borderId="32" xfId="0" applyNumberFormat="1" applyFont="1" applyBorder="1" applyAlignment="1">
      <alignment horizontal="left" vertical="center"/>
    </xf>
    <xf numFmtId="168" fontId="35" fillId="0" borderId="32" xfId="0" applyNumberFormat="1" applyFont="1" applyBorder="1" applyAlignment="1">
      <alignment horizontal="left" vertical="center"/>
    </xf>
    <xf numFmtId="20" fontId="35" fillId="0" borderId="32" xfId="0" applyNumberFormat="1" applyFont="1" applyBorder="1" applyAlignment="1">
      <alignment horizontal="left" vertical="center"/>
    </xf>
    <xf numFmtId="0" fontId="35" fillId="39" borderId="32" xfId="0" applyFont="1" applyFill="1" applyBorder="1" applyAlignment="1">
      <alignment horizontal="left"/>
    </xf>
    <xf numFmtId="49" fontId="35" fillId="0" borderId="32" xfId="0" applyNumberFormat="1" applyFont="1" applyBorder="1" applyAlignment="1">
      <alignment horizontal="left"/>
    </xf>
    <xf numFmtId="0" fontId="36" fillId="0" borderId="32" xfId="0" applyFont="1" applyBorder="1" applyAlignment="1">
      <alignment horizontal="left"/>
    </xf>
    <xf numFmtId="0" fontId="35" fillId="0" borderId="32" xfId="0" applyFont="1" applyBorder="1" applyAlignment="1">
      <alignment horizontal="left"/>
    </xf>
    <xf numFmtId="169" fontId="35" fillId="0" borderId="32" xfId="0" applyNumberFormat="1" applyFont="1" applyBorder="1" applyAlignment="1">
      <alignment horizontal="left" vertical="center"/>
    </xf>
    <xf numFmtId="0" fontId="35" fillId="39" borderId="32" xfId="0" applyFont="1" applyFill="1" applyBorder="1"/>
    <xf numFmtId="2" fontId="35" fillId="0" borderId="32" xfId="0" applyNumberFormat="1" applyFont="1" applyBorder="1" applyAlignment="1">
      <alignment horizontal="left" vertical="center"/>
    </xf>
    <xf numFmtId="0" fontId="23" fillId="35" borderId="16" xfId="0" applyFont="1" applyFill="1" applyBorder="1" applyAlignment="1">
      <alignment horizontal="center" vertical="center"/>
    </xf>
    <xf numFmtId="44" fontId="23" fillId="35" borderId="16" xfId="48" applyFont="1" applyFill="1" applyBorder="1" applyAlignment="1">
      <alignment horizontal="center"/>
    </xf>
    <xf numFmtId="44" fontId="23" fillId="35" borderId="1" xfId="48" applyFont="1" applyFill="1" applyBorder="1" applyAlignment="1">
      <alignment horizontal="center"/>
    </xf>
    <xf numFmtId="164" fontId="24" fillId="35" borderId="0" xfId="0" applyNumberFormat="1" applyFont="1" applyFill="1" applyAlignment="1">
      <alignment horizontal="center" vertical="center"/>
    </xf>
    <xf numFmtId="0" fontId="0" fillId="35" borderId="16" xfId="0" applyFill="1" applyBorder="1" applyAlignment="1">
      <alignment horizontal="left" vertical="top"/>
    </xf>
    <xf numFmtId="0" fontId="23" fillId="35" borderId="38" xfId="0" applyFont="1" applyFill="1" applyBorder="1" applyAlignment="1">
      <alignment horizontal="left" vertical="center"/>
    </xf>
    <xf numFmtId="0" fontId="0" fillId="0" borderId="38" xfId="0" applyBorder="1"/>
    <xf numFmtId="44" fontId="23" fillId="0" borderId="25" xfId="48" applyFont="1" applyFill="1" applyBorder="1"/>
    <xf numFmtId="164" fontId="23" fillId="35" borderId="0" xfId="0" applyNumberFormat="1" applyFont="1" applyFill="1" applyAlignment="1">
      <alignment horizontal="center" vertical="center"/>
    </xf>
    <xf numFmtId="9" fontId="23" fillId="35" borderId="38" xfId="0" applyNumberFormat="1" applyFont="1" applyFill="1" applyBorder="1" applyAlignment="1">
      <alignment horizontal="center" vertical="center"/>
    </xf>
    <xf numFmtId="44" fontId="24" fillId="35" borderId="0" xfId="48" applyFont="1" applyFill="1" applyBorder="1"/>
    <xf numFmtId="164" fontId="23" fillId="35" borderId="0" xfId="0" applyNumberFormat="1" applyFont="1" applyFill="1" applyAlignment="1">
      <alignment horizontal="left"/>
    </xf>
    <xf numFmtId="0" fontId="23" fillId="35" borderId="37" xfId="0" applyFont="1" applyFill="1" applyBorder="1" applyAlignment="1">
      <alignment horizontal="left" vertical="top" wrapText="1"/>
    </xf>
    <xf numFmtId="164" fontId="23" fillId="35" borderId="0" xfId="0" applyNumberFormat="1" applyFont="1" applyFill="1" applyAlignment="1">
      <alignment horizontal="center"/>
    </xf>
    <xf numFmtId="0" fontId="24" fillId="35" borderId="38" xfId="0" applyFont="1" applyFill="1" applyBorder="1" applyAlignment="1">
      <alignment horizontal="center"/>
    </xf>
    <xf numFmtId="0" fontId="24" fillId="35" borderId="0" xfId="0" applyFont="1" applyFill="1" applyAlignment="1">
      <alignment horizontal="left"/>
    </xf>
    <xf numFmtId="0" fontId="0" fillId="0" borderId="25" xfId="0" applyBorder="1"/>
    <xf numFmtId="0" fontId="24" fillId="0" borderId="37" xfId="0" applyFont="1" applyBorder="1" applyAlignment="1">
      <alignment horizontal="left" vertical="top"/>
    </xf>
    <xf numFmtId="0" fontId="24" fillId="35" borderId="40" xfId="0" applyFont="1" applyFill="1" applyBorder="1" applyAlignment="1">
      <alignment horizontal="center" vertical="center"/>
    </xf>
    <xf numFmtId="0" fontId="23" fillId="35" borderId="0" xfId="0" applyFont="1" applyFill="1"/>
    <xf numFmtId="164" fontId="23" fillId="35" borderId="27" xfId="0" applyNumberFormat="1" applyFont="1" applyFill="1" applyBorder="1" applyAlignment="1">
      <alignment horizontal="center"/>
    </xf>
    <xf numFmtId="43" fontId="23" fillId="35" borderId="0" xfId="0" applyNumberFormat="1" applyFont="1" applyFill="1"/>
    <xf numFmtId="43" fontId="23" fillId="35" borderId="28" xfId="0" applyNumberFormat="1" applyFont="1" applyFill="1" applyBorder="1"/>
    <xf numFmtId="164" fontId="24" fillId="35" borderId="0" xfId="0" applyNumberFormat="1" applyFont="1" applyFill="1" applyAlignment="1">
      <alignment horizontal="center"/>
    </xf>
    <xf numFmtId="14" fontId="24" fillId="35" borderId="0" xfId="0" applyNumberFormat="1" applyFont="1" applyFill="1"/>
    <xf numFmtId="0" fontId="23" fillId="35" borderId="0" xfId="0" applyFont="1" applyFill="1" applyAlignment="1">
      <alignment horizontal="left"/>
    </xf>
    <xf numFmtId="43" fontId="24" fillId="35" borderId="25" xfId="0" applyNumberFormat="1" applyFont="1" applyFill="1" applyBorder="1" applyAlignment="1">
      <alignment horizontal="left" vertical="top" wrapText="1"/>
    </xf>
    <xf numFmtId="0" fontId="0" fillId="35" borderId="25" xfId="0" applyFill="1" applyBorder="1" applyAlignment="1">
      <alignment horizontal="left" vertical="top"/>
    </xf>
    <xf numFmtId="164" fontId="28" fillId="35" borderId="16" xfId="0" applyNumberFormat="1" applyFont="1" applyFill="1" applyBorder="1" applyAlignment="1">
      <alignment horizontal="center" vertical="center"/>
    </xf>
    <xf numFmtId="43" fontId="24" fillId="35" borderId="29" xfId="0" applyNumberFormat="1" applyFont="1" applyFill="1" applyBorder="1" applyAlignment="1">
      <alignment horizontal="left"/>
    </xf>
    <xf numFmtId="0" fontId="23" fillId="0" borderId="25" xfId="0" applyFont="1" applyBorder="1" applyAlignment="1">
      <alignment horizontal="left" vertical="top"/>
    </xf>
    <xf numFmtId="0" fontId="23" fillId="35" borderId="38" xfId="0" applyFont="1" applyFill="1" applyBorder="1"/>
    <xf numFmtId="44" fontId="23" fillId="0" borderId="26" xfId="48" applyFont="1" applyFill="1" applyBorder="1"/>
    <xf numFmtId="164" fontId="23" fillId="0" borderId="40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left"/>
    </xf>
    <xf numFmtId="0" fontId="23" fillId="0" borderId="36" xfId="0" applyFont="1" applyBorder="1"/>
    <xf numFmtId="0" fontId="28" fillId="35" borderId="16" xfId="0" applyFont="1" applyFill="1" applyBorder="1" applyAlignment="1">
      <alignment horizontal="left" vertical="top"/>
    </xf>
    <xf numFmtId="44" fontId="28" fillId="35" borderId="16" xfId="48" applyFont="1" applyFill="1" applyBorder="1"/>
    <xf numFmtId="164" fontId="24" fillId="35" borderId="38" xfId="0" applyNumberFormat="1" applyFont="1" applyFill="1" applyBorder="1" applyAlignment="1">
      <alignment horizontal="center" vertical="center"/>
    </xf>
    <xf numFmtId="44" fontId="28" fillId="0" borderId="0" xfId="48" applyFont="1" applyFill="1" applyBorder="1"/>
    <xf numFmtId="0" fontId="28" fillId="35" borderId="37" xfId="0" applyFont="1" applyFill="1" applyBorder="1" applyAlignment="1">
      <alignment horizontal="left"/>
    </xf>
    <xf numFmtId="164" fontId="28" fillId="0" borderId="0" xfId="0" applyNumberFormat="1" applyFont="1" applyAlignment="1">
      <alignment horizontal="center" vertical="center"/>
    </xf>
    <xf numFmtId="164" fontId="23" fillId="35" borderId="1" xfId="0" applyNumberFormat="1" applyFont="1" applyFill="1" applyBorder="1" applyAlignment="1">
      <alignment horizontal="left" vertical="center"/>
    </xf>
    <xf numFmtId="14" fontId="24" fillId="35" borderId="37" xfId="0" applyNumberFormat="1" applyFont="1" applyFill="1" applyBorder="1" applyAlignment="1">
      <alignment horizontal="center"/>
    </xf>
    <xf numFmtId="14" fontId="23" fillId="35" borderId="37" xfId="0" applyNumberFormat="1" applyFont="1" applyFill="1" applyBorder="1" applyAlignment="1">
      <alignment horizontal="center" vertical="center"/>
    </xf>
    <xf numFmtId="9" fontId="24" fillId="35" borderId="31" xfId="0" applyNumberFormat="1" applyFont="1" applyFill="1" applyBorder="1" applyAlignment="1">
      <alignment horizontal="center"/>
    </xf>
    <xf numFmtId="9" fontId="28" fillId="35" borderId="37" xfId="0" applyNumberFormat="1" applyFont="1" applyFill="1" applyBorder="1" applyAlignment="1">
      <alignment horizontal="left" vertical="center"/>
    </xf>
    <xf numFmtId="0" fontId="31" fillId="0" borderId="38" xfId="0" applyFont="1" applyBorder="1"/>
    <xf numFmtId="0" fontId="24" fillId="35" borderId="0" xfId="0" applyFont="1" applyFill="1" applyAlignment="1">
      <alignment horizontal="left" vertical="top"/>
    </xf>
    <xf numFmtId="0" fontId="24" fillId="35" borderId="40" xfId="0" applyFont="1" applyFill="1" applyBorder="1"/>
    <xf numFmtId="0" fontId="31" fillId="0" borderId="40" xfId="0" applyFont="1" applyBorder="1"/>
    <xf numFmtId="14" fontId="23" fillId="35" borderId="38" xfId="0" applyNumberFormat="1" applyFont="1" applyFill="1" applyBorder="1" applyAlignment="1">
      <alignment horizontal="center"/>
    </xf>
    <xf numFmtId="0" fontId="24" fillId="38" borderId="37" xfId="0" applyFont="1" applyFill="1" applyBorder="1" applyAlignment="1">
      <alignment horizontal="left" vertical="top"/>
    </xf>
    <xf numFmtId="0" fontId="24" fillId="38" borderId="37" xfId="0" applyFont="1" applyFill="1" applyBorder="1" applyAlignment="1">
      <alignment horizontal="left"/>
    </xf>
    <xf numFmtId="9" fontId="24" fillId="38" borderId="37" xfId="0" applyNumberFormat="1" applyFont="1" applyFill="1" applyBorder="1" applyAlignment="1">
      <alignment horizontal="center"/>
    </xf>
    <xf numFmtId="44" fontId="24" fillId="38" borderId="37" xfId="48" applyFont="1" applyFill="1" applyBorder="1"/>
    <xf numFmtId="164" fontId="24" fillId="38" borderId="37" xfId="0" applyNumberFormat="1" applyFont="1" applyFill="1" applyBorder="1" applyAlignment="1">
      <alignment horizontal="center" vertical="center"/>
    </xf>
    <xf numFmtId="44" fontId="23" fillId="38" borderId="37" xfId="48" applyFont="1" applyFill="1" applyBorder="1" applyAlignment="1">
      <alignment horizontal="center"/>
    </xf>
    <xf numFmtId="0" fontId="24" fillId="38" borderId="16" xfId="0" applyFont="1" applyFill="1" applyBorder="1" applyAlignment="1">
      <alignment horizontal="left" vertical="top"/>
    </xf>
    <xf numFmtId="164" fontId="24" fillId="38" borderId="16" xfId="0" applyNumberFormat="1" applyFont="1" applyFill="1" applyBorder="1" applyAlignment="1">
      <alignment horizontal="center" vertical="center"/>
    </xf>
    <xf numFmtId="164" fontId="24" fillId="35" borderId="1" xfId="0" applyNumberFormat="1" applyFont="1" applyFill="1" applyBorder="1" applyAlignment="1">
      <alignment horizontal="center"/>
    </xf>
    <xf numFmtId="0" fontId="24" fillId="38" borderId="16" xfId="0" applyFont="1" applyFill="1" applyBorder="1" applyAlignment="1">
      <alignment horizontal="left"/>
    </xf>
    <xf numFmtId="0" fontId="24" fillId="38" borderId="16" xfId="0" applyFont="1" applyFill="1" applyBorder="1" applyAlignment="1">
      <alignment horizontal="center"/>
    </xf>
    <xf numFmtId="44" fontId="24" fillId="38" borderId="16" xfId="48" applyFont="1" applyFill="1" applyBorder="1"/>
    <xf numFmtId="164" fontId="24" fillId="38" borderId="38" xfId="0" applyNumberFormat="1" applyFont="1" applyFill="1" applyBorder="1" applyAlignment="1">
      <alignment horizontal="center" vertical="center"/>
    </xf>
    <xf numFmtId="0" fontId="0" fillId="35" borderId="31" xfId="0" applyFill="1" applyBorder="1" applyAlignment="1">
      <alignment horizontal="left" vertical="top"/>
    </xf>
    <xf numFmtId="44" fontId="24" fillId="35" borderId="25" xfId="48" applyFont="1" applyFill="1" applyBorder="1"/>
    <xf numFmtId="0" fontId="0" fillId="0" borderId="30" xfId="0" applyBorder="1"/>
    <xf numFmtId="44" fontId="23" fillId="35" borderId="38" xfId="48" applyFont="1" applyFill="1" applyBorder="1"/>
    <xf numFmtId="164" fontId="23" fillId="35" borderId="29" xfId="0" applyNumberFormat="1" applyFont="1" applyFill="1" applyBorder="1" applyAlignment="1">
      <alignment horizontal="center" vertical="center"/>
    </xf>
    <xf numFmtId="164" fontId="23" fillId="35" borderId="25" xfId="0" applyNumberFormat="1" applyFont="1" applyFill="1" applyBorder="1" applyAlignment="1">
      <alignment horizontal="center" vertical="center"/>
    </xf>
    <xf numFmtId="164" fontId="24" fillId="35" borderId="25" xfId="0" applyNumberFormat="1" applyFont="1" applyFill="1" applyBorder="1" applyAlignment="1">
      <alignment horizontal="center" vertical="center"/>
    </xf>
    <xf numFmtId="43" fontId="24" fillId="35" borderId="1" xfId="0" applyNumberFormat="1" applyFont="1" applyFill="1" applyBorder="1" applyAlignment="1">
      <alignment horizontal="left"/>
    </xf>
    <xf numFmtId="0" fontId="23" fillId="29" borderId="38" xfId="0" applyFont="1" applyFill="1" applyBorder="1" applyAlignment="1">
      <alignment horizontal="left" vertical="top"/>
    </xf>
    <xf numFmtId="0" fontId="28" fillId="35" borderId="1" xfId="0" applyFont="1" applyFill="1" applyBorder="1" applyAlignment="1">
      <alignment horizontal="left" vertical="top"/>
    </xf>
    <xf numFmtId="0" fontId="0" fillId="0" borderId="31" xfId="0" applyBorder="1"/>
    <xf numFmtId="44" fontId="23" fillId="0" borderId="29" xfId="48" applyFont="1" applyFill="1" applyBorder="1"/>
    <xf numFmtId="0" fontId="23" fillId="0" borderId="1" xfId="0" applyFont="1" applyBorder="1"/>
    <xf numFmtId="0" fontId="31" fillId="0" borderId="16" xfId="0" applyFont="1" applyBorder="1"/>
    <xf numFmtId="164" fontId="24" fillId="0" borderId="40" xfId="0" applyNumberFormat="1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0" fillId="0" borderId="38" xfId="0" applyNumberFormat="1" applyBorder="1" applyAlignment="1">
      <alignment horizontal="center"/>
    </xf>
    <xf numFmtId="0" fontId="0" fillId="32" borderId="40" xfId="0" applyFill="1" applyBorder="1"/>
    <xf numFmtId="0" fontId="33" fillId="0" borderId="0" xfId="0" applyFont="1"/>
    <xf numFmtId="44" fontId="24" fillId="35" borderId="38" xfId="48" applyFont="1" applyFill="1" applyBorder="1" applyAlignment="1">
      <alignment horizontal="center" vertical="center"/>
    </xf>
    <xf numFmtId="44" fontId="23" fillId="35" borderId="37" xfId="48" applyFont="1" applyFill="1" applyBorder="1" applyAlignment="1">
      <alignment horizontal="left"/>
    </xf>
    <xf numFmtId="0" fontId="0" fillId="0" borderId="39" xfId="0" applyBorder="1"/>
    <xf numFmtId="0" fontId="23" fillId="0" borderId="40" xfId="0" applyFont="1" applyBorder="1"/>
    <xf numFmtId="44" fontId="23" fillId="35" borderId="40" xfId="48" applyFont="1" applyFill="1" applyBorder="1"/>
    <xf numFmtId="0" fontId="28" fillId="0" borderId="0" xfId="0" applyFont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164" fontId="23" fillId="0" borderId="37" xfId="0" applyNumberFormat="1" applyFont="1" applyBorder="1" applyAlignment="1">
      <alignment horizontal="center" vertical="center"/>
    </xf>
    <xf numFmtId="43" fontId="24" fillId="30" borderId="31" xfId="0" applyNumberFormat="1" applyFont="1" applyFill="1" applyBorder="1"/>
    <xf numFmtId="43" fontId="24" fillId="30" borderId="1" xfId="0" applyNumberFormat="1" applyFont="1" applyFill="1" applyBorder="1"/>
    <xf numFmtId="164" fontId="25" fillId="36" borderId="37" xfId="0" applyNumberFormat="1" applyFont="1" applyFill="1" applyBorder="1" applyAlignment="1">
      <alignment horizontal="center" vertical="center"/>
    </xf>
    <xf numFmtId="0" fontId="25" fillId="36" borderId="21" xfId="0" applyFont="1" applyFill="1" applyBorder="1"/>
    <xf numFmtId="164" fontId="23" fillId="34" borderId="0" xfId="0" applyNumberFormat="1" applyFont="1" applyFill="1" applyAlignment="1">
      <alignment horizontal="center"/>
    </xf>
    <xf numFmtId="43" fontId="23" fillId="34" borderId="0" xfId="0" applyNumberFormat="1" applyFont="1" applyFill="1"/>
    <xf numFmtId="0" fontId="23" fillId="33" borderId="0" xfId="0" applyFont="1" applyFill="1"/>
    <xf numFmtId="0" fontId="37" fillId="36" borderId="23" xfId="0" applyFont="1" applyFill="1" applyBorder="1" applyAlignment="1">
      <alignment horizontal="center" vertical="center"/>
    </xf>
    <xf numFmtId="0" fontId="25" fillId="36" borderId="34" xfId="0" applyFont="1" applyFill="1" applyBorder="1" applyAlignment="1">
      <alignment horizontal="center" vertical="center"/>
    </xf>
    <xf numFmtId="44" fontId="25" fillId="36" borderId="34" xfId="48" applyFont="1" applyFill="1" applyBorder="1" applyAlignment="1">
      <alignment horizontal="center" vertical="center"/>
    </xf>
    <xf numFmtId="14" fontId="25" fillId="36" borderId="34" xfId="0" applyNumberFormat="1" applyFont="1" applyFill="1" applyBorder="1" applyAlignment="1">
      <alignment horizontal="center" vertical="center"/>
    </xf>
    <xf numFmtId="14" fontId="25" fillId="36" borderId="41" xfId="0" applyNumberFormat="1" applyFont="1" applyFill="1" applyBorder="1" applyAlignment="1">
      <alignment horizontal="center" vertical="center"/>
    </xf>
    <xf numFmtId="0" fontId="25" fillId="36" borderId="37" xfId="0" applyFont="1" applyFill="1" applyBorder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164" fontId="25" fillId="36" borderId="23" xfId="0" applyNumberFormat="1" applyFont="1" applyFill="1" applyBorder="1" applyAlignment="1">
      <alignment horizontal="center" vertical="center"/>
    </xf>
    <xf numFmtId="164" fontId="25" fillId="34" borderId="0" xfId="0" applyNumberFormat="1" applyFont="1" applyFill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164" fontId="23" fillId="34" borderId="0" xfId="0" applyNumberFormat="1" applyFont="1" applyFill="1" applyAlignment="1">
      <alignment horizontal="center" vertical="center"/>
    </xf>
    <xf numFmtId="43" fontId="23" fillId="34" borderId="0" xfId="0" applyNumberFormat="1" applyFont="1" applyFill="1" applyAlignment="1">
      <alignment vertical="center"/>
    </xf>
    <xf numFmtId="0" fontId="23" fillId="30" borderId="0" xfId="0" applyFont="1" applyFill="1" applyAlignment="1">
      <alignment vertical="center"/>
    </xf>
    <xf numFmtId="164" fontId="23" fillId="34" borderId="37" xfId="0" applyNumberFormat="1" applyFont="1" applyFill="1" applyBorder="1" applyAlignment="1">
      <alignment horizontal="center"/>
    </xf>
    <xf numFmtId="164" fontId="23" fillId="34" borderId="0" xfId="0" applyNumberFormat="1" applyFont="1" applyFill="1" applyAlignment="1">
      <alignment horizontal="left" vertical="top"/>
    </xf>
    <xf numFmtId="43" fontId="23" fillId="34" borderId="0" xfId="0" applyNumberFormat="1" applyFont="1" applyFill="1" applyAlignment="1">
      <alignment horizontal="left" vertical="top"/>
    </xf>
    <xf numFmtId="0" fontId="23" fillId="30" borderId="0" xfId="0" applyFont="1" applyFill="1" applyAlignment="1">
      <alignment horizontal="left" vertical="top"/>
    </xf>
    <xf numFmtId="0" fontId="28" fillId="34" borderId="0" xfId="0" applyFont="1" applyFill="1"/>
    <xf numFmtId="164" fontId="28" fillId="34" borderId="0" xfId="0" applyNumberFormat="1" applyFont="1" applyFill="1" applyAlignment="1">
      <alignment horizontal="center"/>
    </xf>
    <xf numFmtId="43" fontId="28" fillId="34" borderId="0" xfId="0" applyNumberFormat="1" applyFont="1" applyFill="1"/>
    <xf numFmtId="0" fontId="28" fillId="0" borderId="0" xfId="0" applyFont="1"/>
    <xf numFmtId="0" fontId="23" fillId="34" borderId="37" xfId="0" applyFont="1" applyFill="1" applyBorder="1"/>
    <xf numFmtId="43" fontId="23" fillId="34" borderId="0" xfId="0" applyNumberFormat="1" applyFont="1" applyFill="1" applyAlignment="1">
      <alignment horizontal="center"/>
    </xf>
    <xf numFmtId="0" fontId="23" fillId="34" borderId="0" xfId="0" applyFont="1" applyFill="1" applyAlignment="1">
      <alignment horizontal="left"/>
    </xf>
    <xf numFmtId="43" fontId="23" fillId="0" borderId="0" xfId="0" applyNumberFormat="1" applyFont="1"/>
    <xf numFmtId="0" fontId="24" fillId="34" borderId="0" xfId="0" applyFont="1" applyFill="1" applyAlignment="1">
      <alignment horizontal="left"/>
    </xf>
    <xf numFmtId="44" fontId="23" fillId="34" borderId="0" xfId="48" applyFont="1" applyFill="1"/>
    <xf numFmtId="164" fontId="24" fillId="33" borderId="37" xfId="0" applyNumberFormat="1" applyFont="1" applyFill="1" applyBorder="1" applyAlignment="1">
      <alignment horizontal="left"/>
    </xf>
    <xf numFmtId="0" fontId="23" fillId="35" borderId="38" xfId="0" applyFont="1" applyFill="1" applyBorder="1" applyAlignment="1">
      <alignment horizontal="center" vertical="center"/>
    </xf>
    <xf numFmtId="0" fontId="23" fillId="34" borderId="37" xfId="0" applyFont="1" applyFill="1" applyBorder="1" applyAlignment="1">
      <alignment vertical="center"/>
    </xf>
    <xf numFmtId="164" fontId="23" fillId="35" borderId="37" xfId="0" applyNumberFormat="1" applyFont="1" applyFill="1" applyBorder="1" applyAlignment="1">
      <alignment horizontal="left" vertical="center" wrapText="1"/>
    </xf>
    <xf numFmtId="164" fontId="24" fillId="35" borderId="37" xfId="0" applyNumberFormat="1" applyFont="1" applyFill="1" applyBorder="1" applyAlignment="1">
      <alignment horizontal="left"/>
    </xf>
    <xf numFmtId="1" fontId="25" fillId="36" borderId="34" xfId="0" applyNumberFormat="1" applyFont="1" applyFill="1" applyBorder="1" applyAlignment="1">
      <alignment horizontal="center" vertical="center"/>
    </xf>
    <xf numFmtId="1" fontId="24" fillId="35" borderId="37" xfId="0" applyNumberFormat="1" applyFont="1" applyFill="1" applyBorder="1" applyAlignment="1">
      <alignment horizontal="left" vertical="center"/>
    </xf>
    <xf numFmtId="1" fontId="23" fillId="35" borderId="37" xfId="0" applyNumberFormat="1" applyFont="1" applyFill="1" applyBorder="1" applyAlignment="1">
      <alignment horizontal="left" vertical="center"/>
    </xf>
    <xf numFmtId="1" fontId="23" fillId="34" borderId="0" xfId="0" applyNumberFormat="1" applyFont="1" applyFill="1" applyAlignment="1">
      <alignment horizontal="left" vertical="center"/>
    </xf>
    <xf numFmtId="1" fontId="24" fillId="35" borderId="37" xfId="0" applyNumberFormat="1" applyFont="1" applyFill="1" applyBorder="1" applyAlignment="1">
      <alignment horizontal="center" vertical="center"/>
    </xf>
    <xf numFmtId="1" fontId="24" fillId="35" borderId="16" xfId="0" applyNumberFormat="1" applyFont="1" applyFill="1" applyBorder="1" applyAlignment="1">
      <alignment horizontal="center" vertical="center"/>
    </xf>
    <xf numFmtId="1" fontId="24" fillId="35" borderId="32" xfId="0" applyNumberFormat="1" applyFont="1" applyFill="1" applyBorder="1" applyAlignment="1">
      <alignment horizontal="center" vertical="center"/>
    </xf>
    <xf numFmtId="164" fontId="24" fillId="35" borderId="38" xfId="0" applyNumberFormat="1" applyFont="1" applyFill="1" applyBorder="1" applyAlignment="1">
      <alignment horizontal="left"/>
    </xf>
    <xf numFmtId="0" fontId="24" fillId="35" borderId="40" xfId="0" applyFont="1" applyFill="1" applyBorder="1" applyAlignment="1">
      <alignment horizontal="left" vertical="top"/>
    </xf>
    <xf numFmtId="164" fontId="23" fillId="30" borderId="37" xfId="0" applyNumberFormat="1" applyFont="1" applyFill="1" applyBorder="1" applyAlignment="1">
      <alignment horizontal="center"/>
    </xf>
    <xf numFmtId="0" fontId="23" fillId="30" borderId="37" xfId="0" applyFont="1" applyFill="1" applyBorder="1"/>
    <xf numFmtId="43" fontId="24" fillId="30" borderId="37" xfId="0" applyNumberFormat="1" applyFont="1" applyFill="1" applyBorder="1"/>
    <xf numFmtId="164" fontId="23" fillId="31" borderId="37" xfId="0" applyNumberFormat="1" applyFont="1" applyFill="1" applyBorder="1" applyAlignment="1">
      <alignment horizontal="center"/>
    </xf>
    <xf numFmtId="43" fontId="23" fillId="31" borderId="37" xfId="0" applyNumberFormat="1" applyFont="1" applyFill="1" applyBorder="1"/>
    <xf numFmtId="0" fontId="23" fillId="30" borderId="37" xfId="0" applyFont="1" applyFill="1" applyBorder="1" applyAlignment="1">
      <alignment wrapText="1"/>
    </xf>
    <xf numFmtId="44" fontId="24" fillId="30" borderId="37" xfId="48" applyFont="1" applyFill="1" applyBorder="1" applyAlignment="1">
      <alignment wrapText="1"/>
    </xf>
    <xf numFmtId="44" fontId="24" fillId="30" borderId="37" xfId="48" applyFont="1" applyFill="1" applyBorder="1" applyAlignment="1">
      <alignment vertical="center"/>
    </xf>
    <xf numFmtId="164" fontId="23" fillId="30" borderId="37" xfId="0" applyNumberFormat="1" applyFont="1" applyFill="1" applyBorder="1" applyAlignment="1">
      <alignment horizontal="center" vertical="center"/>
    </xf>
    <xf numFmtId="43" fontId="23" fillId="31" borderId="37" xfId="0" applyNumberFormat="1" applyFont="1" applyFill="1" applyBorder="1" applyAlignment="1">
      <alignment vertical="center"/>
    </xf>
    <xf numFmtId="0" fontId="23" fillId="30" borderId="37" xfId="0" applyFont="1" applyFill="1" applyBorder="1" applyAlignment="1">
      <alignment horizontal="center" vertical="center"/>
    </xf>
    <xf numFmtId="44" fontId="23" fillId="30" borderId="37" xfId="48" applyFont="1" applyFill="1" applyBorder="1" applyAlignment="1">
      <alignment horizontal="center"/>
    </xf>
    <xf numFmtId="44" fontId="23" fillId="29" borderId="37" xfId="48" applyFont="1" applyFill="1" applyBorder="1" applyAlignment="1">
      <alignment horizontal="center"/>
    </xf>
    <xf numFmtId="0" fontId="23" fillId="30" borderId="37" xfId="0" applyFont="1" applyFill="1" applyBorder="1" applyAlignment="1">
      <alignment vertical="top"/>
    </xf>
    <xf numFmtId="0" fontId="23" fillId="30" borderId="37" xfId="0" applyFont="1" applyFill="1" applyBorder="1" applyAlignment="1">
      <alignment horizontal="left" vertical="top" wrapText="1"/>
    </xf>
    <xf numFmtId="3" fontId="23" fillId="30" borderId="37" xfId="0" applyNumberFormat="1" applyFont="1" applyFill="1" applyBorder="1" applyAlignment="1">
      <alignment horizontal="center"/>
    </xf>
    <xf numFmtId="164" fontId="23" fillId="31" borderId="38" xfId="0" applyNumberFormat="1" applyFont="1" applyFill="1" applyBorder="1" applyAlignment="1">
      <alignment horizontal="center"/>
    </xf>
    <xf numFmtId="43" fontId="23" fillId="31" borderId="38" xfId="0" applyNumberFormat="1" applyFont="1" applyFill="1" applyBorder="1"/>
    <xf numFmtId="164" fontId="23" fillId="0" borderId="37" xfId="0" applyNumberFormat="1" applyFont="1" applyBorder="1" applyAlignment="1">
      <alignment horizontal="left" vertical="center"/>
    </xf>
    <xf numFmtId="14" fontId="23" fillId="30" borderId="37" xfId="0" applyNumberFormat="1" applyFont="1" applyFill="1" applyBorder="1" applyAlignment="1">
      <alignment horizontal="center"/>
    </xf>
    <xf numFmtId="164" fontId="23" fillId="30" borderId="38" xfId="0" applyNumberFormat="1" applyFont="1" applyFill="1" applyBorder="1" applyAlignment="1">
      <alignment horizontal="center"/>
    </xf>
    <xf numFmtId="43" fontId="24" fillId="30" borderId="40" xfId="0" applyNumberFormat="1" applyFont="1" applyFill="1" applyBorder="1"/>
    <xf numFmtId="164" fontId="23" fillId="28" borderId="37" xfId="0" applyNumberFormat="1" applyFont="1" applyFill="1" applyBorder="1" applyAlignment="1">
      <alignment horizontal="center"/>
    </xf>
    <xf numFmtId="43" fontId="23" fillId="28" borderId="37" xfId="0" applyNumberFormat="1" applyFont="1" applyFill="1" applyBorder="1"/>
    <xf numFmtId="43" fontId="24" fillId="30" borderId="37" xfId="0" applyNumberFormat="1" applyFont="1" applyFill="1" applyBorder="1" applyAlignment="1">
      <alignment horizontal="center"/>
    </xf>
    <xf numFmtId="14" fontId="24" fillId="30" borderId="37" xfId="0" applyNumberFormat="1" applyFont="1" applyFill="1" applyBorder="1"/>
    <xf numFmtId="44" fontId="24" fillId="29" borderId="37" xfId="48" applyFont="1" applyFill="1" applyBorder="1"/>
    <xf numFmtId="0" fontId="23" fillId="30" borderId="37" xfId="0" applyFont="1" applyFill="1" applyBorder="1" applyAlignment="1">
      <alignment horizontal="left" vertical="center"/>
    </xf>
    <xf numFmtId="164" fontId="23" fillId="29" borderId="37" xfId="0" applyNumberFormat="1" applyFont="1" applyFill="1" applyBorder="1" applyAlignment="1">
      <alignment horizontal="center"/>
    </xf>
    <xf numFmtId="0" fontId="23" fillId="30" borderId="38" xfId="0" applyFont="1" applyFill="1" applyBorder="1" applyAlignment="1">
      <alignment horizontal="center"/>
    </xf>
    <xf numFmtId="44" fontId="23" fillId="30" borderId="37" xfId="48" applyFont="1" applyFill="1" applyBorder="1" applyAlignment="1">
      <alignment horizontal="left" vertical="center"/>
    </xf>
    <xf numFmtId="14" fontId="24" fillId="35" borderId="37" xfId="0" applyNumberFormat="1" applyFont="1" applyFill="1" applyBorder="1" applyAlignment="1">
      <alignment horizontal="center" vertical="center"/>
    </xf>
    <xf numFmtId="0" fontId="24" fillId="29" borderId="37" xfId="0" applyFont="1" applyFill="1" applyBorder="1" applyAlignment="1">
      <alignment horizontal="center" vertical="center"/>
    </xf>
    <xf numFmtId="164" fontId="23" fillId="35" borderId="37" xfId="0" applyNumberFormat="1" applyFont="1" applyFill="1" applyBorder="1" applyAlignment="1">
      <alignment wrapText="1"/>
    </xf>
    <xf numFmtId="164" fontId="23" fillId="35" borderId="37" xfId="0" applyNumberFormat="1" applyFont="1" applyFill="1" applyBorder="1" applyAlignment="1">
      <alignment horizontal="left" wrapText="1"/>
    </xf>
    <xf numFmtId="0" fontId="23" fillId="34" borderId="38" xfId="0" applyFont="1" applyFill="1" applyBorder="1"/>
    <xf numFmtId="164" fontId="38" fillId="35" borderId="37" xfId="49" applyNumberFormat="1" applyFont="1" applyFill="1" applyBorder="1" applyAlignment="1">
      <alignment horizontal="left" vertical="top" wrapText="1"/>
    </xf>
    <xf numFmtId="0" fontId="23" fillId="34" borderId="37" xfId="0" applyFont="1" applyFill="1" applyBorder="1" applyAlignment="1">
      <alignment horizontal="left"/>
    </xf>
    <xf numFmtId="0" fontId="23" fillId="30" borderId="37" xfId="0" applyFont="1" applyFill="1" applyBorder="1" applyAlignment="1">
      <alignment horizontal="left"/>
    </xf>
    <xf numFmtId="164" fontId="23" fillId="35" borderId="37" xfId="0" applyNumberFormat="1" applyFont="1" applyFill="1" applyBorder="1" applyAlignment="1">
      <alignment vertical="center" wrapText="1"/>
    </xf>
    <xf numFmtId="164" fontId="23" fillId="34" borderId="40" xfId="0" applyNumberFormat="1" applyFont="1" applyFill="1" applyBorder="1" applyAlignment="1">
      <alignment horizontal="center"/>
    </xf>
    <xf numFmtId="164" fontId="23" fillId="34" borderId="37" xfId="0" applyNumberFormat="1" applyFont="1" applyFill="1" applyBorder="1" applyAlignment="1">
      <alignment vertical="center" wrapText="1"/>
    </xf>
    <xf numFmtId="164" fontId="23" fillId="35" borderId="37" xfId="0" applyNumberFormat="1" applyFont="1" applyFill="1" applyBorder="1" applyAlignment="1">
      <alignment vertical="center"/>
    </xf>
    <xf numFmtId="164" fontId="23" fillId="34" borderId="37" xfId="0" applyNumberFormat="1" applyFont="1" applyFill="1" applyBorder="1" applyAlignment="1">
      <alignment horizontal="left" vertical="top" wrapText="1"/>
    </xf>
    <xf numFmtId="43" fontId="23" fillId="34" borderId="40" xfId="0" applyNumberFormat="1" applyFont="1" applyFill="1" applyBorder="1"/>
    <xf numFmtId="0" fontId="23" fillId="30" borderId="37" xfId="0" applyFont="1" applyFill="1" applyBorder="1" applyAlignment="1">
      <alignment horizontal="left" vertical="top"/>
    </xf>
    <xf numFmtId="164" fontId="23" fillId="34" borderId="40" xfId="0" applyNumberFormat="1" applyFont="1" applyFill="1" applyBorder="1" applyAlignment="1">
      <alignment horizontal="left" vertical="top"/>
    </xf>
    <xf numFmtId="43" fontId="23" fillId="34" borderId="40" xfId="0" applyNumberFormat="1" applyFont="1" applyFill="1" applyBorder="1" applyAlignment="1">
      <alignment horizontal="left" vertical="top"/>
    </xf>
    <xf numFmtId="164" fontId="23" fillId="35" borderId="37" xfId="0" applyNumberFormat="1" applyFont="1" applyFill="1" applyBorder="1" applyAlignment="1">
      <alignment horizontal="left" vertical="top"/>
    </xf>
    <xf numFmtId="164" fontId="23" fillId="34" borderId="37" xfId="0" applyNumberFormat="1" applyFont="1" applyFill="1" applyBorder="1" applyAlignment="1">
      <alignment horizontal="left" vertical="top"/>
    </xf>
    <xf numFmtId="44" fontId="24" fillId="30" borderId="37" xfId="48" applyFont="1" applyFill="1" applyBorder="1" applyAlignment="1">
      <alignment horizontal="left" vertical="top"/>
    </xf>
    <xf numFmtId="14" fontId="28" fillId="35" borderId="37" xfId="0" applyNumberFormat="1" applyFont="1" applyFill="1" applyBorder="1" applyAlignment="1">
      <alignment horizontal="center"/>
    </xf>
    <xf numFmtId="0" fontId="23" fillId="34" borderId="39" xfId="0" applyFont="1" applyFill="1" applyBorder="1"/>
    <xf numFmtId="164" fontId="28" fillId="40" borderId="37" xfId="0" applyNumberFormat="1" applyFont="1" applyFill="1" applyBorder="1" applyAlignment="1">
      <alignment horizontal="left"/>
    </xf>
    <xf numFmtId="14" fontId="28" fillId="35" borderId="37" xfId="0" applyNumberFormat="1" applyFont="1" applyFill="1" applyBorder="1" applyAlignment="1">
      <alignment horizontal="center" vertical="center"/>
    </xf>
    <xf numFmtId="44" fontId="23" fillId="35" borderId="37" xfId="48" applyFont="1" applyFill="1" applyBorder="1" applyAlignment="1">
      <alignment horizontal="left" vertical="top"/>
    </xf>
    <xf numFmtId="17" fontId="23" fillId="35" borderId="37" xfId="0" applyNumberFormat="1" applyFont="1" applyFill="1" applyBorder="1" applyAlignment="1">
      <alignment horizontal="center" vertical="center"/>
    </xf>
    <xf numFmtId="0" fontId="1" fillId="36" borderId="37" xfId="0" applyFont="1" applyFill="1" applyBorder="1" applyAlignment="1">
      <alignment horizontal="center"/>
    </xf>
    <xf numFmtId="0" fontId="1" fillId="36" borderId="37" xfId="0" applyFont="1" applyFill="1" applyBorder="1" applyAlignment="1">
      <alignment horizontal="center" vertical="center"/>
    </xf>
    <xf numFmtId="0" fontId="1" fillId="36" borderId="37" xfId="0" applyFont="1" applyFill="1" applyBorder="1" applyAlignment="1">
      <alignment horizontal="left" vertical="center"/>
    </xf>
    <xf numFmtId="44" fontId="1" fillId="36" borderId="37" xfId="48" applyFont="1" applyFill="1" applyBorder="1" applyAlignment="1">
      <alignment horizontal="center" vertical="center"/>
    </xf>
    <xf numFmtId="164" fontId="1" fillId="36" borderId="37" xfId="0" applyNumberFormat="1" applyFont="1" applyFill="1" applyBorder="1" applyAlignment="1">
      <alignment horizontal="center" vertical="center"/>
    </xf>
    <xf numFmtId="43" fontId="28" fillId="35" borderId="37" xfId="0" applyNumberFormat="1" applyFont="1" applyFill="1" applyBorder="1"/>
    <xf numFmtId="43" fontId="24" fillId="35" borderId="37" xfId="0" applyNumberFormat="1" applyFont="1" applyFill="1" applyBorder="1"/>
    <xf numFmtId="44" fontId="24" fillId="35" borderId="37" xfId="48" applyFont="1" applyFill="1" applyBorder="1" applyAlignment="1">
      <alignment horizontal="left" vertical="top"/>
    </xf>
    <xf numFmtId="0" fontId="23" fillId="32" borderId="37" xfId="0" applyFont="1" applyFill="1" applyBorder="1" applyAlignment="1">
      <alignment horizontal="center"/>
    </xf>
    <xf numFmtId="0" fontId="24" fillId="30" borderId="37" xfId="0" applyFont="1" applyFill="1" applyBorder="1" applyAlignment="1">
      <alignment vertical="top"/>
    </xf>
    <xf numFmtId="0" fontId="24" fillId="30" borderId="37" xfId="0" applyFont="1" applyFill="1" applyBorder="1" applyAlignment="1">
      <alignment horizontal="center"/>
    </xf>
    <xf numFmtId="164" fontId="24" fillId="30" borderId="37" xfId="0" applyNumberFormat="1" applyFont="1" applyFill="1" applyBorder="1" applyAlignment="1">
      <alignment horizontal="center"/>
    </xf>
    <xf numFmtId="164" fontId="24" fillId="31" borderId="37" xfId="0" applyNumberFormat="1" applyFont="1" applyFill="1" applyBorder="1" applyAlignment="1">
      <alignment horizontal="center"/>
    </xf>
    <xf numFmtId="43" fontId="24" fillId="31" borderId="37" xfId="0" applyNumberFormat="1" applyFont="1" applyFill="1" applyBorder="1"/>
    <xf numFmtId="164" fontId="24" fillId="0" borderId="37" xfId="0" applyNumberFormat="1" applyFont="1" applyBorder="1" applyAlignment="1">
      <alignment horizontal="left"/>
    </xf>
    <xf numFmtId="0" fontId="23" fillId="33" borderId="37" xfId="0" applyFont="1" applyFill="1" applyBorder="1" applyAlignment="1">
      <alignment horizontal="center"/>
    </xf>
    <xf numFmtId="14" fontId="24" fillId="30" borderId="37" xfId="0" applyNumberFormat="1" applyFont="1" applyFill="1" applyBorder="1" applyAlignment="1">
      <alignment horizontal="center"/>
    </xf>
    <xf numFmtId="44" fontId="23" fillId="35" borderId="37" xfId="0" applyNumberFormat="1" applyFont="1" applyFill="1" applyBorder="1" applyAlignment="1">
      <alignment horizontal="center" vertical="center"/>
    </xf>
    <xf numFmtId="0" fontId="23" fillId="35" borderId="33" xfId="0" applyFont="1" applyFill="1" applyBorder="1"/>
    <xf numFmtId="0" fontId="23" fillId="35" borderId="39" xfId="0" applyFont="1" applyFill="1" applyBorder="1"/>
    <xf numFmtId="0" fontId="39" fillId="35" borderId="44" xfId="0" applyFont="1" applyFill="1" applyBorder="1"/>
    <xf numFmtId="0" fontId="39" fillId="35" borderId="43" xfId="0" applyFont="1" applyFill="1" applyBorder="1"/>
    <xf numFmtId="164" fontId="23" fillId="35" borderId="37" xfId="0" applyNumberFormat="1" applyFont="1" applyFill="1" applyBorder="1" applyAlignment="1">
      <alignment vertical="top" wrapText="1"/>
    </xf>
    <xf numFmtId="1" fontId="32" fillId="35" borderId="1" xfId="50" applyNumberFormat="1" applyFill="1" applyBorder="1" applyAlignment="1">
      <alignment horizontal="center" vertical="center"/>
    </xf>
    <xf numFmtId="0" fontId="23" fillId="35" borderId="0" xfId="0" applyFont="1" applyFill="1" applyAlignment="1">
      <alignment vertical="center"/>
    </xf>
    <xf numFmtId="43" fontId="23" fillId="35" borderId="0" xfId="0" applyNumberFormat="1" applyFont="1" applyFill="1" applyAlignment="1">
      <alignment vertical="center"/>
    </xf>
    <xf numFmtId="0" fontId="39" fillId="35" borderId="0" xfId="0" applyFont="1" applyFill="1"/>
    <xf numFmtId="44" fontId="24" fillId="35" borderId="37" xfId="0" applyNumberFormat="1" applyFont="1" applyFill="1" applyBorder="1" applyAlignment="1">
      <alignment horizontal="center"/>
    </xf>
    <xf numFmtId="164" fontId="23" fillId="35" borderId="38" xfId="0" applyNumberFormat="1" applyFont="1" applyFill="1" applyBorder="1" applyAlignment="1">
      <alignment horizontal="left"/>
    </xf>
    <xf numFmtId="164" fontId="23" fillId="35" borderId="40" xfId="0" applyNumberFormat="1" applyFont="1" applyFill="1" applyBorder="1" applyAlignment="1">
      <alignment horizontal="left"/>
    </xf>
    <xf numFmtId="164" fontId="38" fillId="35" borderId="38" xfId="49" applyNumberFormat="1" applyFont="1" applyFill="1" applyBorder="1" applyAlignment="1">
      <alignment horizontal="left"/>
    </xf>
    <xf numFmtId="164" fontId="23" fillId="0" borderId="37" xfId="0" applyNumberFormat="1" applyFont="1" applyBorder="1" applyAlignment="1">
      <alignment horizontal="left"/>
    </xf>
    <xf numFmtId="164" fontId="23" fillId="0" borderId="37" xfId="0" applyNumberFormat="1" applyFont="1" applyBorder="1" applyAlignment="1">
      <alignment horizontal="left" wrapText="1"/>
    </xf>
    <xf numFmtId="164" fontId="23" fillId="0" borderId="38" xfId="0" applyNumberFormat="1" applyFont="1" applyBorder="1" applyAlignment="1">
      <alignment horizontal="left" vertical="top" wrapText="1"/>
    </xf>
    <xf numFmtId="164" fontId="23" fillId="0" borderId="40" xfId="0" applyNumberFormat="1" applyFont="1" applyBorder="1" applyAlignment="1">
      <alignment horizontal="left" vertical="top" wrapText="1"/>
    </xf>
    <xf numFmtId="164" fontId="23" fillId="0" borderId="38" xfId="0" applyNumberFormat="1" applyFont="1" applyBorder="1" applyAlignment="1">
      <alignment horizontal="center"/>
    </xf>
    <xf numFmtId="164" fontId="23" fillId="0" borderId="40" xfId="0" applyNumberFormat="1" applyFont="1" applyBorder="1" applyAlignment="1">
      <alignment horizontal="center"/>
    </xf>
    <xf numFmtId="164" fontId="23" fillId="0" borderId="40" xfId="0" applyNumberFormat="1" applyFont="1" applyBorder="1" applyAlignment="1">
      <alignment horizontal="left" vertical="top"/>
    </xf>
    <xf numFmtId="164" fontId="23" fillId="0" borderId="38" xfId="0" applyNumberFormat="1" applyFont="1" applyBorder="1" applyAlignment="1">
      <alignment horizontal="left"/>
    </xf>
    <xf numFmtId="164" fontId="23" fillId="0" borderId="40" xfId="0" applyNumberFormat="1" applyFont="1" applyBorder="1" applyAlignment="1">
      <alignment horizontal="left"/>
    </xf>
    <xf numFmtId="164" fontId="23" fillId="0" borderId="38" xfId="0" applyNumberFormat="1" applyFont="1" applyBorder="1" applyAlignment="1">
      <alignment horizontal="left" wrapText="1"/>
    </xf>
    <xf numFmtId="164" fontId="23" fillId="0" borderId="38" xfId="0" applyNumberFormat="1" applyFont="1" applyBorder="1" applyAlignment="1">
      <alignment horizontal="left" vertical="center" wrapText="1"/>
    </xf>
    <xf numFmtId="164" fontId="23" fillId="0" borderId="40" xfId="0" applyNumberFormat="1" applyFont="1" applyBorder="1" applyAlignment="1">
      <alignment horizontal="left" vertical="center"/>
    </xf>
    <xf numFmtId="164" fontId="25" fillId="27" borderId="12" xfId="0" applyNumberFormat="1" applyFont="1" applyFill="1" applyBorder="1" applyAlignment="1">
      <alignment horizontal="center"/>
    </xf>
    <xf numFmtId="164" fontId="25" fillId="27" borderId="17" xfId="0" applyNumberFormat="1" applyFont="1" applyFill="1" applyBorder="1" applyAlignment="1">
      <alignment horizontal="center"/>
    </xf>
    <xf numFmtId="44" fontId="24" fillId="30" borderId="16" xfId="48" applyFont="1" applyFill="1" applyBorder="1" applyAlignment="1">
      <alignment horizontal="center" vertical="center"/>
    </xf>
    <xf numFmtId="44" fontId="24" fillId="30" borderId="31" xfId="48" applyFont="1" applyFill="1" applyBorder="1" applyAlignment="1">
      <alignment horizontal="center" vertical="center"/>
    </xf>
    <xf numFmtId="44" fontId="24" fillId="30" borderId="1" xfId="48" applyFont="1" applyFill="1" applyBorder="1" applyAlignment="1">
      <alignment horizontal="center" vertical="center"/>
    </xf>
    <xf numFmtId="43" fontId="24" fillId="30" borderId="31" xfId="0" applyNumberFormat="1" applyFont="1" applyFill="1" applyBorder="1" applyAlignment="1">
      <alignment horizontal="center" vertical="center" wrapText="1"/>
    </xf>
    <xf numFmtId="43" fontId="24" fillId="30" borderId="1" xfId="0" applyNumberFormat="1" applyFont="1" applyFill="1" applyBorder="1" applyAlignment="1">
      <alignment horizontal="center" vertical="center" wrapText="1"/>
    </xf>
    <xf numFmtId="43" fontId="24" fillId="30" borderId="16" xfId="0" applyNumberFormat="1" applyFont="1" applyFill="1" applyBorder="1" applyAlignment="1">
      <alignment horizontal="center" vertical="center"/>
    </xf>
    <xf numFmtId="43" fontId="24" fillId="30" borderId="1" xfId="0" applyNumberFormat="1" applyFont="1" applyFill="1" applyBorder="1" applyAlignment="1">
      <alignment horizontal="center" vertical="center"/>
    </xf>
    <xf numFmtId="44" fontId="24" fillId="30" borderId="37" xfId="48" applyFont="1" applyFill="1" applyBorder="1" applyAlignment="1">
      <alignment horizontal="center" vertical="center"/>
    </xf>
    <xf numFmtId="43" fontId="24" fillId="30" borderId="37" xfId="0" applyNumberFormat="1" applyFont="1" applyFill="1" applyBorder="1" applyAlignment="1">
      <alignment horizontal="center" vertical="center" wrapText="1"/>
    </xf>
    <xf numFmtId="164" fontId="23" fillId="35" borderId="38" xfId="0" applyNumberFormat="1" applyFont="1" applyFill="1" applyBorder="1" applyAlignment="1">
      <alignment horizontal="center"/>
    </xf>
    <xf numFmtId="164" fontId="23" fillId="35" borderId="40" xfId="0" applyNumberFormat="1" applyFont="1" applyFill="1" applyBorder="1" applyAlignment="1">
      <alignment horizontal="center"/>
    </xf>
    <xf numFmtId="164" fontId="23" fillId="35" borderId="37" xfId="0" applyNumberFormat="1" applyFont="1" applyFill="1" applyBorder="1" applyAlignment="1">
      <alignment horizontal="left"/>
    </xf>
    <xf numFmtId="164" fontId="1" fillId="36" borderId="40" xfId="0" applyNumberFormat="1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164" fontId="23" fillId="35" borderId="38" xfId="0" applyNumberFormat="1" applyFont="1" applyFill="1" applyBorder="1" applyAlignment="1">
      <alignment horizontal="left"/>
    </xf>
    <xf numFmtId="164" fontId="23" fillId="35" borderId="40" xfId="0" applyNumberFormat="1" applyFont="1" applyFill="1" applyBorder="1" applyAlignment="1">
      <alignment horizontal="left"/>
    </xf>
    <xf numFmtId="164" fontId="23" fillId="35" borderId="38" xfId="0" applyNumberFormat="1" applyFont="1" applyFill="1" applyBorder="1" applyAlignment="1">
      <alignment horizontal="center"/>
    </xf>
    <xf numFmtId="164" fontId="23" fillId="35" borderId="40" xfId="0" applyNumberFormat="1" applyFont="1" applyFill="1" applyBorder="1" applyAlignment="1">
      <alignment horizontal="center"/>
    </xf>
    <xf numFmtId="164" fontId="23" fillId="35" borderId="25" xfId="0" applyNumberFormat="1" applyFont="1" applyFill="1" applyBorder="1" applyAlignment="1">
      <alignment horizontal="left"/>
    </xf>
    <xf numFmtId="164" fontId="23" fillId="35" borderId="26" xfId="0" applyNumberFormat="1" applyFont="1" applyFill="1" applyBorder="1" applyAlignment="1">
      <alignment horizontal="left"/>
    </xf>
    <xf numFmtId="164" fontId="23" fillId="35" borderId="37" xfId="0" applyNumberFormat="1" applyFont="1" applyFill="1" applyBorder="1" applyAlignment="1">
      <alignment horizontal="left"/>
    </xf>
    <xf numFmtId="164" fontId="23" fillId="35" borderId="38" xfId="0" applyNumberFormat="1" applyFont="1" applyFill="1" applyBorder="1" applyAlignment="1">
      <alignment vertical="top"/>
    </xf>
    <xf numFmtId="164" fontId="23" fillId="35" borderId="40" xfId="0" applyNumberFormat="1" applyFont="1" applyFill="1" applyBorder="1" applyAlignment="1">
      <alignment vertical="top"/>
    </xf>
    <xf numFmtId="164" fontId="38" fillId="35" borderId="38" xfId="49" applyNumberFormat="1" applyFont="1" applyFill="1" applyBorder="1" applyAlignment="1">
      <alignment horizontal="left"/>
    </xf>
    <xf numFmtId="0" fontId="37" fillId="36" borderId="18" xfId="0" applyFont="1" applyFill="1" applyBorder="1" applyAlignment="1">
      <alignment horizontal="center"/>
    </xf>
    <xf numFmtId="0" fontId="25" fillId="36" borderId="19" xfId="0" applyFont="1" applyFill="1" applyBorder="1" applyAlignment="1">
      <alignment horizontal="center"/>
    </xf>
    <xf numFmtId="1" fontId="25" fillId="36" borderId="19" xfId="0" applyNumberFormat="1" applyFont="1" applyFill="1" applyBorder="1" applyAlignment="1">
      <alignment horizontal="left" vertical="center"/>
    </xf>
    <xf numFmtId="0" fontId="25" fillId="36" borderId="19" xfId="0" applyFont="1" applyFill="1" applyBorder="1" applyAlignment="1">
      <alignment horizontal="center" vertical="center"/>
    </xf>
    <xf numFmtId="44" fontId="25" fillId="36" borderId="19" xfId="48" applyFont="1" applyFill="1" applyBorder="1" applyAlignment="1">
      <alignment horizontal="center"/>
    </xf>
    <xf numFmtId="14" fontId="25" fillId="36" borderId="20" xfId="0" applyNumberFormat="1" applyFont="1" applyFill="1" applyBorder="1" applyAlignment="1">
      <alignment horizontal="center"/>
    </xf>
    <xf numFmtId="0" fontId="25" fillId="36" borderId="35" xfId="0" applyFont="1" applyFill="1" applyBorder="1" applyAlignment="1">
      <alignment horizontal="left"/>
    </xf>
    <xf numFmtId="0" fontId="25" fillId="36" borderId="22" xfId="0" applyFont="1" applyFill="1" applyBorder="1" applyAlignment="1">
      <alignment horizontal="center"/>
    </xf>
    <xf numFmtId="164" fontId="25" fillId="36" borderId="42" xfId="0" applyNumberFormat="1" applyFont="1" applyFill="1" applyBorder="1" applyAlignment="1">
      <alignment horizontal="left" vertical="center"/>
    </xf>
    <xf numFmtId="164" fontId="25" fillId="36" borderId="24" xfId="0" applyNumberFormat="1" applyFont="1" applyFill="1" applyBorder="1" applyAlignment="1">
      <alignment horizontal="center" vertical="center"/>
    </xf>
    <xf numFmtId="1" fontId="23" fillId="35" borderId="38" xfId="0" applyNumberFormat="1" applyFont="1" applyFill="1" applyBorder="1" applyAlignment="1">
      <alignment horizontal="left"/>
    </xf>
    <xf numFmtId="1" fontId="23" fillId="35" borderId="40" xfId="0" applyNumberFormat="1" applyFont="1" applyFill="1" applyBorder="1" applyAlignment="1">
      <alignment horizontal="left"/>
    </xf>
    <xf numFmtId="164" fontId="23" fillId="35" borderId="38" xfId="0" applyNumberFormat="1" applyFont="1" applyFill="1" applyBorder="1" applyAlignment="1">
      <alignment horizontal="center" wrapText="1"/>
    </xf>
    <xf numFmtId="164" fontId="38" fillId="35" borderId="25" xfId="49" applyNumberFormat="1" applyFont="1" applyFill="1" applyBorder="1" applyAlignment="1">
      <alignment horizontal="left"/>
    </xf>
    <xf numFmtId="164" fontId="23" fillId="35" borderId="26" xfId="0" applyNumberFormat="1" applyFont="1" applyFill="1" applyBorder="1" applyAlignment="1">
      <alignment horizontal="center"/>
    </xf>
    <xf numFmtId="1" fontId="23" fillId="35" borderId="40" xfId="0" applyNumberFormat="1" applyFont="1" applyFill="1" applyBorder="1" applyAlignment="1">
      <alignment horizontal="center"/>
    </xf>
    <xf numFmtId="164" fontId="23" fillId="0" borderId="38" xfId="0" applyNumberFormat="1" applyFont="1" applyBorder="1" applyAlignment="1">
      <alignment horizontal="left"/>
    </xf>
    <xf numFmtId="164" fontId="23" fillId="0" borderId="40" xfId="0" applyNumberFormat="1" applyFont="1" applyBorder="1" applyAlignment="1">
      <alignment horizontal="left"/>
    </xf>
    <xf numFmtId="0" fontId="22" fillId="29" borderId="18" xfId="0" applyFont="1" applyFill="1" applyBorder="1" applyAlignment="1">
      <alignment horizontal="center"/>
    </xf>
    <xf numFmtId="0" fontId="22" fillId="29" borderId="19" xfId="0" applyFont="1" applyFill="1" applyBorder="1" applyAlignment="1">
      <alignment horizontal="center"/>
    </xf>
    <xf numFmtId="0" fontId="22" fillId="29" borderId="20" xfId="0" applyFont="1" applyFill="1" applyBorder="1" applyAlignment="1">
      <alignment horizontal="center"/>
    </xf>
    <xf numFmtId="0" fontId="1" fillId="29" borderId="21" xfId="0" applyFont="1" applyFill="1" applyBorder="1" applyAlignment="1">
      <alignment horizontal="center"/>
    </xf>
    <xf numFmtId="0" fontId="1" fillId="29" borderId="22" xfId="0" applyFont="1" applyFill="1" applyBorder="1" applyAlignment="1">
      <alignment horizontal="center"/>
    </xf>
    <xf numFmtId="164" fontId="1" fillId="24" borderId="13" xfId="0" applyNumberFormat="1" applyFont="1" applyFill="1" applyBorder="1" applyAlignment="1">
      <alignment horizontal="center"/>
    </xf>
    <xf numFmtId="164" fontId="1" fillId="24" borderId="14" xfId="0" applyNumberFormat="1" applyFont="1" applyFill="1" applyBorder="1" applyAlignment="1">
      <alignment horizontal="center"/>
    </xf>
    <xf numFmtId="164" fontId="1" fillId="24" borderId="23" xfId="0" applyNumberFormat="1" applyFont="1" applyFill="1" applyBorder="1" applyAlignment="1">
      <alignment horizontal="center"/>
    </xf>
    <xf numFmtId="164" fontId="1" fillId="24" borderId="24" xfId="0" applyNumberFormat="1" applyFont="1" applyFill="1" applyBorder="1" applyAlignment="1">
      <alignment horizontal="center"/>
    </xf>
    <xf numFmtId="164" fontId="23" fillId="0" borderId="38" xfId="0" applyNumberFormat="1" applyFont="1" applyBorder="1" applyAlignment="1">
      <alignment horizontal="left" wrapText="1"/>
    </xf>
    <xf numFmtId="164" fontId="23" fillId="0" borderId="40" xfId="0" applyNumberFormat="1" applyFont="1" applyBorder="1" applyAlignment="1">
      <alignment horizontal="left" wrapText="1"/>
    </xf>
    <xf numFmtId="164" fontId="23" fillId="0" borderId="37" xfId="0" applyNumberFormat="1" applyFont="1" applyBorder="1" applyAlignment="1">
      <alignment horizontal="left"/>
    </xf>
    <xf numFmtId="164" fontId="23" fillId="0" borderId="38" xfId="0" applyNumberFormat="1" applyFont="1" applyBorder="1" applyAlignment="1">
      <alignment horizontal="left" vertical="top" wrapText="1"/>
    </xf>
    <xf numFmtId="164" fontId="23" fillId="0" borderId="40" xfId="0" applyNumberFormat="1" applyFont="1" applyBorder="1" applyAlignment="1">
      <alignment horizontal="left" vertical="top" wrapText="1"/>
    </xf>
    <xf numFmtId="164" fontId="23" fillId="0" borderId="38" xfId="0" applyNumberFormat="1" applyFont="1" applyBorder="1" applyAlignment="1">
      <alignment horizontal="left" vertical="center" wrapText="1"/>
    </xf>
    <xf numFmtId="164" fontId="23" fillId="0" borderId="40" xfId="0" applyNumberFormat="1" applyFont="1" applyBorder="1" applyAlignment="1">
      <alignment horizontal="left" vertical="center"/>
    </xf>
    <xf numFmtId="164" fontId="23" fillId="0" borderId="37" xfId="0" applyNumberFormat="1" applyFont="1" applyBorder="1" applyAlignment="1">
      <alignment horizontal="left" wrapText="1"/>
    </xf>
    <xf numFmtId="164" fontId="23" fillId="0" borderId="38" xfId="0" applyNumberFormat="1" applyFont="1" applyBorder="1" applyAlignment="1">
      <alignment horizontal="center"/>
    </xf>
    <xf numFmtId="164" fontId="23" fillId="0" borderId="40" xfId="0" applyNumberFormat="1" applyFont="1" applyBorder="1" applyAlignment="1">
      <alignment horizontal="center"/>
    </xf>
    <xf numFmtId="164" fontId="23" fillId="0" borderId="40" xfId="0" applyNumberFormat="1" applyFont="1" applyBorder="1" applyAlignment="1">
      <alignment horizontal="left" vertical="top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64" fontId="25" fillId="27" borderId="12" xfId="0" applyNumberFormat="1" applyFont="1" applyFill="1" applyBorder="1" applyAlignment="1">
      <alignment horizontal="center"/>
    </xf>
    <xf numFmtId="164" fontId="25" fillId="27" borderId="17" xfId="0" applyNumberFormat="1" applyFont="1" applyFill="1" applyBorder="1" applyAlignment="1">
      <alignment horizontal="center"/>
    </xf>
    <xf numFmtId="44" fontId="24" fillId="30" borderId="34" xfId="48" applyFont="1" applyFill="1" applyBorder="1" applyAlignment="1">
      <alignment horizontal="center" vertical="center"/>
    </xf>
    <xf numFmtId="44" fontId="24" fillId="30" borderId="31" xfId="48" applyFont="1" applyFill="1" applyBorder="1" applyAlignment="1">
      <alignment horizontal="center" vertical="center"/>
    </xf>
    <xf numFmtId="44" fontId="24" fillId="30" borderId="1" xfId="48" applyFont="1" applyFill="1" applyBorder="1" applyAlignment="1">
      <alignment horizontal="center" vertical="center"/>
    </xf>
    <xf numFmtId="43" fontId="24" fillId="30" borderId="34" xfId="0" applyNumberFormat="1" applyFont="1" applyFill="1" applyBorder="1" applyAlignment="1">
      <alignment horizontal="center" vertical="center" wrapText="1"/>
    </xf>
    <xf numFmtId="43" fontId="24" fillId="30" borderId="31" xfId="0" applyNumberFormat="1" applyFont="1" applyFill="1" applyBorder="1" applyAlignment="1">
      <alignment horizontal="center" vertical="center" wrapText="1"/>
    </xf>
    <xf numFmtId="43" fontId="24" fillId="30" borderId="1" xfId="0" applyNumberFormat="1" applyFont="1" applyFill="1" applyBorder="1" applyAlignment="1">
      <alignment horizontal="center" vertical="center" wrapText="1"/>
    </xf>
    <xf numFmtId="43" fontId="24" fillId="30" borderId="34" xfId="0" applyNumberFormat="1" applyFont="1" applyFill="1" applyBorder="1" applyAlignment="1">
      <alignment horizontal="center" vertical="center"/>
    </xf>
    <xf numFmtId="43" fontId="24" fillId="30" borderId="31" xfId="0" applyNumberFormat="1" applyFont="1" applyFill="1" applyBorder="1" applyAlignment="1">
      <alignment horizontal="center" vertical="center"/>
    </xf>
    <xf numFmtId="43" fontId="24" fillId="30" borderId="1" xfId="0" applyNumberFormat="1" applyFont="1" applyFill="1" applyBorder="1" applyAlignment="1">
      <alignment horizontal="center" vertical="center"/>
    </xf>
    <xf numFmtId="44" fontId="24" fillId="30" borderId="16" xfId="48" applyFont="1" applyFill="1" applyBorder="1" applyAlignment="1">
      <alignment horizontal="center" vertical="center"/>
    </xf>
    <xf numFmtId="43" fontId="24" fillId="30" borderId="16" xfId="0" applyNumberFormat="1" applyFont="1" applyFill="1" applyBorder="1" applyAlignment="1">
      <alignment horizontal="center" vertical="center" wrapText="1"/>
    </xf>
    <xf numFmtId="43" fontId="24" fillId="30" borderId="16" xfId="0" applyNumberFormat="1" applyFont="1" applyFill="1" applyBorder="1" applyAlignment="1">
      <alignment horizontal="center" vertical="center"/>
    </xf>
    <xf numFmtId="43" fontId="24" fillId="30" borderId="31" xfId="0" applyNumberFormat="1" applyFont="1" applyFill="1" applyBorder="1" applyAlignment="1"/>
    <xf numFmtId="43" fontId="24" fillId="30" borderId="1" xfId="0" applyNumberFormat="1" applyFont="1" applyFill="1" applyBorder="1" applyAlignment="1"/>
    <xf numFmtId="43" fontId="24" fillId="30" borderId="32" xfId="0" applyNumberFormat="1" applyFont="1" applyFill="1" applyBorder="1" applyAlignment="1">
      <alignment horizontal="center" vertical="center"/>
    </xf>
    <xf numFmtId="43" fontId="24" fillId="30" borderId="32" xfId="0" applyNumberFormat="1" applyFont="1" applyFill="1" applyBorder="1" applyAlignment="1"/>
    <xf numFmtId="44" fontId="24" fillId="30" borderId="16" xfId="48" applyFont="1" applyFill="1" applyBorder="1" applyAlignment="1">
      <alignment horizontal="center" vertical="center" wrapText="1"/>
    </xf>
    <xf numFmtId="44" fontId="24" fillId="30" borderId="31" xfId="48" applyFont="1" applyFill="1" applyBorder="1" applyAlignment="1">
      <alignment horizontal="center" vertical="center" wrapText="1"/>
    </xf>
    <xf numFmtId="44" fontId="24" fillId="30" borderId="1" xfId="48" applyFont="1" applyFill="1" applyBorder="1" applyAlignment="1">
      <alignment horizontal="center" vertical="center" wrapText="1"/>
    </xf>
    <xf numFmtId="43" fontId="24" fillId="30" borderId="37" xfId="0" applyNumberFormat="1" applyFont="1" applyFill="1" applyBorder="1" applyAlignment="1">
      <alignment horizontal="center" vertical="center"/>
    </xf>
    <xf numFmtId="43" fontId="24" fillId="30" borderId="37" xfId="0" applyNumberFormat="1" applyFont="1" applyFill="1" applyBorder="1" applyAlignment="1"/>
    <xf numFmtId="44" fontId="24" fillId="30" borderId="37" xfId="48" applyFont="1" applyFill="1" applyBorder="1" applyAlignment="1">
      <alignment horizontal="center" vertical="center"/>
    </xf>
    <xf numFmtId="43" fontId="24" fillId="30" borderId="16" xfId="0" applyNumberFormat="1" applyFont="1" applyFill="1" applyBorder="1" applyAlignment="1"/>
    <xf numFmtId="43" fontId="24" fillId="30" borderId="37" xfId="0" applyNumberFormat="1" applyFont="1" applyFill="1" applyBorder="1" applyAlignment="1">
      <alignment horizontal="center" vertical="center" wrapText="1"/>
    </xf>
    <xf numFmtId="0" fontId="22" fillId="36" borderId="37" xfId="0" applyFont="1" applyFill="1" applyBorder="1" applyAlignment="1">
      <alignment horizontal="center" vertical="center"/>
    </xf>
    <xf numFmtId="0" fontId="22" fillId="36" borderId="37" xfId="0" applyFont="1" applyFill="1" applyBorder="1" applyAlignment="1">
      <alignment horizontal="left" vertical="center"/>
    </xf>
    <xf numFmtId="164" fontId="1" fillId="36" borderId="40" xfId="0" applyNumberFormat="1" applyFont="1" applyFill="1" applyBorder="1" applyAlignment="1">
      <alignment horizontal="center" vertical="center"/>
    </xf>
    <xf numFmtId="164" fontId="1" fillId="36" borderId="38" xfId="0" applyNumberFormat="1" applyFont="1" applyFill="1" applyBorder="1" applyAlignment="1">
      <alignment horizontal="center" vertical="center"/>
    </xf>
    <xf numFmtId="0" fontId="1" fillId="36" borderId="40" xfId="0" applyFont="1" applyFill="1" applyBorder="1" applyAlignment="1">
      <alignment horizontal="center"/>
    </xf>
    <xf numFmtId="0" fontId="1" fillId="36" borderId="38" xfId="0" applyFont="1" applyFill="1" applyBorder="1" applyAlignment="1">
      <alignment horizontal="center"/>
    </xf>
    <xf numFmtId="0" fontId="0" fillId="35" borderId="38" xfId="0" applyFill="1" applyBorder="1" applyAlignment="1">
      <alignment horizontal="center"/>
    </xf>
    <xf numFmtId="0" fontId="0" fillId="35" borderId="39" xfId="0" applyFill="1" applyBorder="1" applyAlignment="1">
      <alignment horizontal="center"/>
    </xf>
    <xf numFmtId="0" fontId="0" fillId="35" borderId="40" xfId="0" applyFill="1" applyBorder="1" applyAlignment="1">
      <alignment horizontal="center"/>
    </xf>
    <xf numFmtId="0" fontId="29" fillId="0" borderId="36" xfId="0" applyFont="1" applyBorder="1" applyAlignment="1">
      <alignment horizontal="left"/>
    </xf>
    <xf numFmtId="0" fontId="22" fillId="36" borderId="18" xfId="0" applyFont="1" applyFill="1" applyBorder="1" applyAlignment="1">
      <alignment horizontal="center"/>
    </xf>
    <xf numFmtId="0" fontId="22" fillId="36" borderId="19" xfId="0" applyFont="1" applyFill="1" applyBorder="1" applyAlignment="1">
      <alignment horizontal="center"/>
    </xf>
    <xf numFmtId="0" fontId="22" fillId="36" borderId="19" xfId="0" applyFont="1" applyFill="1" applyBorder="1" applyAlignment="1">
      <alignment horizontal="center" vertical="center"/>
    </xf>
    <xf numFmtId="44" fontId="22" fillId="36" borderId="19" xfId="48" applyFont="1" applyFill="1" applyBorder="1" applyAlignment="1">
      <alignment horizontal="center"/>
    </xf>
    <xf numFmtId="44" fontId="0" fillId="0" borderId="37" xfId="48" applyFont="1" applyBorder="1" applyAlignment="1">
      <alignment horizontal="center"/>
    </xf>
    <xf numFmtId="44" fontId="0" fillId="37" borderId="37" xfId="48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38" borderId="37" xfId="0" applyFill="1" applyBorder="1" applyAlignment="1">
      <alignment horizontal="center"/>
    </xf>
    <xf numFmtId="164" fontId="25" fillId="27" borderId="19" xfId="0" applyNumberFormat="1" applyFont="1" applyFill="1" applyBorder="1" applyAlignment="1">
      <alignment horizontal="center"/>
    </xf>
    <xf numFmtId="164" fontId="25" fillId="27" borderId="35" xfId="0" applyNumberFormat="1" applyFont="1" applyFill="1" applyBorder="1" applyAlignment="1">
      <alignment horizontal="center"/>
    </xf>
    <xf numFmtId="164" fontId="23" fillId="41" borderId="37" xfId="0" applyNumberFormat="1" applyFont="1" applyFill="1" applyBorder="1" applyAlignment="1">
      <alignment horizontal="left"/>
    </xf>
    <xf numFmtId="0" fontId="24" fillId="41" borderId="37" xfId="0" applyFont="1" applyFill="1" applyBorder="1" applyAlignment="1">
      <alignment horizontal="left" vertical="top"/>
    </xf>
    <xf numFmtId="1" fontId="24" fillId="41" borderId="37" xfId="0" applyNumberFormat="1" applyFont="1" applyFill="1" applyBorder="1" applyAlignment="1">
      <alignment horizontal="left" vertical="center"/>
    </xf>
    <xf numFmtId="0" fontId="23" fillId="41" borderId="37" xfId="0" applyFont="1" applyFill="1" applyBorder="1" applyAlignment="1">
      <alignment horizontal="center" vertical="center"/>
    </xf>
    <xf numFmtId="44" fontId="24" fillId="41" borderId="37" xfId="48" applyFont="1" applyFill="1" applyBorder="1"/>
    <xf numFmtId="14" fontId="23" fillId="41" borderId="37" xfId="0" applyNumberFormat="1" applyFont="1" applyFill="1" applyBorder="1" applyAlignment="1">
      <alignment horizontal="center"/>
    </xf>
    <xf numFmtId="14" fontId="23" fillId="41" borderId="37" xfId="0" applyNumberFormat="1" applyFont="1" applyFill="1" applyBorder="1" applyAlignment="1">
      <alignment horizontal="center" vertical="center"/>
    </xf>
    <xf numFmtId="0" fontId="23" fillId="41" borderId="0" xfId="0" applyFont="1" applyFill="1"/>
    <xf numFmtId="164" fontId="23" fillId="41" borderId="38" xfId="0" applyNumberFormat="1" applyFont="1" applyFill="1" applyBorder="1" applyAlignment="1">
      <alignment horizontal="left"/>
    </xf>
    <xf numFmtId="164" fontId="23" fillId="41" borderId="40" xfId="0" applyNumberFormat="1" applyFont="1" applyFill="1" applyBorder="1" applyAlignment="1">
      <alignment horizontal="left"/>
    </xf>
    <xf numFmtId="0" fontId="23" fillId="41" borderId="37" xfId="0" applyFont="1" applyFill="1" applyBorder="1" applyAlignment="1">
      <alignment horizontal="left"/>
    </xf>
    <xf numFmtId="164" fontId="23" fillId="41" borderId="0" xfId="0" applyNumberFormat="1" applyFont="1" applyFill="1" applyAlignment="1">
      <alignment horizontal="center"/>
    </xf>
    <xf numFmtId="43" fontId="23" fillId="41" borderId="0" xfId="0" applyNumberFormat="1" applyFont="1" applyFill="1"/>
    <xf numFmtId="164" fontId="24" fillId="41" borderId="37" xfId="0" applyNumberFormat="1" applyFont="1" applyFill="1" applyBorder="1" applyAlignment="1">
      <alignment horizontal="left"/>
    </xf>
    <xf numFmtId="14" fontId="24" fillId="41" borderId="37" xfId="0" applyNumberFormat="1" applyFont="1" applyFill="1" applyBorder="1" applyAlignment="1">
      <alignment horizontal="center"/>
    </xf>
    <xf numFmtId="164" fontId="23" fillId="41" borderId="38" xfId="0" applyNumberFormat="1" applyFont="1" applyFill="1" applyBorder="1" applyAlignment="1">
      <alignment horizontal="left"/>
    </xf>
    <xf numFmtId="164" fontId="23" fillId="41" borderId="40" xfId="0" applyNumberFormat="1" applyFont="1" applyFill="1" applyBorder="1" applyAlignment="1">
      <alignment horizontal="left"/>
    </xf>
    <xf numFmtId="164" fontId="23" fillId="41" borderId="37" xfId="0" applyNumberFormat="1" applyFont="1" applyFill="1" applyBorder="1" applyAlignment="1">
      <alignment wrapText="1"/>
    </xf>
    <xf numFmtId="0" fontId="23" fillId="41" borderId="37" xfId="0" applyFont="1" applyFill="1" applyBorder="1" applyAlignment="1">
      <alignment horizontal="left" vertical="top"/>
    </xf>
    <xf numFmtId="1" fontId="23" fillId="41" borderId="37" xfId="0" applyNumberFormat="1" applyFont="1" applyFill="1" applyBorder="1" applyAlignment="1">
      <alignment horizontal="left" vertical="center"/>
    </xf>
    <xf numFmtId="164" fontId="24" fillId="0" borderId="37" xfId="0" applyNumberFormat="1" applyFont="1" applyFill="1" applyBorder="1" applyAlignment="1">
      <alignment horizontal="left"/>
    </xf>
    <xf numFmtId="0" fontId="24" fillId="0" borderId="37" xfId="0" applyFont="1" applyFill="1" applyBorder="1" applyAlignment="1">
      <alignment horizontal="left" vertical="top"/>
    </xf>
    <xf numFmtId="1" fontId="24" fillId="0" borderId="37" xfId="0" applyNumberFormat="1" applyFont="1" applyFill="1" applyBorder="1" applyAlignment="1">
      <alignment horizontal="left" vertical="center"/>
    </xf>
    <xf numFmtId="0" fontId="23" fillId="0" borderId="37" xfId="0" applyFont="1" applyFill="1" applyBorder="1" applyAlignment="1">
      <alignment horizontal="center" vertical="center"/>
    </xf>
    <xf numFmtId="44" fontId="24" fillId="0" borderId="37" xfId="48" applyFont="1" applyFill="1" applyBorder="1"/>
    <xf numFmtId="14" fontId="23" fillId="0" borderId="37" xfId="0" applyNumberFormat="1" applyFont="1" applyFill="1" applyBorder="1" applyAlignment="1">
      <alignment horizontal="center"/>
    </xf>
    <xf numFmtId="14" fontId="24" fillId="0" borderId="37" xfId="0" applyNumberFormat="1" applyFont="1" applyFill="1" applyBorder="1" applyAlignment="1">
      <alignment horizontal="center"/>
    </xf>
    <xf numFmtId="14" fontId="28" fillId="0" borderId="37" xfId="0" applyNumberFormat="1" applyFont="1" applyFill="1" applyBorder="1" applyAlignment="1">
      <alignment horizontal="center"/>
    </xf>
    <xf numFmtId="0" fontId="23" fillId="0" borderId="0" xfId="0" applyFont="1" applyFill="1"/>
    <xf numFmtId="164" fontId="23" fillId="0" borderId="38" xfId="0" applyNumberFormat="1" applyFont="1" applyFill="1" applyBorder="1" applyAlignment="1">
      <alignment horizontal="left"/>
    </xf>
    <xf numFmtId="164" fontId="23" fillId="0" borderId="40" xfId="0" applyNumberFormat="1" applyFont="1" applyFill="1" applyBorder="1" applyAlignment="1">
      <alignment horizontal="left"/>
    </xf>
    <xf numFmtId="0" fontId="23" fillId="0" borderId="37" xfId="0" applyFont="1" applyFill="1" applyBorder="1" applyAlignment="1">
      <alignment horizontal="left"/>
    </xf>
    <xf numFmtId="164" fontId="23" fillId="0" borderId="0" xfId="0" applyNumberFormat="1" applyFont="1" applyFill="1" applyAlignment="1">
      <alignment horizontal="center"/>
    </xf>
    <xf numFmtId="43" fontId="23" fillId="0" borderId="0" xfId="0" applyNumberFormat="1" applyFont="1" applyFill="1"/>
  </cellXfs>
  <cellStyles count="51">
    <cellStyle name="20% - Ênfase1 2" xfId="2" xr:uid="{00000000-0005-0000-0000-000000000000}"/>
    <cellStyle name="20% - Ênfase2 2" xfId="3" xr:uid="{00000000-0005-0000-0000-000001000000}"/>
    <cellStyle name="20% - Ênfase3 2" xfId="4" xr:uid="{00000000-0005-0000-0000-000002000000}"/>
    <cellStyle name="20% - Ênfase4 2" xfId="5" xr:uid="{00000000-0005-0000-0000-000003000000}"/>
    <cellStyle name="20% - Ênfase5 2" xfId="6" xr:uid="{00000000-0005-0000-0000-000004000000}"/>
    <cellStyle name="20% - Ênfase6 2" xfId="7" xr:uid="{00000000-0005-0000-0000-000005000000}"/>
    <cellStyle name="40% - Ênfase1 2" xfId="8" xr:uid="{00000000-0005-0000-0000-000006000000}"/>
    <cellStyle name="40% - Ênfase2 2" xfId="9" xr:uid="{00000000-0005-0000-0000-000007000000}"/>
    <cellStyle name="40% - Ênfase3 2" xfId="10" xr:uid="{00000000-0005-0000-0000-000008000000}"/>
    <cellStyle name="40% - Ênfase4 2" xfId="11" xr:uid="{00000000-0005-0000-0000-000009000000}"/>
    <cellStyle name="40% - Ênfase5 2" xfId="12" xr:uid="{00000000-0005-0000-0000-00000A000000}"/>
    <cellStyle name="40% - Ênfase6 2" xfId="13" xr:uid="{00000000-0005-0000-0000-00000B000000}"/>
    <cellStyle name="60% - Ênfase1 2" xfId="14" xr:uid="{00000000-0005-0000-0000-00000C000000}"/>
    <cellStyle name="60% - Ênfase2 2" xfId="15" xr:uid="{00000000-0005-0000-0000-00000D000000}"/>
    <cellStyle name="60% - Ênfase3 2" xfId="16" xr:uid="{00000000-0005-0000-0000-00000E000000}"/>
    <cellStyle name="60% - Ênfase4 2" xfId="17" xr:uid="{00000000-0005-0000-0000-00000F000000}"/>
    <cellStyle name="60% - Ênfase5 2" xfId="18" xr:uid="{00000000-0005-0000-0000-000010000000}"/>
    <cellStyle name="60% - Ênfase6 2" xfId="19" xr:uid="{00000000-0005-0000-0000-000011000000}"/>
    <cellStyle name="Bom 2" xfId="20" xr:uid="{00000000-0005-0000-0000-000012000000}"/>
    <cellStyle name="Cálculo 2" xfId="21" xr:uid="{00000000-0005-0000-0000-000013000000}"/>
    <cellStyle name="Célula de Verificação 2" xfId="22" xr:uid="{00000000-0005-0000-0000-000014000000}"/>
    <cellStyle name="Célula Vinculada 2" xfId="23" xr:uid="{00000000-0005-0000-0000-000015000000}"/>
    <cellStyle name="Ênfase1 2" xfId="24" xr:uid="{00000000-0005-0000-0000-000016000000}"/>
    <cellStyle name="Ênfase2 2" xfId="25" xr:uid="{00000000-0005-0000-0000-000017000000}"/>
    <cellStyle name="Ênfase3 2" xfId="26" xr:uid="{00000000-0005-0000-0000-000018000000}"/>
    <cellStyle name="Ênfase4 2" xfId="27" xr:uid="{00000000-0005-0000-0000-000019000000}"/>
    <cellStyle name="Ênfase5 2" xfId="28" xr:uid="{00000000-0005-0000-0000-00001A000000}"/>
    <cellStyle name="Ênfase6 2" xfId="29" xr:uid="{00000000-0005-0000-0000-00001B000000}"/>
    <cellStyle name="Entrada 2" xfId="30" xr:uid="{00000000-0005-0000-0000-00001C000000}"/>
    <cellStyle name="Excel Built-in Normal" xfId="1" xr:uid="{00000000-0005-0000-0000-00001D000000}"/>
    <cellStyle name="Heading" xfId="31" xr:uid="{00000000-0005-0000-0000-00001E000000}"/>
    <cellStyle name="Heading1" xfId="32" xr:uid="{00000000-0005-0000-0000-00001F000000}"/>
    <cellStyle name="Hiperlink" xfId="49" builtinId="8"/>
    <cellStyle name="Hyperlink" xfId="50" xr:uid="{00000000-000B-0000-0000-000008000000}"/>
    <cellStyle name="Incorreto 2" xfId="33" xr:uid="{00000000-0005-0000-0000-000020000000}"/>
    <cellStyle name="Moeda" xfId="48" builtinId="4"/>
    <cellStyle name="Neutra 2" xfId="34" xr:uid="{00000000-0005-0000-0000-000021000000}"/>
    <cellStyle name="Normal" xfId="0" builtinId="0"/>
    <cellStyle name="Normal 2" xfId="35" xr:uid="{00000000-0005-0000-0000-000023000000}"/>
    <cellStyle name="Nota 2" xfId="36" xr:uid="{00000000-0005-0000-0000-000024000000}"/>
    <cellStyle name="Result" xfId="37" xr:uid="{00000000-0005-0000-0000-000025000000}"/>
    <cellStyle name="Result2" xfId="38" xr:uid="{00000000-0005-0000-0000-000026000000}"/>
    <cellStyle name="Saída 2" xfId="39" xr:uid="{00000000-0005-0000-0000-000027000000}"/>
    <cellStyle name="Texto de Aviso 2" xfId="40" xr:uid="{00000000-0005-0000-0000-000028000000}"/>
    <cellStyle name="Texto Explicativo 2" xfId="41" xr:uid="{00000000-0005-0000-0000-000029000000}"/>
    <cellStyle name="Título 1 1" xfId="42" xr:uid="{00000000-0005-0000-0000-00002A000000}"/>
    <cellStyle name="Título 1 2" xfId="43" xr:uid="{00000000-0005-0000-0000-00002B000000}"/>
    <cellStyle name="Título 2 2" xfId="44" xr:uid="{00000000-0005-0000-0000-00002C000000}"/>
    <cellStyle name="Título 3 2" xfId="45" xr:uid="{00000000-0005-0000-0000-00002D000000}"/>
    <cellStyle name="Título 4 2" xfId="46" xr:uid="{00000000-0005-0000-0000-00002E000000}"/>
    <cellStyle name="Total 2" xfId="47" xr:uid="{00000000-0005-0000-0000-00002F000000}"/>
  </cellStyles>
  <dxfs count="25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9CEA"/>
          <bgColor rgb="FFFF9CEA"/>
        </patternFill>
      </fill>
    </dxf>
    <dxf>
      <fill>
        <patternFill patternType="solid">
          <fgColor rgb="FFFF8B8B"/>
          <bgColor rgb="FFFF8B8B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CDD98F"/>
          <bgColor rgb="FFCDD98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CE5CD"/>
          <bgColor rgb="FFFCE5CD"/>
        </patternFill>
      </fill>
    </dxf>
    <dxf>
      <fill>
        <patternFill patternType="none"/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4FC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geren/Downloads/PROGRAMACAO%20-%20VIA%20MAIS%20-%202026%20(2).xlsx" TargetMode="External"/><Relationship Id="rId2" Type="http://schemas.openxmlformats.org/officeDocument/2006/relationships/externalLinkPath" Target="file:///C:\Users\geren\Downloads\PROGRAMACAO%20-%20VIA%20MAIS%20-%202026%20(2).xlsx" TargetMode="External"/><Relationship Id="rId1" Type="http://schemas.openxmlformats.org/officeDocument/2006/relationships/externalLinkPath" Target="/Users/geren/Downloads/PROGRAMACAO%20-%20VIA%20MAIS%20-%202026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GRAMACAO"/>
      <sheetName val="ORDEM DE CARREGAMENTO"/>
      <sheetName val="CADASTROS"/>
      <sheetName val="MOTORISTAS"/>
      <sheetName val="CLIENTES"/>
      <sheetName val="TRANSREAL"/>
    </sheetNames>
    <sheetDataSet>
      <sheetData sheetId="0"/>
      <sheetData sheetId="1"/>
      <sheetData sheetId="2"/>
      <sheetData sheetId="3">
        <row r="2">
          <cell r="A2" t="str">
            <v>ABRAAO MATHEUS PALHARES</v>
          </cell>
          <cell r="B2">
            <v>32224</v>
          </cell>
          <cell r="C2" t="str">
            <v>(31) 99299-3626</v>
          </cell>
          <cell r="D2"/>
          <cell r="E2" t="str">
            <v>09517896603</v>
          </cell>
          <cell r="F2" t="str">
            <v>04462878871</v>
          </cell>
          <cell r="G2">
            <v>49343</v>
          </cell>
          <cell r="H2" t="str">
            <v>FALTAM: 3039 DIAS - 99 MESES e 8 ANOS PARA VENCER A CNH</v>
          </cell>
          <cell r="I2" t="str">
            <v>MG12190165</v>
          </cell>
          <cell r="J2"/>
          <cell r="K2"/>
          <cell r="L2"/>
          <cell r="M2"/>
        </row>
        <row r="3">
          <cell r="A3" t="str">
            <v>ADILSON APARECIDO DE SOUZA</v>
          </cell>
          <cell r="B3">
            <v>27934</v>
          </cell>
          <cell r="C3" t="str">
            <v>(13) 98126-2170</v>
          </cell>
          <cell r="D3"/>
          <cell r="E3" t="str">
            <v>25576390873</v>
          </cell>
          <cell r="F3" t="str">
            <v>01762201030</v>
          </cell>
          <cell r="G3">
            <v>48160</v>
          </cell>
          <cell r="H3" t="str">
            <v>FALTAM: 1856 DIAS - 60 MESES e 5 ANOS PARA VENCER A CNH</v>
          </cell>
          <cell r="I3">
            <v>28406023</v>
          </cell>
          <cell r="J3"/>
          <cell r="K3"/>
          <cell r="L3"/>
          <cell r="M3"/>
        </row>
        <row r="4">
          <cell r="A4" t="str">
            <v>ADRIANO DOS PASSOS FERNANDES DE MORAIS</v>
          </cell>
          <cell r="B4">
            <v>34628</v>
          </cell>
          <cell r="C4" t="str">
            <v>(31) 99991-5595</v>
          </cell>
          <cell r="D4"/>
          <cell r="E4" t="str">
            <v>12710089637</v>
          </cell>
          <cell r="F4" t="str">
            <v>07268804216</v>
          </cell>
          <cell r="G4">
            <v>48966</v>
          </cell>
          <cell r="H4" t="str">
            <v>FALTAM: 2662 DIAS - 87 MESES e 7 ANOS PARA VENCER A CNH</v>
          </cell>
          <cell r="I4" t="str">
            <v>MG18131770</v>
          </cell>
          <cell r="J4"/>
          <cell r="K4"/>
          <cell r="L4"/>
          <cell r="M4"/>
        </row>
        <row r="5">
          <cell r="A5" t="str">
            <v>AILTON GOMES FRADE JUNIOR</v>
          </cell>
          <cell r="B5">
            <v>32062</v>
          </cell>
          <cell r="C5" t="str">
            <v>(31) 99947-7274</v>
          </cell>
          <cell r="D5"/>
          <cell r="E5" t="str">
            <v>06855840620</v>
          </cell>
          <cell r="F5" t="str">
            <v>04072007436</v>
          </cell>
          <cell r="G5">
            <v>48871</v>
          </cell>
          <cell r="H5" t="str">
            <v>FALTAM: 2567 DIAS - 84 MESES e 7 ANOS PARA VENCER A CNH</v>
          </cell>
          <cell r="I5" t="str">
            <v>MG12805450</v>
          </cell>
          <cell r="J5"/>
          <cell r="K5"/>
          <cell r="L5"/>
          <cell r="M5"/>
        </row>
        <row r="6">
          <cell r="A6" t="str">
            <v>ALBERTO RODRIGUES TABORDA</v>
          </cell>
          <cell r="B6">
            <v>30909</v>
          </cell>
          <cell r="C6" t="str">
            <v>(31) 99636-8664</v>
          </cell>
          <cell r="D6"/>
          <cell r="E6" t="str">
            <v>06722185699</v>
          </cell>
          <cell r="F6" t="str">
            <v>03754031244</v>
          </cell>
          <cell r="G6">
            <v>48071</v>
          </cell>
          <cell r="H6" t="str">
            <v>FALTAM: 1767 DIAS - 58 MESES e 4 ANOS PARA VENCER A CNH</v>
          </cell>
          <cell r="I6" t="str">
            <v>MG10586031</v>
          </cell>
          <cell r="J6"/>
          <cell r="K6"/>
          <cell r="L6"/>
          <cell r="M6"/>
        </row>
        <row r="7">
          <cell r="A7" t="str">
            <v>ALISSON APARECIDO DA SILVA</v>
          </cell>
          <cell r="B7">
            <v>32644</v>
          </cell>
          <cell r="C7" t="str">
            <v>(37) 99908-0822</v>
          </cell>
          <cell r="D7"/>
          <cell r="E7" t="str">
            <v>08463244661</v>
          </cell>
          <cell r="F7" t="str">
            <v>06847648831</v>
          </cell>
          <cell r="G7">
            <v>48896</v>
          </cell>
          <cell r="H7" t="str">
            <v>FALTAM: 2592 DIAS - 85 MESES e 7 ANOS PARA VENCER A CNH</v>
          </cell>
          <cell r="I7" t="str">
            <v>MG15370353</v>
          </cell>
          <cell r="J7"/>
          <cell r="K7"/>
          <cell r="L7"/>
          <cell r="M7"/>
        </row>
        <row r="8">
          <cell r="A8" t="str">
            <v>ALISSON MARCOS MOREIRA</v>
          </cell>
          <cell r="B8">
            <v>32321</v>
          </cell>
          <cell r="C8" t="str">
            <v>(31) 99251-6350</v>
          </cell>
          <cell r="D8"/>
          <cell r="E8" t="str">
            <v>07542708660</v>
          </cell>
          <cell r="F8" t="str">
            <v>03943556630</v>
          </cell>
          <cell r="G8">
            <v>48415</v>
          </cell>
          <cell r="H8" t="str">
            <v>FALTAM: 2111 DIAS - 69 MESES e 5 ANOS PARA VENCER A CNH</v>
          </cell>
          <cell r="I8" t="str">
            <v>MG14670230</v>
          </cell>
          <cell r="J8"/>
          <cell r="K8"/>
          <cell r="L8"/>
          <cell r="M8"/>
        </row>
        <row r="9">
          <cell r="A9" t="str">
            <v>ANDERSON NASCIMENTO SOARES</v>
          </cell>
          <cell r="B9"/>
          <cell r="C9"/>
          <cell r="D9"/>
          <cell r="E9" t="str">
            <v>21818057840</v>
          </cell>
          <cell r="F9" t="str">
            <v>04423472303</v>
          </cell>
          <cell r="G9">
            <v>48569</v>
          </cell>
          <cell r="H9" t="str">
            <v>FALTAM: 2265 DIAS - 74 MESES e 6 ANOS PARA VENCER A CNH</v>
          </cell>
          <cell r="I9" t="str">
            <v>45408552</v>
          </cell>
          <cell r="J9"/>
          <cell r="K9"/>
          <cell r="L9"/>
          <cell r="M9"/>
        </row>
        <row r="10">
          <cell r="A10" t="str">
            <v>ANDRE CARVALHO PEREIRA DE SOUZA</v>
          </cell>
          <cell r="B10"/>
          <cell r="C10"/>
          <cell r="D10"/>
          <cell r="E10" t="str">
            <v>26912300820</v>
          </cell>
          <cell r="F10" t="str">
            <v>02369381903</v>
          </cell>
          <cell r="G10">
            <v>48961</v>
          </cell>
          <cell r="H10" t="str">
            <v>FALTAM: 2657 DIAS - 87 MESES e 7 ANOS PARA VENCER A CNH</v>
          </cell>
          <cell r="I10" t="str">
            <v>28063362</v>
          </cell>
          <cell r="J10"/>
          <cell r="K10"/>
          <cell r="L10"/>
          <cell r="M10"/>
        </row>
        <row r="11">
          <cell r="A11" t="str">
            <v>ANDRE FERNANDES ARAUJO</v>
          </cell>
          <cell r="B11"/>
          <cell r="C11" t="str">
            <v>(11) 979565927</v>
          </cell>
          <cell r="D11"/>
          <cell r="E11" t="str">
            <v>01884713912</v>
          </cell>
          <cell r="F11" t="str">
            <v>01235988649</v>
          </cell>
          <cell r="G11">
            <v>46518</v>
          </cell>
          <cell r="H11" t="str">
            <v>FALTAM: 214 DIAS - 7 MESES e 0 ANOS PARA VENCER A CNH</v>
          </cell>
          <cell r="I11" t="str">
            <v>65252830</v>
          </cell>
          <cell r="J11"/>
          <cell r="K11"/>
          <cell r="L11"/>
          <cell r="M11"/>
        </row>
        <row r="12">
          <cell r="A12" t="str">
            <v>ANDRE LUIZ SANCAO ANTUNES</v>
          </cell>
          <cell r="B12">
            <v>34748</v>
          </cell>
          <cell r="C12" t="str">
            <v>(31) 98259-3179</v>
          </cell>
          <cell r="D12"/>
          <cell r="E12" t="str">
            <v>10490669603</v>
          </cell>
          <cell r="F12" t="str">
            <v>05815396684</v>
          </cell>
          <cell r="G12">
            <v>49017</v>
          </cell>
          <cell r="H12" t="str">
            <v>FALTAM: 2713 DIAS - 89 MESES e 7 ANOS PARA VENCER A CNH</v>
          </cell>
          <cell r="I12" t="str">
            <v>MG16980791</v>
          </cell>
          <cell r="J12"/>
          <cell r="K12"/>
          <cell r="L12"/>
          <cell r="M12"/>
        </row>
        <row r="13">
          <cell r="A13" t="str">
            <v>ANDRE TADEU PEREIRA DA SILVA</v>
          </cell>
          <cell r="B13"/>
          <cell r="C13"/>
          <cell r="D13"/>
          <cell r="E13" t="str">
            <v>03599371601</v>
          </cell>
          <cell r="F13" t="str">
            <v>00796595806</v>
          </cell>
          <cell r="G13">
            <v>48969</v>
          </cell>
          <cell r="H13" t="str">
            <v>FALTAM: 2665 DIAS - 87 MESES e 7 ANOS PARA VENCER A CNH</v>
          </cell>
          <cell r="I13" t="str">
            <v>MG7160029</v>
          </cell>
          <cell r="J13"/>
          <cell r="K13"/>
          <cell r="L13"/>
          <cell r="M13"/>
        </row>
        <row r="14">
          <cell r="A14" t="str">
            <v>ANANIAS TOMAZOLLI</v>
          </cell>
          <cell r="B14"/>
          <cell r="C14"/>
          <cell r="D14"/>
          <cell r="E14" t="str">
            <v>16082519850</v>
          </cell>
          <cell r="F14" t="str">
            <v>02292922088</v>
          </cell>
          <cell r="G14">
            <v>46614</v>
          </cell>
          <cell r="H14" t="str">
            <v>FALTAM: 310 DIAS - 10 MESES e 0 ANOS PARA VENCER A CNH</v>
          </cell>
          <cell r="I14" t="str">
            <v>26390716</v>
          </cell>
          <cell r="J14"/>
          <cell r="K14"/>
          <cell r="L14"/>
          <cell r="M14"/>
        </row>
        <row r="15">
          <cell r="A15" t="str">
            <v>ANSELMO ACACIO DA SILVA</v>
          </cell>
          <cell r="B15">
            <v>25400</v>
          </cell>
          <cell r="C15" t="str">
            <v>(31) 9859-5126</v>
          </cell>
          <cell r="D15"/>
          <cell r="E15" t="str">
            <v>00815505701</v>
          </cell>
          <cell r="F15" t="str">
            <v>02487288439</v>
          </cell>
          <cell r="G15">
            <v>46510</v>
          </cell>
          <cell r="H15" t="str">
            <v>FALTAM: 206 DIAS - 6 MESES e 0 ANOS PARA VENCER A CNH</v>
          </cell>
          <cell r="I15" t="str">
            <v>MG17785153</v>
          </cell>
          <cell r="J15"/>
          <cell r="K15"/>
          <cell r="L15"/>
          <cell r="M15"/>
        </row>
        <row r="16">
          <cell r="A16" t="str">
            <v>BRUNO AUGUSTO DE OLIVEIRA</v>
          </cell>
          <cell r="B16"/>
          <cell r="C16"/>
          <cell r="D16"/>
          <cell r="E16" t="str">
            <v>07113945988</v>
          </cell>
          <cell r="F16" t="str">
            <v>04603053552</v>
          </cell>
          <cell r="G16">
            <v>49100</v>
          </cell>
          <cell r="H16" t="str">
            <v>FALTAM: 2796 DIAS - 91 MESES e 7 ANOS PARA VENCER A CNH</v>
          </cell>
          <cell r="I16" t="str">
            <v>110241445</v>
          </cell>
          <cell r="J16"/>
          <cell r="K16"/>
          <cell r="L16"/>
          <cell r="M16"/>
        </row>
        <row r="17">
          <cell r="A17" t="str">
            <v>CESAR HIAGO POLICARPO MOREIRA</v>
          </cell>
          <cell r="B17">
            <v>34326</v>
          </cell>
          <cell r="C17" t="str">
            <v>(31) 99155-6426</v>
          </cell>
          <cell r="D17" t="str">
            <v>FROTA</v>
          </cell>
          <cell r="E17" t="str">
            <v>10782715699</v>
          </cell>
          <cell r="F17" t="str">
            <v>05478425947</v>
          </cell>
          <cell r="G17">
            <v>48459</v>
          </cell>
          <cell r="H17" t="str">
            <v>FALTAM: 2155 DIAS - 70 MESES e 5 ANOS PARA VENCER A CNH</v>
          </cell>
          <cell r="I17" t="str">
            <v>MG13898080</v>
          </cell>
          <cell r="J17" t="str">
            <v/>
          </cell>
          <cell r="K17" t="str">
            <v/>
          </cell>
          <cell r="L17" t="str">
            <v/>
          </cell>
          <cell r="M17" t="str">
            <v>HLQ8A63</v>
          </cell>
        </row>
        <row r="18">
          <cell r="A18" t="str">
            <v>CEZAR CARVALHO DE ALMEIDA</v>
          </cell>
          <cell r="B18"/>
          <cell r="C18"/>
          <cell r="D18"/>
          <cell r="E18" t="str">
            <v>18590935825</v>
          </cell>
          <cell r="F18" t="str">
            <v>01123840536</v>
          </cell>
          <cell r="G18">
            <v>46355</v>
          </cell>
          <cell r="H18" t="str">
            <v>FALTAM: 51 DIAS - 1 MESES e 0 ANOS PARA VENCER A CNH</v>
          </cell>
          <cell r="I18">
            <v>24729348</v>
          </cell>
          <cell r="J18"/>
          <cell r="K18"/>
          <cell r="L18"/>
          <cell r="M18"/>
        </row>
        <row r="19">
          <cell r="A19" t="str">
            <v>CHARLES FERNANDO ALVES</v>
          </cell>
          <cell r="B19"/>
          <cell r="C19" t="str">
            <v>(37) 99864-4040</v>
          </cell>
          <cell r="D19"/>
          <cell r="E19" t="str">
            <v>10250321602</v>
          </cell>
          <cell r="F19" t="str">
            <v>05132411745</v>
          </cell>
          <cell r="G19">
            <v>49409</v>
          </cell>
          <cell r="H19" t="str">
            <v>FALTAM: 3105 DIAS - 102 MESES e 8 ANOS PARA VENCER A CNH</v>
          </cell>
          <cell r="I19" t="str">
            <v>MG16347772</v>
          </cell>
          <cell r="J19"/>
          <cell r="K19"/>
          <cell r="L19"/>
          <cell r="M19"/>
        </row>
        <row r="20">
          <cell r="A20" t="str">
            <v>CHARLES BRAM GERMANO DA SILVA</v>
          </cell>
          <cell r="B20"/>
          <cell r="C20" t="str">
            <v>(31) 993017022</v>
          </cell>
          <cell r="D20"/>
          <cell r="E20" t="str">
            <v>03281882633</v>
          </cell>
          <cell r="F20" t="str">
            <v>02533018263</v>
          </cell>
          <cell r="G20">
            <v>48388</v>
          </cell>
          <cell r="H20" t="str">
            <v>FALTAM: 2084 DIAS - 68 MESES e 5 ANOS PARA VENCER A CNH</v>
          </cell>
          <cell r="I20" t="str">
            <v>MG10183329</v>
          </cell>
          <cell r="J20"/>
          <cell r="K20"/>
          <cell r="L20"/>
          <cell r="M20"/>
        </row>
        <row r="21">
          <cell r="A21" t="str">
            <v>CRISTIANO RICARDO PEREIRA</v>
          </cell>
          <cell r="B21"/>
          <cell r="C21"/>
          <cell r="D21"/>
          <cell r="E21" t="str">
            <v>06669834616</v>
          </cell>
          <cell r="F21" t="str">
            <v>02881427516</v>
          </cell>
          <cell r="G21">
            <v>48547</v>
          </cell>
          <cell r="H21" t="str">
            <v>FALTAM: 2243 DIAS - 73 MESES e 6 ANOS PARA VENCER A CNH</v>
          </cell>
          <cell r="I21" t="str">
            <v>MG12489779</v>
          </cell>
          <cell r="J21"/>
          <cell r="K21"/>
          <cell r="L21"/>
          <cell r="M21"/>
        </row>
        <row r="22">
          <cell r="A22" t="str">
            <v>DANIEL DA SILVA RIOS DE OLIVEIRA</v>
          </cell>
          <cell r="B22">
            <v>44084</v>
          </cell>
          <cell r="C22" t="str">
            <v>(13) 98209-0480</v>
          </cell>
          <cell r="D22" t="str">
            <v>AGREGADO</v>
          </cell>
          <cell r="E22" t="str">
            <v>48978547842</v>
          </cell>
          <cell r="F22" t="str">
            <v>07331819100</v>
          </cell>
          <cell r="G22">
            <v>48562</v>
          </cell>
          <cell r="H22" t="str">
            <v>FALTAM: 2258 DIAS - 74 MESES e 6 ANOS PARA VENCER A CNH</v>
          </cell>
          <cell r="I22">
            <v>54009867</v>
          </cell>
          <cell r="J22"/>
          <cell r="K22"/>
          <cell r="L22"/>
          <cell r="M22"/>
        </row>
        <row r="23">
          <cell r="A23" t="str">
            <v>DAVID MARTINS TOSSI</v>
          </cell>
          <cell r="B23"/>
          <cell r="C23"/>
          <cell r="D23"/>
          <cell r="E23" t="str">
            <v>92630537072</v>
          </cell>
          <cell r="F23" t="str">
            <v>00662333055</v>
          </cell>
          <cell r="G23">
            <v>48506</v>
          </cell>
          <cell r="H23" t="str">
            <v>FALTAM: 2202 DIAS - 72 MESES e 6 ANOS PARA VENCER A CNH</v>
          </cell>
          <cell r="I23" t="str">
            <v>703493480</v>
          </cell>
          <cell r="J23"/>
          <cell r="K23"/>
          <cell r="L23"/>
          <cell r="M23"/>
        </row>
        <row r="24">
          <cell r="A24" t="str">
            <v>DIEGO RICHARD NASCIMENTO</v>
          </cell>
          <cell r="B24">
            <v>31779</v>
          </cell>
          <cell r="C24" t="str">
            <v>(77) 99129-6684</v>
          </cell>
          <cell r="D24"/>
          <cell r="E24" t="str">
            <v>08555154650</v>
          </cell>
          <cell r="F24" t="str">
            <v>04600461336</v>
          </cell>
          <cell r="G24">
            <v>47952</v>
          </cell>
          <cell r="H24" t="str">
            <v>FALTAM: 1648 DIAS - 54 MESES e 4 ANOS PARA VENCER A CNH</v>
          </cell>
          <cell r="I24" t="str">
            <v>15359035</v>
          </cell>
          <cell r="J24"/>
          <cell r="K24"/>
          <cell r="L24"/>
          <cell r="M24"/>
        </row>
        <row r="25">
          <cell r="A25" t="str">
            <v>DIOGO FIRMINO DE ASSIS</v>
          </cell>
          <cell r="B25">
            <v>31957</v>
          </cell>
          <cell r="C25"/>
          <cell r="D25"/>
          <cell r="E25" t="str">
            <v>08001336689</v>
          </cell>
          <cell r="F25" t="str">
            <v>04721886568</v>
          </cell>
          <cell r="G25">
            <v>48640</v>
          </cell>
          <cell r="H25" t="str">
            <v>FALTAM: 2336 DIAS - 76 MESES e 6 ANOS PARA VENCER A CNH</v>
          </cell>
          <cell r="I25" t="str">
            <v>MG15101850</v>
          </cell>
          <cell r="J25"/>
          <cell r="K25"/>
          <cell r="L25"/>
          <cell r="M25"/>
        </row>
        <row r="26">
          <cell r="A26" t="str">
            <v>EDUARDO GOMES DA SILVA</v>
          </cell>
          <cell r="B26">
            <v>29047</v>
          </cell>
          <cell r="C26" t="str">
            <v>(31) 98961-6205</v>
          </cell>
          <cell r="D26"/>
          <cell r="E26" t="str">
            <v>04421028606</v>
          </cell>
          <cell r="F26" t="str">
            <v>02597848797</v>
          </cell>
          <cell r="G26">
            <v>48101</v>
          </cell>
          <cell r="H26" t="str">
            <v>FALTAM: 1797 DIAS - 59 MESES e 4 ANOS PARA VENCER A CNH</v>
          </cell>
          <cell r="I26" t="str">
            <v>MG10599814</v>
          </cell>
          <cell r="J26"/>
          <cell r="K26"/>
          <cell r="L26"/>
          <cell r="M26"/>
        </row>
        <row r="27">
          <cell r="A27" t="str">
            <v>EDJANO OLIVEIRA DA SILVA</v>
          </cell>
          <cell r="B27"/>
          <cell r="C27"/>
          <cell r="D27"/>
          <cell r="E27" t="str">
            <v>10864567693</v>
          </cell>
          <cell r="F27" t="str">
            <v>05229887059</v>
          </cell>
          <cell r="G27">
            <v>48995</v>
          </cell>
          <cell r="H27" t="str">
            <v>FALTAM: 2691 DIAS - 88 MESES e 7 ANOS PARA VENCER A CNH</v>
          </cell>
          <cell r="I27" t="str">
            <v>MG17360749</v>
          </cell>
          <cell r="J27"/>
          <cell r="K27"/>
          <cell r="L27"/>
          <cell r="M27"/>
        </row>
        <row r="28">
          <cell r="A28" t="str">
            <v>ELISVALDO FERREIRA VIANA</v>
          </cell>
          <cell r="B28"/>
          <cell r="C28"/>
          <cell r="D28"/>
          <cell r="E28" t="str">
            <v>00790617536</v>
          </cell>
          <cell r="F28" t="str">
            <v>01833984667</v>
          </cell>
          <cell r="G28">
            <v>48603</v>
          </cell>
          <cell r="H28" t="str">
            <v>FALTAM: 2299 DIAS - 75 MESES e 6 ANOS PARA VENCER A CNH</v>
          </cell>
          <cell r="I28" t="str">
            <v>MG20777800</v>
          </cell>
          <cell r="J28"/>
          <cell r="K28"/>
          <cell r="L28"/>
          <cell r="M28"/>
        </row>
        <row r="29">
          <cell r="A29" t="str">
            <v>ERISVELTON SANTOS</v>
          </cell>
          <cell r="B29"/>
          <cell r="C29"/>
          <cell r="D29"/>
          <cell r="E29" t="str">
            <v>00268926506</v>
          </cell>
          <cell r="F29" t="str">
            <v>02939015672</v>
          </cell>
          <cell r="G29">
            <v>48437</v>
          </cell>
          <cell r="H29" t="str">
            <v>FALTAM: 2133 DIAS - 70 MESES e 5 ANOS PARA VENCER A CNH</v>
          </cell>
          <cell r="I29" t="str">
            <v>1559358</v>
          </cell>
          <cell r="J29"/>
          <cell r="K29"/>
          <cell r="L29"/>
          <cell r="M29"/>
        </row>
        <row r="30">
          <cell r="A30" t="str">
            <v>FABIO GONCALVES DOS SANTOS</v>
          </cell>
          <cell r="B30"/>
          <cell r="C30"/>
          <cell r="D30"/>
          <cell r="E30" t="str">
            <v>05537268620</v>
          </cell>
          <cell r="F30" t="str">
            <v>02416214445</v>
          </cell>
          <cell r="G30">
            <v>48840</v>
          </cell>
          <cell r="H30" t="str">
            <v>FALTAM: 2536 DIAS - 83 MESES e 6 ANOS PARA VENCER A CNH</v>
          </cell>
          <cell r="I30" t="str">
            <v>MG10685698</v>
          </cell>
          <cell r="J30"/>
          <cell r="K30"/>
          <cell r="L30"/>
          <cell r="M30"/>
        </row>
        <row r="31">
          <cell r="A31" t="str">
            <v>FABIANO NAUMANN</v>
          </cell>
          <cell r="B31"/>
          <cell r="C31"/>
          <cell r="D31"/>
          <cell r="E31" t="str">
            <v>00973461950</v>
          </cell>
          <cell r="F31" t="str">
            <v>05950387189</v>
          </cell>
          <cell r="G31">
            <v>48402</v>
          </cell>
          <cell r="H31" t="str">
            <v>FALTAM: 2098 DIAS - 68 MESES e 5 ANOS PARA VENCER A CNH</v>
          </cell>
          <cell r="I31" t="str">
            <v>96272332</v>
          </cell>
          <cell r="J31"/>
          <cell r="K31"/>
          <cell r="L31"/>
          <cell r="M31"/>
        </row>
        <row r="32">
          <cell r="A32" t="str">
            <v>FABRICIO SANTIAGO DE SOUZA</v>
          </cell>
          <cell r="B32"/>
          <cell r="C32"/>
          <cell r="D32"/>
          <cell r="E32" t="str">
            <v>04706905699</v>
          </cell>
          <cell r="F32" t="str">
            <v>00724257638</v>
          </cell>
          <cell r="G32">
            <v>48876</v>
          </cell>
          <cell r="H32" t="str">
            <v>FALTAM: 2572 DIAS - 84 MESES e 7 ANOS PARA VENCER A CNH</v>
          </cell>
          <cell r="I32" t="str">
            <v>MG11146850</v>
          </cell>
          <cell r="J32"/>
          <cell r="K32"/>
          <cell r="L32"/>
          <cell r="M32"/>
        </row>
        <row r="33">
          <cell r="A33" t="str">
            <v>FELIPE FERREIRA DO CARMO</v>
          </cell>
          <cell r="B33">
            <v>33883</v>
          </cell>
          <cell r="C33" t="str">
            <v>(31) 98949‑6570</v>
          </cell>
          <cell r="D33"/>
          <cell r="E33" t="str">
            <v>12630927644</v>
          </cell>
          <cell r="F33" t="str">
            <v>06372498592</v>
          </cell>
          <cell r="G33">
            <v>48528</v>
          </cell>
          <cell r="H33" t="str">
            <v>FALTAM: 2224 DIAS - 73 MESES e 6 ANOS PARA VENCER A CNH</v>
          </cell>
          <cell r="I33" t="str">
            <v>MG18331829</v>
          </cell>
          <cell r="J33"/>
          <cell r="K33"/>
          <cell r="L33"/>
          <cell r="M33"/>
        </row>
        <row r="34">
          <cell r="A34" t="str">
            <v>FERNANDO LINO DA SILVA DOS SANTOS</v>
          </cell>
          <cell r="B34">
            <v>25236</v>
          </cell>
          <cell r="C34"/>
          <cell r="D34"/>
          <cell r="E34" t="str">
            <v>07815634885</v>
          </cell>
          <cell r="F34" t="str">
            <v>01732469057</v>
          </cell>
          <cell r="G34">
            <v>46043</v>
          </cell>
          <cell r="H34" t="str">
            <v>VENCIDA A: 261 DIAS</v>
          </cell>
          <cell r="I34">
            <v>223470582</v>
          </cell>
          <cell r="J34"/>
          <cell r="K34"/>
          <cell r="L34"/>
          <cell r="M34"/>
        </row>
        <row r="35">
          <cell r="A35" t="str">
            <v>FLAVIO GOMES DE ALMEIDA</v>
          </cell>
          <cell r="B35"/>
          <cell r="C35"/>
          <cell r="D35"/>
          <cell r="E35" t="str">
            <v>04997728659</v>
          </cell>
          <cell r="F35" t="str">
            <v>02206823712</v>
          </cell>
          <cell r="G35">
            <v>48695</v>
          </cell>
          <cell r="H35" t="str">
            <v>FALTAM: 2391 DIAS - 78 MESES e 6 ANOS PARA VENCER A CNH</v>
          </cell>
          <cell r="I35" t="str">
            <v>MG11640922</v>
          </cell>
          <cell r="J35"/>
          <cell r="K35"/>
          <cell r="L35"/>
          <cell r="M35"/>
        </row>
        <row r="36">
          <cell r="A36" t="str">
            <v>FILIPE FRANCA NASCIMENTO</v>
          </cell>
          <cell r="B36">
            <v>30086</v>
          </cell>
          <cell r="C36" t="str">
            <v>(13) 99717-0515</v>
          </cell>
          <cell r="D36" t="str">
            <v>AGREGADO</v>
          </cell>
          <cell r="E36" t="str">
            <v>30272271810</v>
          </cell>
          <cell r="F36" t="str">
            <v>01434684979</v>
          </cell>
          <cell r="G36">
            <v>49199</v>
          </cell>
          <cell r="H36" t="str">
            <v>FALTAM: 2895 DIAS - 95 MESES e 7 ANOS PARA VENCER A CNH</v>
          </cell>
          <cell r="I36">
            <v>35409418</v>
          </cell>
          <cell r="J36"/>
          <cell r="K36"/>
          <cell r="L36"/>
          <cell r="M36"/>
        </row>
        <row r="37">
          <cell r="A37" t="str">
            <v>FELIPE GUILHERME DE OLIVEIRA</v>
          </cell>
          <cell r="B37"/>
          <cell r="C37"/>
          <cell r="D37"/>
          <cell r="E37" t="str">
            <v>01983779679</v>
          </cell>
          <cell r="F37" t="str">
            <v>07138033595</v>
          </cell>
          <cell r="G37">
            <v>49056</v>
          </cell>
          <cell r="H37" t="str">
            <v>FALTAM: 2752 DIAS - 90 MESES e 7 ANOS PARA VENCER A CNH</v>
          </cell>
          <cell r="I37" t="str">
            <v>19887537</v>
          </cell>
          <cell r="J37"/>
          <cell r="K37"/>
          <cell r="L37"/>
          <cell r="M37"/>
        </row>
        <row r="38">
          <cell r="A38" t="str">
            <v>FREDERICO GERALDINO DE CASTRO OVIDIO</v>
          </cell>
          <cell r="B38">
            <v>27160</v>
          </cell>
          <cell r="C38" t="str">
            <v>(31) 99952-7275</v>
          </cell>
          <cell r="D38"/>
          <cell r="E38" t="str">
            <v>02562272684</v>
          </cell>
          <cell r="F38" t="str">
            <v>04283532430</v>
          </cell>
          <cell r="G38">
            <v>47973</v>
          </cell>
          <cell r="H38" t="str">
            <v>FALTAM: 1669 DIAS - 54 MESES e 4 ANOS PARA VENCER A CNH</v>
          </cell>
          <cell r="I38" t="str">
            <v>M5296028</v>
          </cell>
          <cell r="J38"/>
          <cell r="K38"/>
          <cell r="L38"/>
          <cell r="M38"/>
        </row>
        <row r="39">
          <cell r="A39" t="str">
            <v>GILBERTO JOSE ARROYO VIVENES</v>
          </cell>
          <cell r="B39"/>
          <cell r="C39"/>
          <cell r="D39"/>
          <cell r="E39" t="str">
            <v>70827657200</v>
          </cell>
          <cell r="F39" t="str">
            <v>07493323670</v>
          </cell>
          <cell r="G39">
            <v>49598</v>
          </cell>
          <cell r="H39" t="str">
            <v>FALTAM: 3294 DIAS - 108 MESES e 9 ANOS PARA VENCER A CNH</v>
          </cell>
          <cell r="I39" t="str">
            <v>F235744Y</v>
          </cell>
          <cell r="J39"/>
          <cell r="K39"/>
          <cell r="L39"/>
          <cell r="M39"/>
        </row>
        <row r="40">
          <cell r="A40" t="str">
            <v>GILMAR TURCZINSKI</v>
          </cell>
          <cell r="B40"/>
          <cell r="C40"/>
          <cell r="D40"/>
          <cell r="E40" t="str">
            <v>02440594970</v>
          </cell>
          <cell r="F40" t="str">
            <v>00392724395</v>
          </cell>
          <cell r="G40">
            <v>49589</v>
          </cell>
          <cell r="H40" t="str">
            <v>FALTAM: 3285 DIAS - 107 MESES e 8 ANOS PARA VENCER A CNH</v>
          </cell>
          <cell r="I40" t="str">
            <v>73379393</v>
          </cell>
          <cell r="J40"/>
          <cell r="K40"/>
          <cell r="L40"/>
          <cell r="M40"/>
        </row>
        <row r="41">
          <cell r="A41" t="str">
            <v>GILSON ALVES DA SILVA</v>
          </cell>
          <cell r="B41">
            <v>29212</v>
          </cell>
          <cell r="C41" t="str">
            <v>(31) 99919-1460</v>
          </cell>
          <cell r="D41"/>
          <cell r="E41" t="str">
            <v>05962409612</v>
          </cell>
          <cell r="F41" t="str">
            <v>02555786160</v>
          </cell>
          <cell r="G41">
            <v>48732</v>
          </cell>
          <cell r="H41" t="str">
            <v>FALTAM: 2428 DIAS - 79 MESES e 6 ANOS PARA VENCER A CNH</v>
          </cell>
          <cell r="I41" t="str">
            <v>MG10124259</v>
          </cell>
          <cell r="J41"/>
          <cell r="K41"/>
          <cell r="L41"/>
          <cell r="M41"/>
        </row>
        <row r="42">
          <cell r="A42" t="str">
            <v>GIOVANNI DOS SANTOS GODINHO</v>
          </cell>
          <cell r="B42"/>
          <cell r="C42"/>
          <cell r="D42"/>
          <cell r="E42" t="str">
            <v>03451506602</v>
          </cell>
          <cell r="F42" t="str">
            <v>01792604654</v>
          </cell>
          <cell r="G42">
            <v>48781</v>
          </cell>
          <cell r="H42" t="str">
            <v>FALTAM: 2477 DIAS - 81 MESES e 6 ANOS PARA VENCER A CNH</v>
          </cell>
          <cell r="I42" t="str">
            <v>MG8912213</v>
          </cell>
          <cell r="J42"/>
          <cell r="K42"/>
          <cell r="L42"/>
          <cell r="M42"/>
        </row>
        <row r="43">
          <cell r="A43" t="str">
            <v>GUSTAVO VITOR TEIXEIRA REIS</v>
          </cell>
          <cell r="B43">
            <v>35715</v>
          </cell>
          <cell r="C43" t="str">
            <v>(31) 97581-4955</v>
          </cell>
          <cell r="D43"/>
          <cell r="E43" t="str">
            <v>02068679647</v>
          </cell>
          <cell r="F43" t="str">
            <v>06723743381</v>
          </cell>
          <cell r="G43">
            <v>49085</v>
          </cell>
          <cell r="H43" t="str">
            <v>FALTAM: 2781 DIAS - 91 MESES e 7 ANOS PARA VENCER A CNH</v>
          </cell>
          <cell r="I43" t="str">
            <v>MG19494158</v>
          </cell>
          <cell r="J43"/>
          <cell r="K43"/>
          <cell r="L43"/>
          <cell r="M43"/>
        </row>
        <row r="44">
          <cell r="A44" t="str">
            <v>HERISVALDO DOS SANTOS JUNIOR</v>
          </cell>
          <cell r="B44"/>
          <cell r="C44"/>
          <cell r="D44"/>
          <cell r="E44" t="str">
            <v>05270791544</v>
          </cell>
          <cell r="F44" t="str">
            <v>07092731717</v>
          </cell>
          <cell r="G44">
            <v>48629</v>
          </cell>
          <cell r="H44" t="str">
            <v>FALTAM: 2325 DIAS - 76 MESES e 6 ANOS PARA VENCER A CNH</v>
          </cell>
          <cell r="I44" t="str">
            <v>36715255</v>
          </cell>
          <cell r="J44"/>
          <cell r="K44"/>
          <cell r="L44"/>
          <cell r="M44"/>
        </row>
        <row r="45">
          <cell r="A45" t="str">
            <v>HIGOR DOS ANJOS PEREIRA</v>
          </cell>
          <cell r="B45">
            <v>36298</v>
          </cell>
          <cell r="C45" t="str">
            <v>(37) 99983-6927</v>
          </cell>
          <cell r="D45"/>
          <cell r="E45" t="str">
            <v>14062535610</v>
          </cell>
          <cell r="F45" t="str">
            <v>07316247923</v>
          </cell>
          <cell r="G45">
            <v>48435</v>
          </cell>
          <cell r="H45" t="str">
            <v>FALTAM: 2131 DIAS - 70 MESES e 5 ANOS PARA VENCER A CNH</v>
          </cell>
          <cell r="I45" t="str">
            <v>MG20415396</v>
          </cell>
          <cell r="J45"/>
          <cell r="K45"/>
          <cell r="L45"/>
          <cell r="M45"/>
        </row>
        <row r="46">
          <cell r="A46" t="str">
            <v>HITER LEVI ALVES LIMA</v>
          </cell>
          <cell r="B46">
            <v>28029</v>
          </cell>
          <cell r="C46" t="str">
            <v>(31) 98899-3773</v>
          </cell>
          <cell r="D46"/>
          <cell r="E46" t="str">
            <v>00196234611</v>
          </cell>
          <cell r="F46" t="str">
            <v>01479589093</v>
          </cell>
          <cell r="G46">
            <v>49018</v>
          </cell>
          <cell r="H46" t="str">
            <v>FALTAM: 2714 DIAS - 89 MESES e 7 ANOS PARA VENCER A CNH</v>
          </cell>
          <cell r="I46" t="str">
            <v>MG7556194</v>
          </cell>
          <cell r="J46"/>
          <cell r="K46"/>
          <cell r="L46"/>
          <cell r="M46"/>
        </row>
        <row r="47">
          <cell r="A47" t="str">
            <v>IGOR VENANCIO FREIRE</v>
          </cell>
          <cell r="B47"/>
          <cell r="C47"/>
          <cell r="D47"/>
          <cell r="E47" t="str">
            <v>09327725956</v>
          </cell>
          <cell r="F47" t="str">
            <v>06923123774</v>
          </cell>
          <cell r="G47">
            <v>49317</v>
          </cell>
          <cell r="H47" t="str">
            <v>FALTAM: 3013 DIAS - 98 MESES e 8 ANOS PARA VENCER A CNH</v>
          </cell>
          <cell r="I47" t="str">
            <v>128128220</v>
          </cell>
          <cell r="J47"/>
          <cell r="K47"/>
          <cell r="L47"/>
          <cell r="M47"/>
        </row>
        <row r="48">
          <cell r="A48" t="str">
            <v>ISRAEL ANDERSON COSTA</v>
          </cell>
          <cell r="B48">
            <v>31642</v>
          </cell>
          <cell r="C48" t="str">
            <v>(37) 9107-7752</v>
          </cell>
          <cell r="D48"/>
          <cell r="E48" t="str">
            <v>08122225632</v>
          </cell>
          <cell r="F48" t="str">
            <v>04554227130</v>
          </cell>
          <cell r="G48">
            <v>48048</v>
          </cell>
          <cell r="H48" t="str">
            <v>FALTAM: 1744 DIAS - 57 MESES e 4 ANOS PARA VENCER A CNH</v>
          </cell>
          <cell r="I48" t="str">
            <v>MG15175869</v>
          </cell>
          <cell r="J48"/>
          <cell r="K48"/>
          <cell r="L48"/>
          <cell r="M48"/>
        </row>
        <row r="49">
          <cell r="A49" t="str">
            <v>ISRAEL VIEIRA DA SILVA</v>
          </cell>
          <cell r="B49"/>
          <cell r="C49"/>
          <cell r="D49"/>
          <cell r="E49" t="str">
            <v>95278761687</v>
          </cell>
          <cell r="F49" t="str">
            <v>00585420107</v>
          </cell>
          <cell r="G49">
            <v>47191</v>
          </cell>
          <cell r="H49" t="str">
            <v>FALTAM: 887 DIAS - 29 MESES e 2 ANOS PARA VENCER A CNH</v>
          </cell>
          <cell r="I49" t="str">
            <v>M6151422</v>
          </cell>
          <cell r="J49"/>
          <cell r="K49"/>
          <cell r="L49"/>
          <cell r="M49"/>
        </row>
        <row r="50">
          <cell r="A50" t="str">
            <v>FABRICIO SANTIAGO DE SOUZA</v>
          </cell>
          <cell r="B50">
            <v>29530</v>
          </cell>
          <cell r="C50" t="str">
            <v>(31) 99602-9070</v>
          </cell>
          <cell r="D50"/>
          <cell r="E50" t="str">
            <v>04706905699</v>
          </cell>
          <cell r="F50" t="str">
            <v>00724257638</v>
          </cell>
          <cell r="G50">
            <v>48876</v>
          </cell>
          <cell r="H50" t="str">
            <v>FALTAM: 2572 DIAS - 84 MESES e 7 ANOS PARA VENCER A CNH</v>
          </cell>
          <cell r="I50" t="str">
            <v>MG11146850</v>
          </cell>
          <cell r="J50"/>
          <cell r="K50"/>
          <cell r="L50"/>
          <cell r="M50"/>
        </row>
        <row r="51">
          <cell r="A51" t="str">
            <v>JEFERSON PEREIRA</v>
          </cell>
          <cell r="B51">
            <v>29144</v>
          </cell>
          <cell r="C51" t="str">
            <v>(31) 97128-6858</v>
          </cell>
          <cell r="D51"/>
          <cell r="E51" t="str">
            <v>04184743625</v>
          </cell>
          <cell r="F51" t="str">
            <v>00789676010</v>
          </cell>
          <cell r="G51">
            <v>48143</v>
          </cell>
          <cell r="H51" t="str">
            <v>FALTAM: 1839 DIAS - 60 MESES e 5 ANOS PARA VENCER A CNH</v>
          </cell>
          <cell r="I51">
            <v>300436658</v>
          </cell>
          <cell r="J51"/>
          <cell r="K51"/>
          <cell r="L51"/>
          <cell r="M51"/>
        </row>
        <row r="52">
          <cell r="A52" t="str">
            <v>JOAO BATISTA COELHO</v>
          </cell>
          <cell r="B52"/>
          <cell r="C52"/>
          <cell r="D52"/>
          <cell r="E52" t="str">
            <v>61401820697</v>
          </cell>
          <cell r="F52" t="str">
            <v>00013349300</v>
          </cell>
          <cell r="G52">
            <v>47209</v>
          </cell>
          <cell r="H52" t="str">
            <v>FALTAM: 905 DIAS - 29 MESES e 2 ANOS PARA VENCER A CNH</v>
          </cell>
          <cell r="I52" t="str">
            <v>M2157993</v>
          </cell>
          <cell r="J52"/>
          <cell r="K52"/>
          <cell r="L52"/>
          <cell r="M52"/>
        </row>
        <row r="53">
          <cell r="A53" t="str">
            <v>JOAO BATISTA DOS SANTOS JUNIOR</v>
          </cell>
          <cell r="B53"/>
          <cell r="C53"/>
          <cell r="D53"/>
          <cell r="E53" t="str">
            <v>14539191985</v>
          </cell>
          <cell r="F53" t="str">
            <v>07565559517</v>
          </cell>
          <cell r="G53">
            <v>48826</v>
          </cell>
          <cell r="H53" t="str">
            <v>FALTAM: 2522 DIAS - 82 MESES e 6 ANOS PARA VENCER A CNH</v>
          </cell>
          <cell r="I53" t="str">
            <v>154391754</v>
          </cell>
          <cell r="J53"/>
          <cell r="K53"/>
          <cell r="L53"/>
          <cell r="M53"/>
        </row>
        <row r="54">
          <cell r="A54" t="str">
            <v xml:space="preserve">JOAO VITOR MAGALHAES DA COSTA </v>
          </cell>
          <cell r="B54">
            <v>46017</v>
          </cell>
          <cell r="C54" t="str">
            <v>(31) 95902-0520</v>
          </cell>
          <cell r="D54"/>
          <cell r="E54" t="str">
            <v>02274562628</v>
          </cell>
          <cell r="F54" t="str">
            <v>06912846298</v>
          </cell>
          <cell r="G54">
            <v>49295</v>
          </cell>
          <cell r="H54" t="str">
            <v>FALTAM: 2991 DIAS - 98 MESES e 8 ANOS PARA VENCER A CNH</v>
          </cell>
          <cell r="I54" t="str">
            <v>MG20726318</v>
          </cell>
          <cell r="J54"/>
          <cell r="K54"/>
          <cell r="L54"/>
          <cell r="M54"/>
        </row>
        <row r="55">
          <cell r="A55" t="str">
            <v>JOSE DANJALO DA SILVA</v>
          </cell>
          <cell r="B55">
            <v>29312</v>
          </cell>
          <cell r="C55"/>
          <cell r="D55"/>
          <cell r="E55" t="str">
            <v>01076188427</v>
          </cell>
          <cell r="F55" t="str">
            <v>01464575995</v>
          </cell>
          <cell r="G55">
            <v>48237</v>
          </cell>
          <cell r="H55" t="str">
            <v>FALTAM: 1933 DIAS - 63 MESES e 5 ANOS PARA VENCER A CNH</v>
          </cell>
          <cell r="I55">
            <v>5896099</v>
          </cell>
          <cell r="J55"/>
          <cell r="K55"/>
          <cell r="L55"/>
          <cell r="M55"/>
        </row>
        <row r="56">
          <cell r="A56" t="str">
            <v>JOSE FABIANO DA SILVA</v>
          </cell>
          <cell r="B56"/>
          <cell r="C56"/>
          <cell r="D56"/>
          <cell r="E56" t="str">
            <v>21802517855</v>
          </cell>
          <cell r="F56" t="str">
            <v>02087883847</v>
          </cell>
          <cell r="G56">
            <v>49177</v>
          </cell>
          <cell r="H56" t="str">
            <v>FALTAM: 2873 DIAS - 94 MESES e 7 ANOS PARA VENCER A CNH</v>
          </cell>
          <cell r="I56" t="str">
            <v>34119802</v>
          </cell>
          <cell r="J56"/>
          <cell r="K56"/>
          <cell r="L56"/>
          <cell r="M56"/>
        </row>
        <row r="57">
          <cell r="A57" t="str">
            <v>JUCELINO DE SOUZA DA SILVA</v>
          </cell>
          <cell r="B57"/>
          <cell r="C57"/>
          <cell r="D57"/>
          <cell r="E57" t="str">
            <v>00764951912</v>
          </cell>
          <cell r="F57" t="str">
            <v>02280159051</v>
          </cell>
          <cell r="G57">
            <v>47386</v>
          </cell>
          <cell r="H57" t="str">
            <v>FALTAM: 1082 DIAS - 35 MESES e 2 ANOS PARA VENCER A CNH</v>
          </cell>
          <cell r="I57" t="str">
            <v>001043562</v>
          </cell>
          <cell r="J57"/>
          <cell r="K57"/>
          <cell r="L57"/>
          <cell r="M57"/>
        </row>
        <row r="58">
          <cell r="A58" t="str">
            <v>JULIANO BRAGA BARBOSA</v>
          </cell>
          <cell r="B58">
            <v>28694</v>
          </cell>
          <cell r="C58" t="str">
            <v>(31) 99698-9363</v>
          </cell>
          <cell r="D58"/>
          <cell r="E58" t="str">
            <v>03662548631</v>
          </cell>
          <cell r="F58" t="str">
            <v>01097453681</v>
          </cell>
          <cell r="G58">
            <v>48583</v>
          </cell>
          <cell r="H58" t="str">
            <v>FALTAM: 2279 DIAS - 74 MESES e 6 ANOS PARA VENCER A CNH</v>
          </cell>
          <cell r="I58" t="str">
            <v>MG5829469</v>
          </cell>
          <cell r="J58"/>
          <cell r="K58"/>
          <cell r="L58"/>
          <cell r="M58"/>
        </row>
        <row r="59">
          <cell r="A59" t="str">
            <v>JULIO CESAR DA SILVA</v>
          </cell>
          <cell r="B59">
            <v>30487</v>
          </cell>
          <cell r="C59" t="str">
            <v>(31) 97142-6196</v>
          </cell>
          <cell r="D59"/>
          <cell r="E59" t="str">
            <v>01543775624</v>
          </cell>
          <cell r="F59" t="str">
            <v>03553418400</v>
          </cell>
          <cell r="G59">
            <v>49459</v>
          </cell>
          <cell r="H59" t="str">
            <v>FALTAM: 3155 DIAS - 103 MESES e 8 ANOS PARA VENCER A CNH</v>
          </cell>
          <cell r="I59" t="str">
            <v>MG13553719</v>
          </cell>
          <cell r="J59"/>
          <cell r="K59"/>
          <cell r="L59"/>
          <cell r="M59"/>
        </row>
        <row r="60">
          <cell r="A60" t="str">
            <v>LEONARDO SILVA CORREIA</v>
          </cell>
          <cell r="B60"/>
          <cell r="C60"/>
          <cell r="D60"/>
          <cell r="E60" t="str">
            <v>05123063625</v>
          </cell>
          <cell r="F60" t="str">
            <v>02502418524</v>
          </cell>
          <cell r="G60">
            <v>49562</v>
          </cell>
          <cell r="H60" t="str">
            <v>FALTAM: 3258 DIAS - 107 MESES e 8 ANOS PARA VENCER A CNH</v>
          </cell>
          <cell r="I60" t="str">
            <v>MG11198731</v>
          </cell>
          <cell r="J60"/>
          <cell r="K60"/>
          <cell r="L60"/>
          <cell r="M60"/>
        </row>
        <row r="61">
          <cell r="A61" t="str">
            <v>LEONE HERCULES SALOMAO GUALBERTO ANGELO</v>
          </cell>
          <cell r="B61">
            <v>30446</v>
          </cell>
          <cell r="C61" t="str">
            <v>(31) 99284-8907</v>
          </cell>
          <cell r="D61"/>
          <cell r="E61" t="str">
            <v>05577937698</v>
          </cell>
          <cell r="F61" t="str">
            <v>02190444801</v>
          </cell>
          <cell r="G61">
            <v>49589</v>
          </cell>
          <cell r="H61" t="str">
            <v>FALTAM: 3285 DIAS - 107 MESES e 8 ANOS PARA VENCER A CNH</v>
          </cell>
          <cell r="I61" t="str">
            <v>MG12884503</v>
          </cell>
          <cell r="J61"/>
          <cell r="K61"/>
          <cell r="L61"/>
          <cell r="M61"/>
        </row>
        <row r="62">
          <cell r="A62" t="str">
            <v>LUCIANO ALVES PAIVA</v>
          </cell>
          <cell r="B62">
            <v>33530</v>
          </cell>
          <cell r="C62" t="str">
            <v>(31) 98338-8077</v>
          </cell>
          <cell r="D62"/>
          <cell r="E62" t="str">
            <v>09237314663</v>
          </cell>
          <cell r="F62" t="str">
            <v>04928905610</v>
          </cell>
          <cell r="G62">
            <v>48081</v>
          </cell>
          <cell r="H62" t="str">
            <v>FALTAM: 1777 DIAS - 58 MESES e 4 ANOS PARA VENCER A CNH</v>
          </cell>
          <cell r="I62" t="str">
            <v>MG17287648</v>
          </cell>
          <cell r="J62"/>
          <cell r="K62"/>
          <cell r="L62"/>
          <cell r="M62"/>
        </row>
        <row r="63">
          <cell r="A63" t="str">
            <v>MARCELO COELHO DOS SANTOS</v>
          </cell>
          <cell r="B63">
            <v>25837</v>
          </cell>
          <cell r="C63" t="str">
            <v>(31) 98579-7794</v>
          </cell>
          <cell r="D63" t="str">
            <v>FROTA</v>
          </cell>
          <cell r="E63" t="str">
            <v>76755886653</v>
          </cell>
          <cell r="F63" t="str">
            <v>01437194843</v>
          </cell>
          <cell r="G63">
            <v>47014</v>
          </cell>
          <cell r="H63" t="str">
            <v>FALTAM: 710 DIAS - 23 MESES e 1 ANOS PARA VENCER A CNH</v>
          </cell>
          <cell r="I63" t="str">
            <v>M5097423</v>
          </cell>
          <cell r="J63"/>
          <cell r="K63"/>
          <cell r="L63"/>
          <cell r="M63"/>
        </row>
        <row r="64">
          <cell r="A64" t="str">
            <v>MARCIO ALBINO DOS SANTOS</v>
          </cell>
          <cell r="B64">
            <v>30270</v>
          </cell>
          <cell r="C64" t="str">
            <v>(13) 99132-5037</v>
          </cell>
          <cell r="D64"/>
          <cell r="E64" t="str">
            <v>31528914821</v>
          </cell>
          <cell r="F64" t="str">
            <v>03116456558</v>
          </cell>
          <cell r="G64">
            <v>46759</v>
          </cell>
          <cell r="H64" t="str">
            <v>FALTAM: 455 DIAS - 14 MESES e 1 ANOS PARA VENCER A CNH</v>
          </cell>
          <cell r="I64">
            <v>42464553</v>
          </cell>
          <cell r="J64"/>
          <cell r="K64"/>
          <cell r="L64"/>
          <cell r="M64"/>
        </row>
        <row r="65">
          <cell r="A65" t="str">
            <v>MARCOS REGIANO DE SOUZA</v>
          </cell>
          <cell r="B65"/>
          <cell r="C65"/>
          <cell r="D65"/>
          <cell r="E65" t="str">
            <v>33904656856</v>
          </cell>
          <cell r="F65" t="str">
            <v>03098932795</v>
          </cell>
          <cell r="G65">
            <v>48793</v>
          </cell>
          <cell r="H65" t="str">
            <v>FALTAM: 2489 DIAS - 81 MESES e 6 ANOS PARA VENCER A CNH</v>
          </cell>
          <cell r="I65" t="str">
            <v>46910419</v>
          </cell>
          <cell r="J65"/>
          <cell r="K65"/>
          <cell r="L65"/>
          <cell r="M65"/>
        </row>
        <row r="66">
          <cell r="A66" t="str">
            <v>MARCOS ROBERTO DE SOUZA</v>
          </cell>
          <cell r="B66"/>
          <cell r="C66"/>
          <cell r="D66"/>
          <cell r="E66" t="str">
            <v>02279599902</v>
          </cell>
          <cell r="F66" t="str">
            <v>01537679600</v>
          </cell>
          <cell r="G66">
            <v>48422</v>
          </cell>
          <cell r="H66" t="str">
            <v>FALTAM: 2118 DIAS - 69 MESES e 5 ANOS PARA VENCER A CNH</v>
          </cell>
          <cell r="I66" t="str">
            <v>72443080</v>
          </cell>
          <cell r="J66"/>
          <cell r="K66"/>
          <cell r="L66"/>
          <cell r="M66"/>
        </row>
        <row r="67">
          <cell r="A67" t="str">
            <v>MATHEUS HENRIQUE JOVE GONCALVES CACILDO</v>
          </cell>
          <cell r="B67">
            <v>35662</v>
          </cell>
          <cell r="C67" t="str">
            <v>(37) 99967-3744</v>
          </cell>
          <cell r="D67"/>
          <cell r="E67" t="str">
            <v>11752133650</v>
          </cell>
          <cell r="F67" t="str">
            <v>05693965390</v>
          </cell>
          <cell r="G67">
            <v>48540</v>
          </cell>
          <cell r="H67" t="str">
            <v>FALTAM: 2236 DIAS - 73 MESES e 6 ANOS PARA VENCER A CNH</v>
          </cell>
          <cell r="I67">
            <v>16003161</v>
          </cell>
          <cell r="J67"/>
          <cell r="K67"/>
          <cell r="L67"/>
          <cell r="M67"/>
        </row>
        <row r="68">
          <cell r="A68" t="str">
            <v>MATHEUS VITORIANO GARGANI</v>
          </cell>
          <cell r="B68">
            <v>32713</v>
          </cell>
          <cell r="C68" t="str">
            <v>(31) 98653-9073</v>
          </cell>
          <cell r="D68" t="str">
            <v>FROTA</v>
          </cell>
          <cell r="E68" t="str">
            <v>08297190676</v>
          </cell>
          <cell r="F68" t="str">
            <v>04295046393</v>
          </cell>
          <cell r="G68">
            <v>49009</v>
          </cell>
          <cell r="H68" t="str">
            <v>FALTAM: 2705 DIAS - 88 MESES e 7 ANOS PARA VENCER A CNH</v>
          </cell>
          <cell r="I68" t="str">
            <v>MG15072191</v>
          </cell>
          <cell r="J68"/>
          <cell r="K68"/>
          <cell r="L68"/>
          <cell r="M68"/>
        </row>
        <row r="69">
          <cell r="A69" t="str">
            <v>NEIVISON TOLENTINO DE ALMEIDA</v>
          </cell>
          <cell r="B69">
            <v>29683</v>
          </cell>
          <cell r="C69" t="str">
            <v>(27) 99232-6184</v>
          </cell>
          <cell r="D69"/>
          <cell r="E69" t="str">
            <v>05393994699</v>
          </cell>
          <cell r="F69" t="str">
            <v>01964911580</v>
          </cell>
          <cell r="G69">
            <v>48759</v>
          </cell>
          <cell r="H69" t="str">
            <v>FALTAM: 2455 DIAS - 80 MESES e 6 ANOS PARA VENCER A CNH</v>
          </cell>
          <cell r="I69" t="str">
            <v>MG8980143</v>
          </cell>
          <cell r="J69"/>
          <cell r="K69"/>
          <cell r="L69"/>
          <cell r="M69"/>
        </row>
        <row r="70">
          <cell r="A70" t="str">
            <v>NILO LAMAS DUARTE</v>
          </cell>
          <cell r="B70">
            <v>28745</v>
          </cell>
          <cell r="C70" t="str">
            <v>(13) 99695-9675</v>
          </cell>
          <cell r="D70"/>
          <cell r="E70" t="str">
            <v>27013397822</v>
          </cell>
          <cell r="F70" t="str">
            <v>01256151048</v>
          </cell>
          <cell r="G70">
            <v>49236</v>
          </cell>
          <cell r="H70" t="str">
            <v>FALTAM: 2932 DIAS - 96 MESES e 8 ANOS PARA VENCER A CNH</v>
          </cell>
          <cell r="I70">
            <v>32805439</v>
          </cell>
          <cell r="J70"/>
          <cell r="K70"/>
          <cell r="L70"/>
          <cell r="M70"/>
        </row>
        <row r="71">
          <cell r="A71" t="str">
            <v>PABLO JUNIO MENDES DA SILVA</v>
          </cell>
          <cell r="B71"/>
          <cell r="C71"/>
          <cell r="D71"/>
          <cell r="E71" t="str">
            <v>12840887665</v>
          </cell>
          <cell r="F71" t="str">
            <v>06363603070</v>
          </cell>
          <cell r="G71">
            <v>48148</v>
          </cell>
          <cell r="H71" t="str">
            <v>FALTAM: 1844 DIAS - 60 MESES e 5 ANOS PARA VENCER A CNH</v>
          </cell>
          <cell r="I71" t="str">
            <v>MG18508935</v>
          </cell>
          <cell r="J71"/>
          <cell r="K71"/>
          <cell r="L71"/>
          <cell r="M71"/>
        </row>
        <row r="72">
          <cell r="A72" t="str">
            <v>PAULO HENRIQUE DA COSTA CARVALHO</v>
          </cell>
          <cell r="B72">
            <v>35466</v>
          </cell>
          <cell r="C72" t="str">
            <v>(11) 96846-7085</v>
          </cell>
          <cell r="D72"/>
          <cell r="E72" t="str">
            <v>45913572874</v>
          </cell>
          <cell r="F72" t="str">
            <v>07048557152</v>
          </cell>
          <cell r="G72">
            <v>48856</v>
          </cell>
          <cell r="H72" t="str">
            <v>FALTAM: 2552 DIAS - 83 MESES e 6 ANOS PARA VENCER A CNH</v>
          </cell>
          <cell r="I72" t="str">
            <v>38157461</v>
          </cell>
          <cell r="J72"/>
          <cell r="K72"/>
          <cell r="L72"/>
          <cell r="M72"/>
        </row>
        <row r="73">
          <cell r="A73" t="str">
            <v>PAULO HENRIQUE DE ARAUJO LOPES</v>
          </cell>
          <cell r="B73"/>
          <cell r="C73"/>
          <cell r="D73"/>
          <cell r="E73" t="str">
            <v>66922410220</v>
          </cell>
          <cell r="F73" t="str">
            <v>00492972985</v>
          </cell>
          <cell r="G73">
            <v>48170</v>
          </cell>
          <cell r="H73" t="str">
            <v>FALTAM: 1866 DIAS - 61 MESES e 5 ANOS PARA VENCER A CNH</v>
          </cell>
          <cell r="I73" t="str">
            <v>3611074</v>
          </cell>
          <cell r="J73"/>
          <cell r="K73"/>
          <cell r="L73"/>
          <cell r="M73"/>
        </row>
        <row r="74">
          <cell r="A74" t="str">
            <v>PERCIVAL ROSA COSTA</v>
          </cell>
          <cell r="B74">
            <v>28948</v>
          </cell>
          <cell r="C74" t="str">
            <v>(31) 98829-2373</v>
          </cell>
          <cell r="D74"/>
          <cell r="E74" t="str">
            <v>27407668825</v>
          </cell>
          <cell r="F74" t="str">
            <v>01805183792</v>
          </cell>
          <cell r="G74">
            <v>49385</v>
          </cell>
          <cell r="H74" t="str">
            <v>FALTAM: 3081 DIAS - 101 MESES e 8 ANOS PARA VENCER A CNH</v>
          </cell>
          <cell r="I74" t="str">
            <v>MG10268620</v>
          </cell>
          <cell r="J74"/>
          <cell r="K74"/>
          <cell r="L74"/>
          <cell r="M74"/>
        </row>
        <row r="75">
          <cell r="A75" t="str">
            <v>RAFAEL ARGOLO SILVA</v>
          </cell>
          <cell r="B75"/>
          <cell r="C75"/>
          <cell r="D75"/>
          <cell r="E75" t="str">
            <v>06924327605</v>
          </cell>
          <cell r="F75" t="str">
            <v>02542796974</v>
          </cell>
          <cell r="G75">
            <v>48400</v>
          </cell>
          <cell r="H75" t="str">
            <v>FALTAM: 2096 DIAS - 68 MESES e 5 ANOS PARA VENCER A CNH</v>
          </cell>
          <cell r="I75" t="str">
            <v>MG12061290</v>
          </cell>
          <cell r="J75"/>
          <cell r="K75"/>
          <cell r="L75"/>
          <cell r="M75"/>
        </row>
        <row r="76">
          <cell r="A76" t="str">
            <v>REINALDO DOS SANTOS DULINO</v>
          </cell>
          <cell r="B76">
            <v>31501</v>
          </cell>
          <cell r="C76" t="str">
            <v>(31) 99752-6713</v>
          </cell>
          <cell r="D76"/>
          <cell r="E76" t="str">
            <v>07250641611</v>
          </cell>
          <cell r="F76" t="str">
            <v>04761912338</v>
          </cell>
          <cell r="G76">
            <v>49543</v>
          </cell>
          <cell r="H76" t="str">
            <v>FALTAM: 3239 DIAS - 106 MESES e 8 ANOS PARA VENCER A CNH</v>
          </cell>
          <cell r="I76">
            <v>14525517</v>
          </cell>
          <cell r="J76"/>
          <cell r="K76"/>
          <cell r="L76"/>
          <cell r="M76"/>
        </row>
        <row r="77">
          <cell r="A77" t="str">
            <v>ROBERTO FERREIRA DE SOUZA</v>
          </cell>
          <cell r="B77"/>
          <cell r="C77"/>
          <cell r="D77"/>
          <cell r="E77" t="str">
            <v>53588967672</v>
          </cell>
          <cell r="F77" t="str">
            <v>02918096216</v>
          </cell>
          <cell r="G77">
            <v>47951</v>
          </cell>
          <cell r="H77" t="str">
            <v>FALTAM: 1647 DIAS - 54 MESES e 4 ANOS PARA VENCER A CNH</v>
          </cell>
          <cell r="I77" t="str">
            <v>M4385128</v>
          </cell>
          <cell r="J77"/>
          <cell r="K77"/>
          <cell r="L77"/>
          <cell r="M77"/>
        </row>
        <row r="78">
          <cell r="A78" t="str">
            <v>RODRIGO DOS SANTOS SILVA</v>
          </cell>
          <cell r="B78">
            <v>32258</v>
          </cell>
          <cell r="C78" t="str">
            <v>(37) 99932-8527</v>
          </cell>
          <cell r="D78"/>
          <cell r="E78" t="str">
            <v>08764825663</v>
          </cell>
          <cell r="F78" t="str">
            <v>03966484915</v>
          </cell>
          <cell r="G78">
            <v>49179</v>
          </cell>
          <cell r="H78" t="str">
            <v>FALTAM: 2875 DIAS - 94 MESES e 7 ANOS PARA VENCER A CNH</v>
          </cell>
          <cell r="I78" t="str">
            <v>MG15559668</v>
          </cell>
          <cell r="J78"/>
          <cell r="K78"/>
          <cell r="L78"/>
          <cell r="M78"/>
        </row>
        <row r="79">
          <cell r="A79" t="str">
            <v>RONALDO MAGALHAES DA SILVA</v>
          </cell>
          <cell r="B79">
            <v>27185</v>
          </cell>
          <cell r="C79" t="str">
            <v>(31) 99637-3980</v>
          </cell>
          <cell r="D79"/>
          <cell r="E79" t="str">
            <v>00506067602</v>
          </cell>
          <cell r="F79" t="str">
            <v>01318396607</v>
          </cell>
          <cell r="G79">
            <v>48714</v>
          </cell>
          <cell r="H79" t="str">
            <v>FALTAM: 2410 DIAS - 79 MESES e 6 ANOS PARA VENCER A CNH</v>
          </cell>
          <cell r="I79" t="str">
            <v>M7162191</v>
          </cell>
          <cell r="J79"/>
          <cell r="K79"/>
          <cell r="L79"/>
          <cell r="M79"/>
        </row>
        <row r="80">
          <cell r="A80" t="str">
            <v>ROMERO SEABRA DA PAIXAO</v>
          </cell>
          <cell r="B80"/>
          <cell r="C80"/>
          <cell r="D80"/>
          <cell r="E80" t="str">
            <v>00229429475</v>
          </cell>
          <cell r="F80" t="str">
            <v>00566895934</v>
          </cell>
          <cell r="G80">
            <v>46295</v>
          </cell>
          <cell r="H80" t="str">
            <v>VENCIDA A: 9 DIAS</v>
          </cell>
          <cell r="I80" t="str">
            <v>MG18562857</v>
          </cell>
          <cell r="J80"/>
          <cell r="K80"/>
          <cell r="L80"/>
          <cell r="M80"/>
        </row>
        <row r="81">
          <cell r="A81" t="str">
            <v>ROSIVALDO DE JESUS BISPO</v>
          </cell>
          <cell r="B81">
            <v>29801</v>
          </cell>
          <cell r="C81" t="str">
            <v>(73) 98184-2575</v>
          </cell>
          <cell r="D81"/>
          <cell r="E81" t="str">
            <v>00474024580</v>
          </cell>
          <cell r="F81" t="str">
            <v>04315762807</v>
          </cell>
          <cell r="G81">
            <v>48286</v>
          </cell>
          <cell r="H81" t="str">
            <v>FALTAM: 1982 DIAS - 65 MESES e 5 ANOS PARA VENCER A CNH</v>
          </cell>
          <cell r="I81">
            <v>1122654308</v>
          </cell>
          <cell r="J81"/>
          <cell r="K81"/>
          <cell r="L81"/>
          <cell r="M81"/>
        </row>
        <row r="82">
          <cell r="A82" t="str">
            <v>RUAN AUGUSTO CORREA TEODORO DA SILVA</v>
          </cell>
          <cell r="B82"/>
          <cell r="C82"/>
          <cell r="D82"/>
          <cell r="E82" t="str">
            <v>12195145609</v>
          </cell>
          <cell r="F82" t="str">
            <v>07445593106</v>
          </cell>
          <cell r="G82">
            <v>48612</v>
          </cell>
          <cell r="H82" t="str">
            <v>FALTAM: 2308 DIAS - 75 MESES e 6 ANOS PARA VENCER A CNH</v>
          </cell>
          <cell r="I82" t="str">
            <v>MG18026573</v>
          </cell>
          <cell r="J82"/>
          <cell r="K82"/>
          <cell r="L82"/>
          <cell r="M82"/>
        </row>
        <row r="83">
          <cell r="A83" t="str">
            <v>SAMUEL DE SOUZA RIBEIRO</v>
          </cell>
          <cell r="B83">
            <v>35668</v>
          </cell>
          <cell r="C83" t="str">
            <v>(31) 97166-0292</v>
          </cell>
          <cell r="D83"/>
          <cell r="E83" t="str">
            <v>14632921637</v>
          </cell>
          <cell r="F83" t="str">
            <v>06592074443</v>
          </cell>
          <cell r="G83">
            <v>48380</v>
          </cell>
          <cell r="H83" t="str">
            <v>FALTAM: 2076 DIAS - 68 MESES e 5 ANOS PARA VENCER A CNH</v>
          </cell>
          <cell r="I83" t="str">
            <v>MG20526868</v>
          </cell>
          <cell r="J83"/>
          <cell r="K83"/>
          <cell r="L83"/>
          <cell r="M83"/>
        </row>
        <row r="84">
          <cell r="A84" t="str">
            <v>SEBASTIAO APARECIDO DE MELO</v>
          </cell>
          <cell r="B84">
            <v>23974</v>
          </cell>
          <cell r="C84" t="str">
            <v>(31) 998948020</v>
          </cell>
          <cell r="D84"/>
          <cell r="E84" t="str">
            <v>67915442600</v>
          </cell>
          <cell r="F84" t="str">
            <v>04420508108</v>
          </cell>
          <cell r="G84">
            <v>46965</v>
          </cell>
          <cell r="H84" t="str">
            <v>FALTAM: 661 DIAS - 21 MESES e 1 ANOS PARA VENCER A CNH</v>
          </cell>
          <cell r="I84" t="str">
            <v>MG4951369</v>
          </cell>
          <cell r="J84"/>
          <cell r="K84"/>
          <cell r="L84"/>
          <cell r="M84"/>
        </row>
        <row r="85">
          <cell r="A85" t="str">
            <v>SERGIO DA SILVA FERREIRA</v>
          </cell>
          <cell r="B85">
            <v>30561</v>
          </cell>
          <cell r="C85" t="str">
            <v>(31) 99065-8343</v>
          </cell>
          <cell r="D85"/>
          <cell r="E85" t="str">
            <v>01600561608</v>
          </cell>
          <cell r="F85" t="str">
            <v>04417723538</v>
          </cell>
          <cell r="G85">
            <v>49196</v>
          </cell>
          <cell r="H85" t="str">
            <v>FALTAM: 2892 DIAS - 95 MESES e 7 ANOS PARA VENCER A CNH</v>
          </cell>
          <cell r="I85" t="str">
            <v>MG14603764</v>
          </cell>
          <cell r="J85"/>
          <cell r="K85"/>
          <cell r="L85"/>
          <cell r="M85"/>
        </row>
        <row r="86">
          <cell r="A86" t="str">
            <v>SERGIO GONCALVES FARIA</v>
          </cell>
          <cell r="B86">
            <v>25908</v>
          </cell>
          <cell r="C86" t="str">
            <v>(31) 99368-1271</v>
          </cell>
          <cell r="D86"/>
          <cell r="E86" t="str">
            <v>00504098675</v>
          </cell>
          <cell r="F86" t="str">
            <v>00441790026</v>
          </cell>
          <cell r="G86">
            <v>47321</v>
          </cell>
          <cell r="H86" t="str">
            <v>FALTAM: 1017 DIAS - 33 MESES e 2 ANOS PARA VENCER A CNH</v>
          </cell>
          <cell r="I86" t="str">
            <v>MG5520096</v>
          </cell>
          <cell r="J86"/>
          <cell r="K86"/>
          <cell r="L86"/>
          <cell r="M86"/>
        </row>
        <row r="87">
          <cell r="A87" t="str">
            <v>SILVANIL BARROS ANDRADE</v>
          </cell>
          <cell r="B87"/>
          <cell r="C87" t="str">
            <v>(41) 987438313</v>
          </cell>
          <cell r="D87"/>
          <cell r="E87" t="str">
            <v>93728395234</v>
          </cell>
          <cell r="F87" t="str">
            <v>04197319957</v>
          </cell>
          <cell r="G87">
            <v>46418</v>
          </cell>
          <cell r="H87" t="str">
            <v>FALTAM: 114 DIAS - 3 MESES e 0 ANOS PARA VENCER A CNH</v>
          </cell>
          <cell r="I87" t="str">
            <v>239499</v>
          </cell>
          <cell r="J87"/>
          <cell r="K87"/>
          <cell r="L87"/>
          <cell r="M87"/>
        </row>
        <row r="88">
          <cell r="A88" t="str">
            <v>SILVIO DE CASTRO ROCHA</v>
          </cell>
          <cell r="B88">
            <v>29706</v>
          </cell>
          <cell r="C88"/>
          <cell r="D88"/>
          <cell r="E88" t="str">
            <v>06228654632</v>
          </cell>
          <cell r="F88" t="str">
            <v>02876848723</v>
          </cell>
          <cell r="G88">
            <v>48753</v>
          </cell>
          <cell r="H88" t="str">
            <v>FALTAM: 2449 DIAS - 80 MESES e 6 ANOS PARA VENCER A CNH</v>
          </cell>
          <cell r="I88" t="str">
            <v>MG7787605</v>
          </cell>
          <cell r="J88"/>
          <cell r="K88"/>
          <cell r="L88"/>
          <cell r="M88"/>
        </row>
        <row r="89">
          <cell r="A89" t="str">
            <v>TIAGO ALVARENGA MAGALHAES</v>
          </cell>
          <cell r="B89">
            <v>37572</v>
          </cell>
          <cell r="C89" t="str">
            <v>(31) 97561-2920</v>
          </cell>
          <cell r="D89"/>
          <cell r="E89" t="str">
            <v>02269172663</v>
          </cell>
          <cell r="F89" t="str">
            <v>07564608667</v>
          </cell>
          <cell r="G89">
            <v>48914</v>
          </cell>
          <cell r="H89" t="str">
            <v>FALTAM: 2610 DIAS - 85 MESES e 7 ANOS PARA VENCER A CNH</v>
          </cell>
          <cell r="I89" t="str">
            <v>MG20711361</v>
          </cell>
          <cell r="J89"/>
          <cell r="K89"/>
          <cell r="L89"/>
          <cell r="M89"/>
        </row>
        <row r="90">
          <cell r="A90" t="str">
            <v>TULIO GUSTAVO BATISTA MOTA</v>
          </cell>
          <cell r="B90">
            <v>32197</v>
          </cell>
          <cell r="C90" t="str">
            <v>(11) 91434-0227</v>
          </cell>
          <cell r="D90"/>
          <cell r="E90" t="str">
            <v>09498697671</v>
          </cell>
          <cell r="F90" t="str">
            <v>03850053540</v>
          </cell>
          <cell r="G90">
            <v>46085</v>
          </cell>
          <cell r="H90" t="str">
            <v>VENCIDA A: 219 DIAS</v>
          </cell>
          <cell r="I90" t="str">
            <v>MG15619608</v>
          </cell>
          <cell r="J90"/>
          <cell r="K90"/>
          <cell r="L90"/>
          <cell r="M90"/>
        </row>
        <row r="91">
          <cell r="A91" t="str">
            <v>OUDAIR JOSE MAGALHAES DA SILVA</v>
          </cell>
          <cell r="B91"/>
          <cell r="C91"/>
          <cell r="D91"/>
          <cell r="E91" t="str">
            <v>99986671604</v>
          </cell>
          <cell r="F91" t="str">
            <v>02715448850</v>
          </cell>
          <cell r="G91">
            <v>47213</v>
          </cell>
          <cell r="H91" t="str">
            <v>FALTAM: 909 DIAS - 29 MESES e 2 ANOS PARA VENCER A CNH</v>
          </cell>
          <cell r="I91" t="str">
            <v>M6689256</v>
          </cell>
          <cell r="J91"/>
          <cell r="K91"/>
          <cell r="L91"/>
          <cell r="M91"/>
        </row>
        <row r="92">
          <cell r="A92" t="str">
            <v>UEDER COELHO</v>
          </cell>
          <cell r="B92">
            <v>27275</v>
          </cell>
          <cell r="C92" t="str">
            <v>(31) 97546-7330</v>
          </cell>
          <cell r="D92"/>
          <cell r="E92" t="str">
            <v>00961801611</v>
          </cell>
          <cell r="F92" t="str">
            <v>01967857381</v>
          </cell>
          <cell r="G92">
            <v>48020</v>
          </cell>
          <cell r="H92" t="str">
            <v>FALTAM: 1716 DIAS - 56 MESES e 4 ANOS PARA VENCER A CNH</v>
          </cell>
          <cell r="I92" t="str">
            <v>M6089495</v>
          </cell>
          <cell r="J92"/>
          <cell r="K92"/>
          <cell r="L92"/>
          <cell r="M92"/>
        </row>
        <row r="93">
          <cell r="A93" t="str">
            <v>VALMOR DO CARMO MENDES</v>
          </cell>
          <cell r="B93"/>
          <cell r="C93"/>
          <cell r="D93"/>
          <cell r="E93" t="str">
            <v>04869004950</v>
          </cell>
          <cell r="F93" t="str">
            <v>02758747681</v>
          </cell>
          <cell r="G93">
            <v>45910</v>
          </cell>
          <cell r="H93" t="str">
            <v>VENCIDA A: 394 DIAS</v>
          </cell>
          <cell r="I93" t="str">
            <v>9497916</v>
          </cell>
          <cell r="J93"/>
          <cell r="K93"/>
          <cell r="L93"/>
          <cell r="M93"/>
        </row>
        <row r="94">
          <cell r="A94" t="str">
            <v>VINICIUS DE MELO DUTRA</v>
          </cell>
          <cell r="B94">
            <v>31839</v>
          </cell>
          <cell r="C94" t="str">
            <v>(31) 99778-5693</v>
          </cell>
          <cell r="D94"/>
          <cell r="E94" t="str">
            <v>08850999666</v>
          </cell>
          <cell r="F94" t="str">
            <v>04295730194</v>
          </cell>
          <cell r="G94">
            <v>48282</v>
          </cell>
          <cell r="H94" t="str">
            <v>FALTAM: 1978 DIAS - 65 MESES e 5 ANOS PARA VENCER A CNH</v>
          </cell>
          <cell r="I94" t="str">
            <v>MG14738125</v>
          </cell>
          <cell r="J94"/>
          <cell r="K94"/>
          <cell r="L94"/>
          <cell r="M94"/>
        </row>
        <row r="95">
          <cell r="A95" t="str">
            <v>WALDEMAR MAGELA ALVES</v>
          </cell>
          <cell r="B95">
            <v>46143</v>
          </cell>
          <cell r="C95" t="str">
            <v>(31) 99454-6215</v>
          </cell>
          <cell r="D95"/>
          <cell r="E95" t="str">
            <v>85334065687</v>
          </cell>
          <cell r="F95" t="str">
            <v>00927560825</v>
          </cell>
          <cell r="G95">
            <v>46169</v>
          </cell>
          <cell r="H95" t="str">
            <v>VENCIDA A: 135 DIAS</v>
          </cell>
          <cell r="I95" t="str">
            <v>M4681869</v>
          </cell>
          <cell r="J95"/>
          <cell r="K95"/>
          <cell r="L95"/>
          <cell r="M95"/>
        </row>
        <row r="96">
          <cell r="A96" t="str">
            <v>WALLISSON TAMIETTI DE SIQUEIRA</v>
          </cell>
          <cell r="B96"/>
          <cell r="C96"/>
          <cell r="D96"/>
          <cell r="E96" t="str">
            <v>03739816600</v>
          </cell>
          <cell r="F96" t="str">
            <v>01844879030</v>
          </cell>
          <cell r="G96">
            <v>48578</v>
          </cell>
          <cell r="H96" t="str">
            <v>FALTAM: 2274 DIAS - 74 MESES e 6 ANOS PARA VENCER A CNH</v>
          </cell>
          <cell r="I96" t="str">
            <v>M7693913</v>
          </cell>
          <cell r="J96"/>
          <cell r="K96"/>
          <cell r="L96"/>
          <cell r="M96"/>
        </row>
        <row r="97">
          <cell r="A97" t="str">
            <v>WANDERSON EDUARDO MENDONCA</v>
          </cell>
          <cell r="B97"/>
          <cell r="C97"/>
          <cell r="D97"/>
          <cell r="E97" t="str">
            <v>17034287651</v>
          </cell>
          <cell r="F97" t="str">
            <v>07409485585</v>
          </cell>
          <cell r="G97">
            <v>49616</v>
          </cell>
          <cell r="H97" t="str">
            <v>FALTAM: 3312 DIAS - 108 MESES e 9 ANOS PARA VENCER A CNH</v>
          </cell>
          <cell r="I97" t="str">
            <v>MG22914502</v>
          </cell>
          <cell r="J97"/>
          <cell r="K97"/>
          <cell r="L97"/>
          <cell r="M97"/>
        </row>
        <row r="98">
          <cell r="A98" t="str">
            <v>WANDERSON ROGERIO SALEME DOS SANTOS</v>
          </cell>
          <cell r="B98">
            <v>32918</v>
          </cell>
          <cell r="C98" t="str">
            <v>(31) 99967-5860</v>
          </cell>
          <cell r="D98"/>
          <cell r="E98" t="str">
            <v>10246777613</v>
          </cell>
          <cell r="F98" t="str">
            <v>05051954249</v>
          </cell>
          <cell r="G98">
            <v>45985</v>
          </cell>
          <cell r="H98" t="str">
            <v>VENCIDA A: 319 DIAS</v>
          </cell>
          <cell r="I98" t="str">
            <v>MG16827221</v>
          </cell>
          <cell r="J98"/>
          <cell r="K98"/>
          <cell r="L98"/>
          <cell r="M98"/>
        </row>
        <row r="99">
          <cell r="A99" t="str">
            <v>WANDERSON XAVIER DE SOUZA</v>
          </cell>
          <cell r="B99">
            <v>30211</v>
          </cell>
          <cell r="C99" t="str">
            <v>(31) 99208-2095</v>
          </cell>
          <cell r="D99"/>
          <cell r="E99" t="str">
            <v>05607642607</v>
          </cell>
          <cell r="F99" t="str">
            <v>02288458774</v>
          </cell>
          <cell r="G99">
            <v>48861</v>
          </cell>
          <cell r="H99" t="str">
            <v>FALTAM: 2557 DIAS - 84 MESES e 7 ANOS PARA VENCER A CNH</v>
          </cell>
          <cell r="I99" t="str">
            <v>M12017590</v>
          </cell>
          <cell r="J99"/>
          <cell r="K99"/>
          <cell r="L99"/>
          <cell r="M99"/>
        </row>
        <row r="100">
          <cell r="A100" t="str">
            <v>WARLEY DOMINGOS DE SOUZA</v>
          </cell>
          <cell r="B100">
            <v>32010</v>
          </cell>
          <cell r="C100" t="str">
            <v>(31) 99944-8956</v>
          </cell>
          <cell r="D100"/>
          <cell r="E100" t="str">
            <v>07921982638</v>
          </cell>
          <cell r="F100" t="str">
            <v>03731113002</v>
          </cell>
          <cell r="G100">
            <v>48850</v>
          </cell>
          <cell r="H100" t="str">
            <v>FALTAM: 2546 DIAS - 83 MESES e 6 ANOS PARA VENCER A CNH</v>
          </cell>
          <cell r="I100" t="str">
            <v>MG8199967</v>
          </cell>
          <cell r="J100"/>
          <cell r="K100"/>
          <cell r="L100"/>
          <cell r="M100"/>
        </row>
        <row r="101">
          <cell r="A101" t="str">
            <v>WILLIAM DA SILVA</v>
          </cell>
          <cell r="B101">
            <v>29910</v>
          </cell>
          <cell r="C101" t="str">
            <v>(31) 99310-2488</v>
          </cell>
          <cell r="D101"/>
          <cell r="E101" t="str">
            <v>05525426609</v>
          </cell>
          <cell r="F101" t="str">
            <v>03738561390</v>
          </cell>
          <cell r="G101">
            <v>48540</v>
          </cell>
          <cell r="H101" t="str">
            <v>FALTAM: 2236 DIAS - 73 MESES e 6 ANOS PARA VENCER A CNH</v>
          </cell>
          <cell r="I101">
            <v>11942203</v>
          </cell>
          <cell r="J101"/>
          <cell r="K101"/>
          <cell r="L101"/>
          <cell r="M101"/>
        </row>
        <row r="102">
          <cell r="A102" t="str">
            <v>WILLIAN PORTELA DE SOUZA</v>
          </cell>
          <cell r="B102"/>
          <cell r="C102"/>
          <cell r="D102"/>
          <cell r="E102" t="str">
            <v>10127896910</v>
          </cell>
          <cell r="F102" t="str">
            <v>06718628024</v>
          </cell>
          <cell r="G102">
            <v>49560</v>
          </cell>
          <cell r="H102" t="str">
            <v>FALTAM: 3256 DIAS - 106 MESES e 8 ANOS PARA VENCER A CNH</v>
          </cell>
          <cell r="I102" t="str">
            <v>6299375</v>
          </cell>
          <cell r="J102"/>
          <cell r="K102"/>
          <cell r="L102"/>
          <cell r="M102"/>
        </row>
        <row r="103">
          <cell r="A103"/>
          <cell r="B103"/>
          <cell r="C103"/>
          <cell r="D103"/>
          <cell r="E103"/>
          <cell r="F103"/>
          <cell r="G103"/>
          <cell r="H103" t="str">
            <v/>
          </cell>
          <cell r="I103"/>
          <cell r="J103"/>
          <cell r="K103"/>
          <cell r="L103"/>
          <cell r="M103"/>
        </row>
        <row r="104">
          <cell r="A104"/>
          <cell r="B104"/>
          <cell r="C104"/>
          <cell r="D104"/>
          <cell r="E104"/>
          <cell r="F104"/>
          <cell r="G104"/>
          <cell r="H104" t="str">
            <v/>
          </cell>
          <cell r="I104"/>
          <cell r="J104"/>
          <cell r="K104"/>
          <cell r="L104"/>
          <cell r="M104"/>
        </row>
        <row r="105">
          <cell r="A105"/>
          <cell r="B105"/>
          <cell r="C105"/>
          <cell r="D105"/>
          <cell r="E105"/>
          <cell r="F105"/>
          <cell r="G105"/>
          <cell r="H105" t="str">
            <v/>
          </cell>
          <cell r="I105"/>
          <cell r="J105"/>
          <cell r="K105"/>
          <cell r="L105"/>
          <cell r="M105"/>
        </row>
        <row r="106">
          <cell r="A106"/>
          <cell r="B106"/>
          <cell r="C106"/>
          <cell r="D106"/>
          <cell r="E106"/>
          <cell r="F106"/>
          <cell r="G106"/>
          <cell r="H106" t="str">
            <v/>
          </cell>
          <cell r="I106"/>
          <cell r="J106"/>
          <cell r="K106"/>
          <cell r="L106"/>
          <cell r="M106"/>
        </row>
        <row r="107">
          <cell r="A107"/>
          <cell r="B107"/>
          <cell r="C107"/>
          <cell r="D107"/>
          <cell r="E107"/>
          <cell r="F107"/>
          <cell r="G107"/>
          <cell r="H107" t="str">
            <v/>
          </cell>
          <cell r="I107"/>
          <cell r="J107"/>
          <cell r="K107"/>
          <cell r="L107"/>
          <cell r="M107"/>
        </row>
        <row r="108">
          <cell r="A108"/>
          <cell r="B108"/>
          <cell r="C108"/>
          <cell r="D108"/>
          <cell r="E108"/>
          <cell r="F108"/>
          <cell r="G108"/>
          <cell r="H108" t="str">
            <v/>
          </cell>
          <cell r="I108"/>
          <cell r="J108"/>
          <cell r="K108"/>
          <cell r="L108"/>
          <cell r="M108"/>
        </row>
        <row r="109">
          <cell r="A109"/>
          <cell r="B109"/>
          <cell r="C109"/>
          <cell r="D109"/>
          <cell r="E109"/>
          <cell r="F109"/>
          <cell r="G109"/>
          <cell r="H109" t="str">
            <v/>
          </cell>
          <cell r="I109"/>
          <cell r="J109"/>
          <cell r="K109"/>
          <cell r="L109"/>
          <cell r="M109"/>
        </row>
        <row r="110">
          <cell r="A110"/>
          <cell r="B110"/>
          <cell r="C110"/>
          <cell r="D110"/>
          <cell r="E110"/>
          <cell r="F110"/>
          <cell r="G110"/>
          <cell r="H110" t="str">
            <v/>
          </cell>
          <cell r="I110"/>
          <cell r="J110"/>
          <cell r="K110"/>
          <cell r="L110"/>
          <cell r="M110"/>
        </row>
        <row r="111">
          <cell r="A111"/>
          <cell r="B111"/>
          <cell r="C111"/>
          <cell r="D111"/>
          <cell r="E111"/>
          <cell r="F111"/>
          <cell r="G111"/>
          <cell r="H111" t="str">
            <v/>
          </cell>
          <cell r="I111"/>
          <cell r="J111"/>
          <cell r="K111"/>
          <cell r="L111"/>
          <cell r="M111"/>
        </row>
        <row r="112">
          <cell r="A112"/>
          <cell r="B112"/>
          <cell r="C112"/>
          <cell r="D112"/>
          <cell r="E112"/>
          <cell r="F112"/>
          <cell r="G112"/>
          <cell r="H112" t="str">
            <v/>
          </cell>
          <cell r="I112"/>
          <cell r="J112"/>
          <cell r="K112"/>
          <cell r="L112"/>
          <cell r="M112"/>
        </row>
        <row r="113">
          <cell r="A113"/>
          <cell r="B113"/>
          <cell r="C113"/>
          <cell r="D113"/>
          <cell r="E113"/>
          <cell r="F113"/>
          <cell r="G113"/>
          <cell r="H113" t="str">
            <v/>
          </cell>
          <cell r="I113"/>
          <cell r="J113"/>
          <cell r="K113"/>
          <cell r="L113"/>
          <cell r="M113"/>
        </row>
        <row r="114">
          <cell r="A114"/>
          <cell r="B114"/>
          <cell r="C114"/>
          <cell r="D114"/>
          <cell r="E114"/>
          <cell r="F114"/>
          <cell r="G114"/>
          <cell r="H114" t="str">
            <v/>
          </cell>
          <cell r="I114"/>
          <cell r="J114"/>
          <cell r="K114"/>
          <cell r="L114"/>
          <cell r="M114"/>
        </row>
        <row r="115">
          <cell r="A115"/>
          <cell r="B115"/>
          <cell r="C115"/>
          <cell r="D115"/>
          <cell r="E115"/>
          <cell r="F115"/>
          <cell r="G115"/>
          <cell r="H115" t="str">
            <v/>
          </cell>
          <cell r="I115"/>
          <cell r="J115"/>
          <cell r="K115"/>
          <cell r="L115"/>
          <cell r="M115"/>
        </row>
        <row r="116">
          <cell r="A116"/>
          <cell r="B116"/>
          <cell r="C116"/>
          <cell r="D116"/>
          <cell r="E116"/>
          <cell r="F116"/>
          <cell r="G116"/>
          <cell r="H116" t="str">
            <v/>
          </cell>
          <cell r="I116"/>
          <cell r="J116"/>
          <cell r="K116"/>
          <cell r="L116"/>
          <cell r="M116"/>
        </row>
        <row r="117">
          <cell r="A117"/>
          <cell r="B117"/>
          <cell r="C117"/>
          <cell r="D117"/>
          <cell r="E117"/>
          <cell r="F117"/>
          <cell r="G117"/>
          <cell r="H117" t="str">
            <v/>
          </cell>
          <cell r="I117"/>
          <cell r="J117"/>
          <cell r="K117"/>
          <cell r="L117"/>
          <cell r="M117"/>
        </row>
        <row r="118">
          <cell r="A118"/>
          <cell r="B118"/>
          <cell r="C118"/>
          <cell r="D118"/>
          <cell r="E118"/>
          <cell r="F118"/>
          <cell r="G118"/>
          <cell r="H118" t="str">
            <v/>
          </cell>
          <cell r="I118"/>
          <cell r="J118"/>
          <cell r="K118"/>
          <cell r="L118"/>
          <cell r="M118"/>
        </row>
        <row r="119">
          <cell r="A119"/>
          <cell r="B119"/>
          <cell r="C119"/>
          <cell r="D119"/>
          <cell r="E119"/>
          <cell r="F119"/>
          <cell r="G119"/>
          <cell r="H119" t="str">
            <v/>
          </cell>
          <cell r="I119"/>
          <cell r="J119"/>
          <cell r="K119"/>
          <cell r="L119"/>
          <cell r="M119"/>
        </row>
        <row r="120">
          <cell r="A120"/>
          <cell r="B120"/>
          <cell r="C120"/>
          <cell r="D120"/>
          <cell r="E120"/>
          <cell r="F120"/>
          <cell r="G120"/>
          <cell r="H120" t="str">
            <v/>
          </cell>
          <cell r="I120"/>
          <cell r="J120"/>
          <cell r="K120"/>
          <cell r="L120"/>
          <cell r="M120"/>
        </row>
        <row r="121">
          <cell r="A121"/>
          <cell r="B121"/>
          <cell r="C121"/>
          <cell r="D121"/>
          <cell r="E121"/>
          <cell r="F121"/>
          <cell r="G121"/>
          <cell r="H121" t="str">
            <v/>
          </cell>
          <cell r="I121"/>
          <cell r="J121"/>
          <cell r="K121"/>
          <cell r="L121"/>
          <cell r="M121"/>
        </row>
        <row r="122">
          <cell r="A122"/>
          <cell r="B122"/>
          <cell r="C122"/>
          <cell r="D122"/>
          <cell r="E122"/>
          <cell r="F122"/>
          <cell r="G122"/>
          <cell r="H122" t="str">
            <v/>
          </cell>
          <cell r="I122"/>
          <cell r="J122"/>
          <cell r="K122"/>
          <cell r="L122"/>
          <cell r="M122"/>
        </row>
        <row r="123">
          <cell r="A123"/>
          <cell r="B123"/>
          <cell r="C123"/>
          <cell r="D123"/>
          <cell r="E123"/>
          <cell r="F123"/>
          <cell r="G123"/>
          <cell r="H123" t="str">
            <v/>
          </cell>
          <cell r="I123"/>
          <cell r="J123"/>
          <cell r="K123"/>
          <cell r="L123"/>
          <cell r="M123"/>
        </row>
        <row r="124">
          <cell r="A124"/>
          <cell r="B124"/>
          <cell r="C124"/>
          <cell r="D124"/>
          <cell r="E124"/>
          <cell r="F124"/>
          <cell r="G124"/>
          <cell r="H124" t="str">
            <v/>
          </cell>
          <cell r="I124"/>
          <cell r="J124"/>
          <cell r="K124"/>
          <cell r="L124"/>
          <cell r="M124"/>
        </row>
        <row r="125">
          <cell r="A125"/>
          <cell r="B125"/>
          <cell r="C125"/>
          <cell r="D125"/>
          <cell r="E125"/>
          <cell r="F125"/>
          <cell r="G125"/>
          <cell r="H125" t="str">
            <v/>
          </cell>
          <cell r="I125"/>
          <cell r="J125"/>
          <cell r="K125"/>
          <cell r="L125"/>
          <cell r="M125"/>
        </row>
        <row r="126">
          <cell r="A126"/>
          <cell r="B126"/>
          <cell r="C126"/>
          <cell r="D126"/>
          <cell r="E126"/>
          <cell r="F126"/>
          <cell r="G126"/>
          <cell r="H126" t="str">
            <v/>
          </cell>
          <cell r="I126"/>
          <cell r="J126"/>
          <cell r="K126"/>
          <cell r="L126"/>
          <cell r="M126"/>
        </row>
        <row r="127">
          <cell r="A127"/>
          <cell r="B127"/>
          <cell r="C127"/>
          <cell r="D127"/>
          <cell r="E127"/>
          <cell r="F127"/>
          <cell r="G127"/>
          <cell r="H127" t="str">
            <v/>
          </cell>
          <cell r="I127"/>
          <cell r="J127"/>
          <cell r="K127"/>
          <cell r="L127"/>
          <cell r="M127"/>
        </row>
        <row r="128">
          <cell r="A128"/>
          <cell r="B128"/>
          <cell r="C128"/>
          <cell r="D128"/>
          <cell r="E128"/>
          <cell r="F128"/>
          <cell r="G128"/>
          <cell r="H128" t="str">
            <v/>
          </cell>
          <cell r="I128"/>
          <cell r="J128"/>
          <cell r="K128"/>
          <cell r="L128"/>
          <cell r="M128"/>
        </row>
        <row r="129">
          <cell r="A129"/>
          <cell r="B129"/>
          <cell r="C129"/>
          <cell r="D129"/>
          <cell r="E129"/>
          <cell r="F129"/>
          <cell r="G129"/>
          <cell r="H129" t="str">
            <v/>
          </cell>
          <cell r="I129"/>
          <cell r="J129"/>
          <cell r="K129"/>
          <cell r="L129"/>
          <cell r="M129"/>
        </row>
        <row r="130">
          <cell r="A130"/>
          <cell r="B130"/>
          <cell r="C130"/>
          <cell r="D130"/>
          <cell r="E130"/>
          <cell r="F130"/>
          <cell r="G130"/>
          <cell r="H130" t="str">
            <v/>
          </cell>
          <cell r="I130"/>
          <cell r="J130"/>
          <cell r="K130"/>
          <cell r="L130"/>
          <cell r="M130"/>
        </row>
        <row r="131">
          <cell r="A131"/>
          <cell r="B131"/>
          <cell r="C131"/>
          <cell r="D131"/>
          <cell r="E131"/>
          <cell r="F131"/>
          <cell r="G131"/>
          <cell r="H131" t="str">
            <v/>
          </cell>
          <cell r="I131"/>
          <cell r="J131"/>
          <cell r="K131"/>
          <cell r="L131"/>
          <cell r="M131"/>
        </row>
        <row r="132">
          <cell r="A132"/>
          <cell r="B132"/>
          <cell r="C132"/>
          <cell r="D132"/>
          <cell r="E132"/>
          <cell r="F132"/>
          <cell r="G132"/>
          <cell r="H132" t="str">
            <v/>
          </cell>
          <cell r="I132"/>
          <cell r="J132"/>
          <cell r="K132"/>
          <cell r="L132"/>
          <cell r="M132"/>
        </row>
        <row r="133">
          <cell r="A133"/>
          <cell r="B133"/>
          <cell r="C133"/>
          <cell r="D133"/>
          <cell r="E133"/>
          <cell r="F133"/>
          <cell r="G133"/>
          <cell r="H133" t="str">
            <v/>
          </cell>
          <cell r="I133"/>
          <cell r="J133"/>
          <cell r="K133"/>
          <cell r="L133"/>
          <cell r="M133"/>
        </row>
        <row r="134">
          <cell r="A134"/>
          <cell r="B134"/>
          <cell r="C134"/>
          <cell r="D134"/>
          <cell r="E134"/>
          <cell r="F134"/>
          <cell r="G134"/>
          <cell r="H134" t="str">
            <v/>
          </cell>
          <cell r="I134"/>
          <cell r="J134"/>
          <cell r="K134"/>
          <cell r="L134"/>
          <cell r="M134"/>
        </row>
        <row r="135">
          <cell r="A135"/>
          <cell r="B135"/>
          <cell r="C135"/>
          <cell r="D135"/>
          <cell r="E135"/>
          <cell r="F135"/>
          <cell r="G135"/>
          <cell r="H135" t="str">
            <v/>
          </cell>
          <cell r="I135"/>
          <cell r="J135"/>
          <cell r="K135"/>
          <cell r="L135"/>
          <cell r="M135"/>
        </row>
        <row r="136">
          <cell r="A136"/>
          <cell r="B136"/>
          <cell r="C136"/>
          <cell r="D136"/>
          <cell r="E136"/>
          <cell r="F136"/>
          <cell r="G136"/>
          <cell r="H136" t="str">
            <v/>
          </cell>
          <cell r="I136"/>
          <cell r="J136"/>
          <cell r="K136"/>
          <cell r="L136"/>
          <cell r="M136"/>
        </row>
        <row r="137">
          <cell r="A137"/>
          <cell r="B137"/>
          <cell r="C137"/>
          <cell r="D137"/>
          <cell r="E137"/>
          <cell r="F137"/>
          <cell r="G137"/>
          <cell r="H137" t="str">
            <v/>
          </cell>
          <cell r="I137"/>
          <cell r="J137"/>
          <cell r="K137"/>
          <cell r="L137"/>
          <cell r="M137"/>
        </row>
        <row r="138">
          <cell r="A138"/>
          <cell r="B138"/>
          <cell r="C138"/>
          <cell r="D138"/>
          <cell r="E138"/>
          <cell r="F138"/>
          <cell r="G138"/>
          <cell r="H138" t="str">
            <v/>
          </cell>
          <cell r="I138"/>
          <cell r="J138"/>
          <cell r="K138"/>
          <cell r="L138"/>
          <cell r="M138"/>
        </row>
        <row r="139">
          <cell r="A139"/>
          <cell r="B139"/>
          <cell r="C139"/>
          <cell r="D139"/>
          <cell r="E139"/>
          <cell r="F139"/>
          <cell r="G139"/>
          <cell r="H139" t="str">
            <v/>
          </cell>
          <cell r="I139"/>
          <cell r="J139"/>
          <cell r="K139"/>
          <cell r="L139"/>
          <cell r="M139"/>
        </row>
        <row r="140">
          <cell r="A140"/>
          <cell r="B140"/>
          <cell r="C140"/>
          <cell r="D140"/>
          <cell r="E140"/>
          <cell r="F140"/>
          <cell r="G140"/>
          <cell r="H140" t="str">
            <v/>
          </cell>
          <cell r="I140"/>
          <cell r="J140"/>
          <cell r="K140"/>
          <cell r="L140"/>
          <cell r="M140"/>
        </row>
        <row r="141">
          <cell r="A141"/>
          <cell r="B141"/>
          <cell r="C141"/>
          <cell r="D141"/>
          <cell r="E141"/>
          <cell r="F141"/>
          <cell r="G141"/>
          <cell r="H141" t="str">
            <v/>
          </cell>
          <cell r="I141"/>
          <cell r="J141"/>
          <cell r="K141"/>
          <cell r="L141"/>
          <cell r="M141"/>
        </row>
        <row r="142">
          <cell r="A142"/>
          <cell r="B142"/>
          <cell r="C142"/>
          <cell r="D142"/>
          <cell r="E142"/>
          <cell r="F142"/>
          <cell r="G142"/>
          <cell r="H142" t="str">
            <v/>
          </cell>
          <cell r="I142"/>
          <cell r="J142"/>
          <cell r="K142"/>
          <cell r="L142"/>
          <cell r="M142"/>
        </row>
        <row r="143">
          <cell r="A143"/>
          <cell r="B143"/>
          <cell r="C143"/>
          <cell r="D143"/>
          <cell r="E143"/>
          <cell r="F143"/>
          <cell r="G143"/>
          <cell r="H143" t="str">
            <v/>
          </cell>
          <cell r="I143"/>
          <cell r="J143"/>
          <cell r="K143"/>
          <cell r="L143"/>
          <cell r="M143"/>
        </row>
        <row r="144">
          <cell r="A144"/>
          <cell r="B144"/>
          <cell r="C144"/>
          <cell r="D144"/>
          <cell r="E144"/>
          <cell r="F144"/>
          <cell r="G144"/>
          <cell r="H144" t="str">
            <v/>
          </cell>
          <cell r="I144"/>
          <cell r="J144"/>
          <cell r="K144"/>
          <cell r="L144"/>
          <cell r="M144"/>
        </row>
        <row r="145">
          <cell r="A145"/>
          <cell r="B145"/>
          <cell r="C145"/>
          <cell r="D145"/>
          <cell r="E145"/>
          <cell r="F145"/>
          <cell r="G145"/>
          <cell r="H145" t="str">
            <v/>
          </cell>
          <cell r="I145"/>
          <cell r="J145"/>
          <cell r="K145"/>
          <cell r="L145"/>
          <cell r="M145"/>
        </row>
        <row r="146">
          <cell r="A146"/>
          <cell r="B146"/>
          <cell r="C146"/>
          <cell r="D146"/>
          <cell r="E146"/>
          <cell r="F146"/>
          <cell r="G146"/>
          <cell r="H146" t="str">
            <v/>
          </cell>
          <cell r="I146"/>
          <cell r="J146"/>
          <cell r="K146"/>
          <cell r="L146"/>
          <cell r="M146"/>
        </row>
        <row r="147">
          <cell r="A147"/>
          <cell r="B147"/>
          <cell r="C147"/>
          <cell r="D147"/>
          <cell r="E147"/>
          <cell r="F147"/>
          <cell r="G147"/>
          <cell r="H147" t="str">
            <v/>
          </cell>
          <cell r="I147"/>
          <cell r="J147"/>
          <cell r="K147"/>
          <cell r="L147"/>
          <cell r="M147"/>
        </row>
        <row r="148">
          <cell r="A148"/>
          <cell r="B148"/>
          <cell r="C148"/>
          <cell r="D148"/>
          <cell r="E148"/>
          <cell r="F148"/>
          <cell r="G148"/>
          <cell r="H148" t="str">
            <v/>
          </cell>
          <cell r="I148"/>
          <cell r="J148"/>
          <cell r="K148"/>
          <cell r="L148"/>
          <cell r="M148"/>
        </row>
        <row r="149">
          <cell r="A149"/>
          <cell r="B149"/>
          <cell r="C149"/>
          <cell r="D149"/>
          <cell r="E149"/>
          <cell r="F149"/>
          <cell r="G149"/>
          <cell r="H149" t="str">
            <v/>
          </cell>
          <cell r="I149"/>
          <cell r="J149"/>
          <cell r="K149"/>
          <cell r="L149"/>
          <cell r="M149"/>
        </row>
        <row r="150">
          <cell r="A150"/>
          <cell r="B150"/>
          <cell r="C150"/>
          <cell r="D150"/>
          <cell r="E150"/>
          <cell r="F150"/>
          <cell r="G150"/>
          <cell r="H150" t="str">
            <v/>
          </cell>
          <cell r="I150"/>
          <cell r="J150"/>
          <cell r="K150"/>
          <cell r="L150"/>
          <cell r="M150"/>
        </row>
        <row r="151">
          <cell r="A151"/>
          <cell r="B151"/>
          <cell r="C151"/>
          <cell r="D151"/>
          <cell r="E151"/>
          <cell r="F151"/>
          <cell r="G151"/>
          <cell r="H151" t="str">
            <v/>
          </cell>
          <cell r="I151"/>
          <cell r="J151"/>
          <cell r="K151"/>
          <cell r="L151"/>
          <cell r="M151"/>
        </row>
        <row r="152">
          <cell r="A152"/>
          <cell r="B152"/>
          <cell r="C152"/>
          <cell r="D152"/>
          <cell r="E152"/>
          <cell r="F152"/>
          <cell r="G152"/>
          <cell r="H152" t="str">
            <v/>
          </cell>
          <cell r="I152"/>
          <cell r="J152"/>
          <cell r="K152"/>
          <cell r="L152"/>
          <cell r="M152"/>
        </row>
        <row r="153">
          <cell r="A153"/>
          <cell r="B153"/>
          <cell r="C153"/>
          <cell r="D153"/>
          <cell r="E153"/>
          <cell r="F153"/>
          <cell r="G153"/>
          <cell r="H153" t="str">
            <v/>
          </cell>
          <cell r="I153"/>
          <cell r="J153"/>
          <cell r="K153"/>
          <cell r="L153"/>
          <cell r="M153"/>
        </row>
        <row r="154">
          <cell r="A154"/>
          <cell r="B154"/>
          <cell r="C154"/>
          <cell r="D154"/>
          <cell r="E154"/>
          <cell r="F154"/>
          <cell r="G154"/>
          <cell r="H154" t="str">
            <v/>
          </cell>
          <cell r="I154"/>
          <cell r="J154"/>
          <cell r="K154"/>
          <cell r="L154"/>
          <cell r="M154"/>
        </row>
        <row r="155">
          <cell r="A155"/>
          <cell r="B155"/>
          <cell r="C155"/>
          <cell r="D155"/>
          <cell r="E155"/>
          <cell r="F155"/>
          <cell r="G155"/>
          <cell r="H155" t="str">
            <v/>
          </cell>
          <cell r="I155"/>
          <cell r="J155"/>
          <cell r="K155"/>
          <cell r="L155"/>
          <cell r="M155"/>
        </row>
        <row r="156">
          <cell r="A156"/>
          <cell r="B156"/>
          <cell r="C156"/>
          <cell r="D156"/>
          <cell r="E156"/>
          <cell r="F156"/>
          <cell r="G156"/>
          <cell r="H156" t="str">
            <v/>
          </cell>
          <cell r="I156"/>
          <cell r="J156"/>
          <cell r="K156"/>
          <cell r="L156"/>
          <cell r="M156"/>
        </row>
        <row r="157">
          <cell r="A157"/>
          <cell r="B157"/>
          <cell r="C157"/>
          <cell r="D157"/>
          <cell r="E157"/>
          <cell r="F157"/>
          <cell r="G157"/>
          <cell r="H157" t="str">
            <v/>
          </cell>
          <cell r="I157"/>
          <cell r="J157"/>
          <cell r="K157"/>
          <cell r="L157"/>
          <cell r="M157"/>
        </row>
        <row r="158">
          <cell r="A158"/>
          <cell r="B158"/>
          <cell r="C158"/>
          <cell r="D158"/>
          <cell r="E158"/>
          <cell r="F158"/>
          <cell r="G158"/>
          <cell r="H158" t="str">
            <v/>
          </cell>
          <cell r="I158"/>
          <cell r="J158"/>
          <cell r="K158"/>
          <cell r="L158"/>
          <cell r="M158"/>
        </row>
        <row r="159">
          <cell r="A159"/>
          <cell r="B159"/>
          <cell r="C159"/>
          <cell r="D159"/>
          <cell r="E159"/>
          <cell r="F159"/>
          <cell r="G159"/>
          <cell r="H159" t="str">
            <v/>
          </cell>
          <cell r="I159"/>
          <cell r="J159"/>
          <cell r="K159"/>
          <cell r="L159"/>
          <cell r="M159"/>
        </row>
        <row r="160">
          <cell r="A160"/>
          <cell r="B160"/>
          <cell r="C160"/>
          <cell r="D160"/>
          <cell r="E160"/>
          <cell r="F160"/>
          <cell r="G160"/>
          <cell r="H160" t="str">
            <v/>
          </cell>
          <cell r="I160"/>
          <cell r="J160"/>
          <cell r="K160"/>
          <cell r="L160"/>
          <cell r="M160"/>
        </row>
        <row r="161">
          <cell r="A161"/>
          <cell r="B161"/>
          <cell r="C161"/>
          <cell r="D161"/>
          <cell r="E161"/>
          <cell r="F161"/>
          <cell r="G161"/>
          <cell r="H161" t="str">
            <v/>
          </cell>
          <cell r="I161"/>
          <cell r="J161"/>
          <cell r="K161"/>
          <cell r="L161"/>
          <cell r="M161"/>
        </row>
        <row r="162">
          <cell r="A162"/>
          <cell r="B162"/>
          <cell r="C162"/>
          <cell r="D162"/>
          <cell r="E162"/>
          <cell r="F162"/>
          <cell r="G162"/>
          <cell r="H162" t="str">
            <v/>
          </cell>
          <cell r="I162"/>
          <cell r="J162"/>
          <cell r="K162"/>
          <cell r="L162"/>
          <cell r="M162"/>
        </row>
        <row r="163">
          <cell r="A163"/>
          <cell r="B163"/>
          <cell r="C163"/>
          <cell r="D163"/>
          <cell r="E163"/>
          <cell r="F163"/>
          <cell r="G163"/>
          <cell r="H163" t="str">
            <v/>
          </cell>
          <cell r="I163"/>
          <cell r="J163"/>
          <cell r="K163"/>
          <cell r="L163"/>
          <cell r="M163"/>
        </row>
        <row r="164">
          <cell r="A164"/>
          <cell r="B164"/>
          <cell r="C164"/>
          <cell r="D164"/>
          <cell r="E164"/>
          <cell r="F164"/>
          <cell r="G164"/>
          <cell r="H164" t="str">
            <v/>
          </cell>
          <cell r="I164"/>
          <cell r="J164"/>
          <cell r="K164"/>
          <cell r="L164"/>
          <cell r="M164"/>
        </row>
        <row r="165">
          <cell r="A165"/>
          <cell r="B165"/>
          <cell r="C165"/>
          <cell r="D165"/>
          <cell r="E165"/>
          <cell r="F165"/>
          <cell r="G165"/>
          <cell r="H165" t="str">
            <v/>
          </cell>
          <cell r="I165"/>
          <cell r="J165"/>
          <cell r="K165"/>
          <cell r="L165"/>
          <cell r="M165"/>
        </row>
        <row r="166">
          <cell r="A166"/>
          <cell r="B166"/>
          <cell r="C166"/>
          <cell r="D166"/>
          <cell r="E166"/>
          <cell r="F166"/>
          <cell r="G166"/>
          <cell r="H166" t="str">
            <v/>
          </cell>
          <cell r="I166"/>
          <cell r="J166"/>
          <cell r="K166"/>
          <cell r="L166"/>
          <cell r="M166"/>
        </row>
        <row r="167">
          <cell r="A167"/>
          <cell r="B167"/>
          <cell r="C167"/>
          <cell r="D167"/>
          <cell r="E167"/>
          <cell r="F167"/>
          <cell r="G167"/>
          <cell r="H167" t="str">
            <v/>
          </cell>
          <cell r="I167"/>
          <cell r="J167"/>
          <cell r="K167"/>
          <cell r="L167"/>
          <cell r="M167"/>
        </row>
        <row r="168">
          <cell r="A168"/>
          <cell r="B168"/>
          <cell r="C168"/>
          <cell r="D168"/>
          <cell r="E168"/>
          <cell r="F168"/>
          <cell r="G168"/>
          <cell r="H168" t="str">
            <v/>
          </cell>
          <cell r="I168"/>
          <cell r="J168"/>
          <cell r="K168"/>
          <cell r="L168"/>
          <cell r="M168"/>
        </row>
        <row r="169">
          <cell r="A169"/>
          <cell r="B169"/>
          <cell r="C169"/>
          <cell r="D169"/>
          <cell r="E169"/>
          <cell r="F169"/>
          <cell r="G169"/>
          <cell r="H169" t="str">
            <v/>
          </cell>
          <cell r="I169"/>
          <cell r="J169"/>
          <cell r="K169"/>
          <cell r="L169"/>
          <cell r="M169"/>
        </row>
        <row r="170">
          <cell r="A170"/>
          <cell r="B170"/>
          <cell r="C170"/>
          <cell r="D170"/>
          <cell r="E170"/>
          <cell r="F170"/>
          <cell r="G170"/>
          <cell r="H170" t="str">
            <v/>
          </cell>
          <cell r="I170"/>
          <cell r="J170"/>
          <cell r="K170"/>
          <cell r="L170"/>
          <cell r="M170"/>
        </row>
        <row r="171">
          <cell r="A171"/>
          <cell r="B171"/>
          <cell r="C171"/>
          <cell r="D171"/>
          <cell r="E171"/>
          <cell r="F171"/>
          <cell r="G171"/>
          <cell r="H171" t="str">
            <v/>
          </cell>
          <cell r="I171"/>
          <cell r="J171"/>
          <cell r="K171"/>
          <cell r="L171"/>
          <cell r="M171"/>
        </row>
        <row r="172">
          <cell r="A172"/>
          <cell r="B172"/>
          <cell r="C172"/>
          <cell r="D172"/>
          <cell r="E172"/>
          <cell r="F172"/>
          <cell r="G172"/>
          <cell r="H172" t="str">
            <v/>
          </cell>
          <cell r="I172"/>
          <cell r="J172"/>
          <cell r="K172"/>
          <cell r="L172"/>
          <cell r="M172"/>
        </row>
        <row r="173">
          <cell r="A173"/>
          <cell r="B173"/>
          <cell r="C173"/>
          <cell r="D173"/>
          <cell r="E173"/>
          <cell r="F173"/>
          <cell r="G173"/>
          <cell r="H173" t="str">
            <v/>
          </cell>
          <cell r="I173"/>
          <cell r="J173"/>
          <cell r="K173"/>
          <cell r="L173"/>
          <cell r="M173"/>
        </row>
        <row r="174">
          <cell r="A174"/>
          <cell r="B174"/>
          <cell r="C174"/>
          <cell r="D174"/>
          <cell r="E174"/>
          <cell r="F174"/>
          <cell r="G174"/>
          <cell r="H174" t="str">
            <v/>
          </cell>
          <cell r="I174"/>
          <cell r="J174"/>
          <cell r="K174"/>
          <cell r="L174"/>
          <cell r="M174"/>
        </row>
        <row r="175">
          <cell r="A175"/>
          <cell r="B175"/>
          <cell r="C175"/>
          <cell r="D175"/>
          <cell r="E175"/>
          <cell r="F175"/>
          <cell r="G175"/>
          <cell r="H175" t="str">
            <v/>
          </cell>
          <cell r="I175"/>
          <cell r="J175"/>
          <cell r="K175"/>
          <cell r="L175"/>
          <cell r="M175"/>
        </row>
        <row r="176">
          <cell r="A176"/>
          <cell r="B176"/>
          <cell r="C176"/>
          <cell r="D176"/>
          <cell r="E176"/>
          <cell r="F176"/>
          <cell r="G176"/>
          <cell r="H176" t="str">
            <v/>
          </cell>
          <cell r="I176"/>
          <cell r="J176"/>
          <cell r="K176"/>
          <cell r="L176"/>
          <cell r="M176"/>
        </row>
        <row r="177">
          <cell r="A177"/>
          <cell r="B177"/>
          <cell r="C177"/>
          <cell r="D177"/>
          <cell r="E177"/>
          <cell r="F177"/>
          <cell r="G177"/>
          <cell r="H177" t="str">
            <v/>
          </cell>
          <cell r="I177"/>
          <cell r="J177"/>
          <cell r="K177"/>
          <cell r="L177"/>
          <cell r="M177"/>
        </row>
        <row r="178">
          <cell r="A178"/>
          <cell r="B178"/>
          <cell r="C178"/>
          <cell r="D178"/>
          <cell r="E178"/>
          <cell r="F178"/>
          <cell r="G178"/>
          <cell r="H178" t="str">
            <v/>
          </cell>
          <cell r="I178"/>
          <cell r="J178"/>
          <cell r="K178"/>
          <cell r="L178"/>
          <cell r="M178"/>
        </row>
        <row r="179">
          <cell r="A179"/>
          <cell r="B179"/>
          <cell r="C179"/>
          <cell r="D179"/>
          <cell r="E179"/>
          <cell r="F179"/>
          <cell r="G179"/>
          <cell r="H179" t="str">
            <v/>
          </cell>
          <cell r="I179"/>
          <cell r="J179"/>
          <cell r="K179"/>
          <cell r="L179"/>
          <cell r="M179"/>
        </row>
        <row r="180">
          <cell r="A180"/>
          <cell r="B180"/>
          <cell r="C180"/>
          <cell r="D180"/>
          <cell r="E180"/>
          <cell r="F180"/>
          <cell r="G180"/>
          <cell r="H180" t="str">
            <v/>
          </cell>
          <cell r="I180"/>
          <cell r="J180"/>
          <cell r="K180"/>
          <cell r="L180"/>
          <cell r="M180"/>
        </row>
        <row r="181">
          <cell r="A181"/>
          <cell r="B181"/>
          <cell r="C181"/>
          <cell r="D181"/>
          <cell r="E181"/>
          <cell r="F181"/>
          <cell r="G181"/>
          <cell r="H181" t="str">
            <v/>
          </cell>
          <cell r="I181"/>
          <cell r="J181"/>
          <cell r="K181"/>
          <cell r="L181"/>
          <cell r="M181"/>
        </row>
        <row r="182">
          <cell r="A182"/>
          <cell r="B182"/>
          <cell r="C182"/>
          <cell r="D182"/>
          <cell r="E182"/>
          <cell r="F182"/>
          <cell r="G182"/>
          <cell r="H182" t="str">
            <v/>
          </cell>
          <cell r="I182"/>
          <cell r="J182"/>
          <cell r="K182"/>
          <cell r="L182"/>
          <cell r="M182"/>
        </row>
        <row r="183">
          <cell r="A183"/>
          <cell r="B183"/>
          <cell r="C183"/>
          <cell r="D183"/>
          <cell r="E183"/>
          <cell r="F183"/>
          <cell r="G183"/>
          <cell r="H183" t="str">
            <v/>
          </cell>
          <cell r="I183"/>
          <cell r="J183"/>
          <cell r="K183"/>
          <cell r="L183"/>
          <cell r="M183"/>
        </row>
        <row r="184">
          <cell r="A184"/>
          <cell r="B184"/>
          <cell r="C184"/>
          <cell r="D184"/>
          <cell r="E184"/>
          <cell r="F184"/>
          <cell r="G184"/>
          <cell r="H184" t="str">
            <v/>
          </cell>
          <cell r="I184"/>
          <cell r="J184"/>
          <cell r="K184"/>
          <cell r="L184"/>
          <cell r="M184"/>
        </row>
        <row r="185">
          <cell r="A185"/>
          <cell r="B185"/>
          <cell r="C185"/>
          <cell r="D185"/>
          <cell r="E185"/>
          <cell r="F185"/>
          <cell r="G185"/>
          <cell r="H185" t="str">
            <v/>
          </cell>
          <cell r="I185"/>
          <cell r="J185"/>
          <cell r="K185"/>
          <cell r="L185"/>
          <cell r="M185"/>
        </row>
        <row r="186">
          <cell r="A186"/>
          <cell r="B186"/>
          <cell r="C186"/>
          <cell r="D186"/>
          <cell r="E186"/>
          <cell r="F186"/>
          <cell r="G186"/>
          <cell r="H186" t="str">
            <v/>
          </cell>
          <cell r="I186"/>
          <cell r="J186"/>
          <cell r="K186"/>
          <cell r="L186"/>
          <cell r="M186"/>
        </row>
        <row r="187">
          <cell r="A187"/>
          <cell r="B187"/>
          <cell r="C187"/>
          <cell r="D187"/>
          <cell r="E187"/>
          <cell r="F187"/>
          <cell r="G187"/>
          <cell r="H187" t="str">
            <v/>
          </cell>
          <cell r="I187"/>
          <cell r="J187"/>
          <cell r="K187"/>
          <cell r="L187"/>
          <cell r="M187"/>
        </row>
        <row r="188">
          <cell r="A188"/>
          <cell r="B188"/>
          <cell r="C188"/>
          <cell r="D188"/>
          <cell r="E188"/>
          <cell r="F188"/>
          <cell r="G188"/>
          <cell r="H188" t="str">
            <v/>
          </cell>
          <cell r="I188"/>
          <cell r="J188"/>
          <cell r="K188"/>
          <cell r="L188"/>
          <cell r="M188"/>
        </row>
        <row r="189">
          <cell r="A189"/>
          <cell r="B189"/>
          <cell r="C189"/>
          <cell r="D189"/>
          <cell r="E189"/>
          <cell r="F189"/>
          <cell r="G189"/>
          <cell r="H189" t="str">
            <v/>
          </cell>
          <cell r="I189"/>
          <cell r="J189"/>
          <cell r="K189"/>
          <cell r="L189"/>
          <cell r="M189"/>
        </row>
        <row r="190">
          <cell r="A190"/>
          <cell r="B190"/>
          <cell r="C190"/>
          <cell r="D190"/>
          <cell r="E190"/>
          <cell r="F190"/>
          <cell r="G190"/>
          <cell r="H190" t="str">
            <v/>
          </cell>
          <cell r="I190"/>
          <cell r="J190"/>
          <cell r="K190"/>
          <cell r="L190"/>
          <cell r="M190"/>
        </row>
        <row r="191">
          <cell r="A191"/>
          <cell r="B191"/>
          <cell r="C191"/>
          <cell r="D191"/>
          <cell r="E191"/>
          <cell r="F191"/>
          <cell r="G191"/>
          <cell r="H191" t="str">
            <v/>
          </cell>
          <cell r="I191"/>
          <cell r="J191"/>
          <cell r="K191"/>
          <cell r="L191"/>
          <cell r="M191"/>
        </row>
        <row r="192">
          <cell r="A192"/>
          <cell r="B192"/>
          <cell r="C192"/>
          <cell r="D192"/>
          <cell r="E192"/>
          <cell r="F192"/>
          <cell r="G192"/>
          <cell r="H192" t="str">
            <v/>
          </cell>
          <cell r="I192"/>
          <cell r="J192"/>
          <cell r="K192"/>
          <cell r="L192"/>
          <cell r="M192"/>
        </row>
        <row r="193">
          <cell r="A193"/>
          <cell r="B193"/>
          <cell r="C193"/>
          <cell r="D193"/>
          <cell r="E193"/>
          <cell r="F193"/>
          <cell r="G193"/>
          <cell r="H193" t="str">
            <v/>
          </cell>
          <cell r="I193"/>
          <cell r="J193"/>
          <cell r="K193"/>
          <cell r="L193"/>
          <cell r="M193"/>
        </row>
        <row r="194">
          <cell r="A194"/>
          <cell r="B194"/>
          <cell r="C194"/>
          <cell r="D194"/>
          <cell r="E194"/>
          <cell r="F194"/>
          <cell r="G194"/>
          <cell r="H194" t="str">
            <v/>
          </cell>
          <cell r="I194"/>
          <cell r="J194"/>
          <cell r="K194"/>
          <cell r="L194"/>
          <cell r="M194"/>
        </row>
        <row r="195">
          <cell r="A195"/>
          <cell r="B195"/>
          <cell r="C195"/>
          <cell r="D195"/>
          <cell r="E195"/>
          <cell r="F195"/>
          <cell r="G195"/>
          <cell r="H195" t="str">
            <v/>
          </cell>
          <cell r="I195"/>
          <cell r="J195"/>
          <cell r="K195"/>
          <cell r="L195"/>
          <cell r="M195"/>
        </row>
        <row r="196">
          <cell r="A196"/>
          <cell r="B196"/>
          <cell r="C196"/>
          <cell r="D196"/>
          <cell r="E196"/>
          <cell r="F196"/>
          <cell r="G196"/>
          <cell r="H196" t="str">
            <v/>
          </cell>
          <cell r="I196"/>
          <cell r="J196"/>
          <cell r="K196"/>
          <cell r="L196"/>
          <cell r="M196"/>
        </row>
        <row r="197">
          <cell r="A197"/>
          <cell r="B197"/>
          <cell r="C197"/>
          <cell r="D197"/>
          <cell r="E197"/>
          <cell r="F197"/>
          <cell r="G197"/>
          <cell r="H197" t="str">
            <v/>
          </cell>
          <cell r="I197"/>
          <cell r="J197"/>
          <cell r="K197"/>
          <cell r="L197"/>
          <cell r="M197"/>
        </row>
        <row r="198">
          <cell r="A198"/>
          <cell r="B198"/>
          <cell r="C198"/>
          <cell r="D198"/>
          <cell r="E198"/>
          <cell r="F198"/>
          <cell r="G198"/>
          <cell r="H198" t="str">
            <v/>
          </cell>
          <cell r="I198"/>
          <cell r="J198"/>
          <cell r="K198"/>
          <cell r="L198"/>
          <cell r="M198"/>
        </row>
        <row r="199">
          <cell r="A199"/>
          <cell r="B199"/>
          <cell r="C199"/>
          <cell r="D199"/>
          <cell r="E199"/>
          <cell r="F199"/>
          <cell r="G199"/>
          <cell r="H199" t="str">
            <v/>
          </cell>
          <cell r="I199"/>
          <cell r="J199"/>
          <cell r="K199"/>
          <cell r="L199"/>
          <cell r="M199"/>
        </row>
        <row r="200">
          <cell r="A200"/>
          <cell r="B200"/>
          <cell r="C200"/>
          <cell r="D200"/>
          <cell r="E200"/>
          <cell r="F200"/>
          <cell r="G200"/>
          <cell r="H200" t="str">
            <v/>
          </cell>
          <cell r="I200"/>
          <cell r="J200"/>
          <cell r="K200"/>
          <cell r="L200"/>
          <cell r="M200"/>
        </row>
        <row r="201">
          <cell r="A201"/>
          <cell r="B201"/>
          <cell r="C201"/>
          <cell r="D201"/>
          <cell r="E201"/>
          <cell r="F201"/>
          <cell r="G201"/>
          <cell r="H201" t="str">
            <v/>
          </cell>
          <cell r="I201"/>
          <cell r="J201"/>
          <cell r="K201"/>
          <cell r="L201"/>
          <cell r="M201"/>
        </row>
        <row r="202">
          <cell r="A202"/>
          <cell r="B202"/>
          <cell r="C202"/>
          <cell r="D202"/>
          <cell r="E202"/>
          <cell r="F202"/>
          <cell r="G202"/>
          <cell r="H202" t="str">
            <v/>
          </cell>
          <cell r="I202"/>
          <cell r="J202"/>
          <cell r="K202"/>
          <cell r="L202"/>
          <cell r="M202"/>
        </row>
        <row r="203">
          <cell r="A203"/>
          <cell r="B203"/>
          <cell r="C203"/>
          <cell r="D203"/>
          <cell r="E203"/>
          <cell r="F203"/>
          <cell r="G203"/>
          <cell r="H203" t="str">
            <v/>
          </cell>
          <cell r="I203"/>
          <cell r="J203"/>
          <cell r="K203"/>
          <cell r="L203"/>
          <cell r="M203"/>
        </row>
        <row r="204">
          <cell r="A204"/>
          <cell r="B204"/>
          <cell r="C204"/>
          <cell r="D204"/>
          <cell r="E204"/>
          <cell r="F204"/>
          <cell r="G204"/>
          <cell r="H204" t="str">
            <v/>
          </cell>
          <cell r="I204"/>
          <cell r="J204"/>
          <cell r="K204"/>
          <cell r="L204"/>
          <cell r="M204"/>
        </row>
        <row r="205">
          <cell r="A205"/>
          <cell r="B205"/>
          <cell r="C205"/>
          <cell r="D205"/>
          <cell r="E205"/>
          <cell r="F205"/>
          <cell r="G205"/>
          <cell r="H205" t="str">
            <v/>
          </cell>
          <cell r="I205"/>
          <cell r="J205"/>
          <cell r="K205"/>
          <cell r="L205"/>
          <cell r="M205"/>
        </row>
        <row r="206">
          <cell r="A206"/>
          <cell r="B206"/>
          <cell r="C206"/>
          <cell r="D206"/>
          <cell r="E206"/>
          <cell r="F206"/>
          <cell r="G206"/>
          <cell r="H206" t="str">
            <v/>
          </cell>
          <cell r="I206"/>
          <cell r="J206"/>
          <cell r="K206"/>
          <cell r="L206"/>
          <cell r="M206"/>
        </row>
        <row r="207">
          <cell r="A207"/>
          <cell r="B207"/>
          <cell r="C207"/>
          <cell r="D207"/>
          <cell r="E207"/>
          <cell r="F207"/>
          <cell r="G207"/>
          <cell r="H207" t="str">
            <v/>
          </cell>
          <cell r="I207"/>
          <cell r="J207"/>
          <cell r="K207"/>
          <cell r="L207"/>
          <cell r="M207"/>
        </row>
        <row r="208">
          <cell r="A208"/>
          <cell r="B208"/>
          <cell r="C208"/>
          <cell r="D208"/>
          <cell r="E208"/>
          <cell r="F208"/>
          <cell r="G208"/>
          <cell r="H208" t="str">
            <v/>
          </cell>
          <cell r="I208"/>
          <cell r="J208"/>
          <cell r="K208"/>
          <cell r="L208"/>
          <cell r="M208"/>
        </row>
        <row r="209">
          <cell r="A209"/>
          <cell r="B209"/>
          <cell r="C209"/>
          <cell r="D209"/>
          <cell r="E209"/>
          <cell r="F209"/>
          <cell r="G209"/>
          <cell r="H209" t="str">
            <v/>
          </cell>
          <cell r="I209"/>
          <cell r="J209"/>
          <cell r="K209"/>
          <cell r="L209"/>
          <cell r="M209"/>
        </row>
        <row r="210">
          <cell r="A210"/>
          <cell r="B210"/>
          <cell r="C210"/>
          <cell r="D210"/>
          <cell r="E210"/>
          <cell r="F210"/>
          <cell r="G210"/>
          <cell r="H210" t="str">
            <v/>
          </cell>
          <cell r="I210"/>
          <cell r="J210"/>
          <cell r="K210"/>
          <cell r="L210"/>
          <cell r="M210"/>
        </row>
        <row r="211">
          <cell r="A211"/>
          <cell r="B211"/>
          <cell r="C211"/>
          <cell r="D211"/>
          <cell r="E211"/>
          <cell r="F211"/>
          <cell r="G211"/>
          <cell r="H211" t="str">
            <v/>
          </cell>
          <cell r="I211"/>
          <cell r="J211"/>
          <cell r="K211"/>
          <cell r="L211"/>
          <cell r="M211"/>
        </row>
        <row r="212">
          <cell r="A212"/>
          <cell r="B212"/>
          <cell r="C212"/>
          <cell r="D212"/>
          <cell r="E212"/>
          <cell r="F212"/>
          <cell r="G212"/>
          <cell r="H212" t="str">
            <v/>
          </cell>
          <cell r="I212"/>
          <cell r="J212"/>
          <cell r="K212"/>
          <cell r="L212"/>
          <cell r="M212"/>
        </row>
        <row r="213">
          <cell r="A213"/>
          <cell r="B213"/>
          <cell r="C213"/>
          <cell r="D213"/>
          <cell r="E213"/>
          <cell r="F213"/>
          <cell r="G213"/>
          <cell r="H213" t="str">
            <v/>
          </cell>
          <cell r="I213"/>
          <cell r="J213"/>
          <cell r="K213"/>
          <cell r="L213"/>
          <cell r="M213"/>
        </row>
        <row r="214">
          <cell r="A214"/>
          <cell r="B214"/>
          <cell r="C214"/>
          <cell r="D214"/>
          <cell r="E214"/>
          <cell r="F214"/>
          <cell r="G214"/>
          <cell r="H214" t="str">
            <v/>
          </cell>
          <cell r="I214"/>
          <cell r="J214"/>
          <cell r="K214"/>
          <cell r="L214"/>
          <cell r="M214"/>
        </row>
        <row r="215">
          <cell r="A215"/>
          <cell r="B215"/>
          <cell r="C215"/>
          <cell r="D215"/>
          <cell r="E215"/>
          <cell r="F215"/>
          <cell r="G215"/>
          <cell r="H215" t="str">
            <v/>
          </cell>
          <cell r="I215"/>
          <cell r="J215"/>
          <cell r="K215"/>
          <cell r="L215"/>
          <cell r="M215"/>
        </row>
        <row r="216">
          <cell r="A216"/>
          <cell r="B216"/>
          <cell r="C216"/>
          <cell r="D216"/>
          <cell r="E216"/>
          <cell r="F216"/>
          <cell r="G216"/>
          <cell r="H216" t="str">
            <v/>
          </cell>
          <cell r="I216"/>
          <cell r="J216"/>
          <cell r="K216"/>
          <cell r="L216"/>
          <cell r="M216"/>
        </row>
        <row r="217">
          <cell r="A217"/>
          <cell r="B217"/>
          <cell r="C217"/>
          <cell r="D217"/>
          <cell r="E217"/>
          <cell r="F217"/>
          <cell r="G217"/>
          <cell r="H217" t="str">
            <v/>
          </cell>
          <cell r="I217"/>
          <cell r="J217"/>
          <cell r="K217"/>
          <cell r="L217"/>
          <cell r="M217"/>
        </row>
        <row r="218">
          <cell r="A218"/>
          <cell r="B218"/>
          <cell r="C218"/>
          <cell r="D218"/>
          <cell r="E218"/>
          <cell r="F218"/>
          <cell r="G218"/>
          <cell r="H218" t="str">
            <v/>
          </cell>
          <cell r="I218"/>
          <cell r="J218"/>
          <cell r="K218"/>
          <cell r="L218"/>
          <cell r="M218"/>
        </row>
        <row r="219">
          <cell r="A219"/>
          <cell r="B219"/>
          <cell r="C219"/>
          <cell r="D219"/>
          <cell r="E219"/>
          <cell r="F219"/>
          <cell r="G219"/>
          <cell r="H219" t="str">
            <v/>
          </cell>
          <cell r="I219"/>
          <cell r="J219"/>
          <cell r="K219"/>
          <cell r="L219"/>
          <cell r="M219"/>
        </row>
        <row r="220">
          <cell r="A220"/>
          <cell r="B220"/>
          <cell r="C220"/>
          <cell r="D220"/>
          <cell r="E220"/>
          <cell r="F220"/>
          <cell r="G220"/>
          <cell r="H220" t="str">
            <v/>
          </cell>
          <cell r="I220"/>
          <cell r="J220"/>
          <cell r="K220"/>
          <cell r="L220"/>
          <cell r="M220"/>
        </row>
        <row r="221">
          <cell r="A221"/>
          <cell r="B221"/>
          <cell r="C221"/>
          <cell r="D221"/>
          <cell r="E221"/>
          <cell r="F221"/>
          <cell r="G221"/>
          <cell r="H221" t="str">
            <v/>
          </cell>
          <cell r="I221"/>
          <cell r="J221"/>
          <cell r="K221"/>
          <cell r="L221"/>
          <cell r="M221"/>
        </row>
        <row r="222">
          <cell r="A222"/>
          <cell r="B222"/>
          <cell r="C222"/>
          <cell r="D222"/>
          <cell r="E222"/>
          <cell r="F222"/>
          <cell r="G222"/>
          <cell r="H222" t="str">
            <v/>
          </cell>
          <cell r="I222"/>
          <cell r="J222"/>
          <cell r="K222"/>
          <cell r="L222"/>
          <cell r="M222"/>
        </row>
        <row r="223">
          <cell r="A223"/>
          <cell r="B223"/>
          <cell r="C223"/>
          <cell r="D223"/>
          <cell r="E223"/>
          <cell r="F223"/>
          <cell r="G223"/>
          <cell r="H223" t="str">
            <v/>
          </cell>
          <cell r="I223"/>
          <cell r="J223"/>
          <cell r="K223"/>
          <cell r="L223"/>
          <cell r="M223"/>
        </row>
        <row r="224">
          <cell r="A224"/>
          <cell r="B224"/>
          <cell r="C224"/>
          <cell r="D224"/>
          <cell r="E224"/>
          <cell r="F224"/>
          <cell r="G224"/>
          <cell r="H224" t="str">
            <v/>
          </cell>
          <cell r="I224"/>
          <cell r="J224"/>
          <cell r="K224"/>
          <cell r="L224"/>
          <cell r="M224"/>
        </row>
        <row r="225">
          <cell r="A225"/>
          <cell r="B225"/>
          <cell r="C225"/>
          <cell r="D225"/>
          <cell r="E225"/>
          <cell r="F225"/>
          <cell r="G225"/>
          <cell r="H225" t="str">
            <v/>
          </cell>
          <cell r="I225"/>
          <cell r="J225"/>
          <cell r="K225"/>
          <cell r="L225"/>
          <cell r="M225"/>
        </row>
        <row r="226">
          <cell r="A226"/>
          <cell r="B226"/>
          <cell r="C226"/>
          <cell r="D226"/>
          <cell r="E226"/>
          <cell r="F226"/>
          <cell r="G226"/>
          <cell r="H226" t="str">
            <v/>
          </cell>
          <cell r="I226"/>
          <cell r="J226"/>
          <cell r="K226"/>
          <cell r="L226"/>
          <cell r="M226"/>
        </row>
        <row r="227">
          <cell r="A227"/>
          <cell r="B227"/>
          <cell r="C227"/>
          <cell r="D227"/>
          <cell r="E227"/>
          <cell r="F227"/>
          <cell r="G227"/>
          <cell r="H227" t="str">
            <v/>
          </cell>
          <cell r="I227"/>
          <cell r="J227"/>
          <cell r="K227"/>
          <cell r="L227"/>
          <cell r="M227"/>
        </row>
        <row r="228">
          <cell r="A228"/>
          <cell r="B228"/>
          <cell r="C228"/>
          <cell r="D228"/>
          <cell r="E228"/>
          <cell r="F228"/>
          <cell r="G228"/>
          <cell r="H228" t="str">
            <v/>
          </cell>
          <cell r="I228"/>
          <cell r="J228"/>
          <cell r="K228"/>
          <cell r="L228"/>
          <cell r="M228"/>
        </row>
        <row r="229">
          <cell r="A229"/>
          <cell r="B229"/>
          <cell r="C229"/>
          <cell r="D229"/>
          <cell r="E229"/>
          <cell r="F229"/>
          <cell r="G229"/>
          <cell r="H229" t="str">
            <v/>
          </cell>
          <cell r="I229"/>
          <cell r="J229"/>
          <cell r="K229"/>
          <cell r="L229"/>
          <cell r="M229"/>
        </row>
        <row r="230">
          <cell r="A230"/>
          <cell r="B230"/>
          <cell r="C230"/>
          <cell r="D230"/>
          <cell r="E230"/>
          <cell r="F230"/>
          <cell r="G230"/>
          <cell r="H230" t="str">
            <v/>
          </cell>
          <cell r="I230"/>
          <cell r="J230"/>
          <cell r="K230"/>
          <cell r="L230"/>
          <cell r="M230"/>
        </row>
        <row r="231">
          <cell r="A231"/>
          <cell r="B231"/>
          <cell r="C231"/>
          <cell r="D231"/>
          <cell r="E231"/>
          <cell r="F231"/>
          <cell r="G231"/>
          <cell r="H231" t="str">
            <v/>
          </cell>
          <cell r="I231"/>
          <cell r="J231"/>
          <cell r="K231"/>
          <cell r="L231"/>
          <cell r="M231"/>
        </row>
        <row r="232">
          <cell r="A232"/>
          <cell r="B232"/>
          <cell r="C232"/>
          <cell r="D232"/>
          <cell r="E232"/>
          <cell r="F232"/>
          <cell r="G232"/>
          <cell r="H232" t="str">
            <v/>
          </cell>
          <cell r="I232"/>
          <cell r="J232"/>
          <cell r="K232"/>
          <cell r="L232"/>
          <cell r="M232"/>
        </row>
        <row r="233">
          <cell r="A233"/>
          <cell r="B233"/>
          <cell r="C233"/>
          <cell r="D233"/>
          <cell r="E233"/>
          <cell r="F233"/>
          <cell r="G233"/>
          <cell r="H233" t="str">
            <v/>
          </cell>
          <cell r="I233"/>
          <cell r="J233"/>
          <cell r="K233"/>
          <cell r="L233"/>
          <cell r="M233"/>
        </row>
        <row r="234">
          <cell r="A234"/>
          <cell r="B234"/>
          <cell r="C234"/>
          <cell r="D234"/>
          <cell r="E234"/>
          <cell r="F234"/>
          <cell r="G234"/>
          <cell r="H234" t="str">
            <v/>
          </cell>
          <cell r="I234"/>
          <cell r="J234"/>
          <cell r="K234"/>
          <cell r="L234"/>
          <cell r="M234"/>
        </row>
        <row r="235">
          <cell r="A235"/>
          <cell r="B235"/>
          <cell r="C235"/>
          <cell r="D235"/>
          <cell r="E235"/>
          <cell r="F235"/>
          <cell r="G235"/>
          <cell r="H235" t="str">
            <v/>
          </cell>
          <cell r="I235"/>
          <cell r="J235"/>
          <cell r="K235"/>
          <cell r="L235"/>
          <cell r="M235"/>
        </row>
        <row r="236">
          <cell r="A236"/>
          <cell r="B236"/>
          <cell r="C236"/>
          <cell r="D236"/>
          <cell r="E236"/>
          <cell r="F236"/>
          <cell r="G236"/>
          <cell r="H236" t="str">
            <v/>
          </cell>
          <cell r="I236"/>
          <cell r="J236"/>
          <cell r="K236"/>
          <cell r="L236"/>
          <cell r="M236"/>
        </row>
        <row r="237">
          <cell r="A237"/>
          <cell r="B237"/>
          <cell r="C237"/>
          <cell r="D237"/>
          <cell r="E237"/>
          <cell r="F237"/>
          <cell r="G237"/>
          <cell r="H237" t="str">
            <v/>
          </cell>
          <cell r="I237"/>
          <cell r="J237"/>
          <cell r="K237"/>
          <cell r="L237"/>
          <cell r="M237"/>
        </row>
        <row r="238">
          <cell r="A238"/>
          <cell r="B238"/>
          <cell r="C238"/>
          <cell r="D238"/>
          <cell r="E238"/>
          <cell r="F238"/>
          <cell r="G238"/>
          <cell r="H238" t="str">
            <v/>
          </cell>
          <cell r="I238"/>
          <cell r="J238"/>
          <cell r="K238"/>
          <cell r="L238"/>
          <cell r="M238"/>
        </row>
        <row r="239">
          <cell r="A239"/>
          <cell r="B239"/>
          <cell r="C239"/>
          <cell r="D239"/>
          <cell r="E239"/>
          <cell r="F239"/>
          <cell r="G239"/>
          <cell r="H239" t="str">
            <v/>
          </cell>
          <cell r="I239"/>
          <cell r="J239"/>
          <cell r="K239"/>
          <cell r="L239"/>
          <cell r="M239"/>
        </row>
        <row r="240">
          <cell r="A240"/>
          <cell r="B240"/>
          <cell r="C240"/>
          <cell r="D240"/>
          <cell r="E240"/>
          <cell r="F240"/>
          <cell r="G240"/>
          <cell r="H240" t="str">
            <v/>
          </cell>
          <cell r="I240"/>
          <cell r="J240"/>
          <cell r="K240"/>
          <cell r="L240"/>
          <cell r="M240"/>
        </row>
        <row r="241">
          <cell r="A241"/>
          <cell r="B241"/>
          <cell r="C241"/>
          <cell r="D241"/>
          <cell r="E241"/>
          <cell r="F241"/>
          <cell r="G241"/>
          <cell r="H241" t="str">
            <v/>
          </cell>
          <cell r="I241"/>
          <cell r="J241"/>
          <cell r="K241"/>
          <cell r="L241"/>
          <cell r="M241"/>
        </row>
        <row r="242">
          <cell r="A242"/>
          <cell r="B242"/>
          <cell r="C242"/>
          <cell r="D242"/>
          <cell r="E242"/>
          <cell r="F242"/>
          <cell r="G242"/>
          <cell r="H242" t="str">
            <v/>
          </cell>
          <cell r="I242"/>
          <cell r="J242"/>
          <cell r="K242"/>
          <cell r="L242"/>
          <cell r="M242"/>
        </row>
        <row r="243">
          <cell r="A243"/>
          <cell r="B243"/>
          <cell r="C243"/>
          <cell r="D243"/>
          <cell r="E243"/>
          <cell r="F243"/>
          <cell r="G243"/>
          <cell r="H243" t="str">
            <v/>
          </cell>
          <cell r="I243"/>
          <cell r="J243"/>
          <cell r="K243"/>
          <cell r="L243"/>
          <cell r="M243"/>
        </row>
        <row r="244">
          <cell r="A244"/>
          <cell r="B244"/>
          <cell r="C244"/>
          <cell r="D244"/>
          <cell r="E244"/>
          <cell r="F244"/>
          <cell r="G244"/>
          <cell r="H244" t="str">
            <v/>
          </cell>
          <cell r="I244"/>
          <cell r="J244"/>
          <cell r="K244"/>
          <cell r="L244"/>
          <cell r="M244"/>
        </row>
        <row r="245">
          <cell r="A245"/>
          <cell r="B245"/>
          <cell r="C245"/>
          <cell r="D245"/>
          <cell r="E245"/>
          <cell r="F245"/>
          <cell r="G245"/>
          <cell r="H245" t="str">
            <v/>
          </cell>
          <cell r="I245"/>
          <cell r="J245"/>
          <cell r="K245"/>
          <cell r="L245"/>
          <cell r="M245"/>
        </row>
        <row r="246">
          <cell r="A246"/>
          <cell r="B246"/>
          <cell r="C246"/>
          <cell r="D246"/>
          <cell r="E246"/>
          <cell r="F246"/>
          <cell r="G246"/>
          <cell r="H246" t="str">
            <v/>
          </cell>
          <cell r="I246"/>
          <cell r="J246"/>
          <cell r="K246"/>
          <cell r="L246"/>
          <cell r="M246"/>
        </row>
        <row r="247">
          <cell r="A247"/>
          <cell r="B247"/>
          <cell r="C247"/>
          <cell r="D247"/>
          <cell r="E247"/>
          <cell r="F247"/>
          <cell r="G247"/>
          <cell r="H247" t="str">
            <v/>
          </cell>
          <cell r="I247"/>
          <cell r="J247"/>
          <cell r="K247"/>
          <cell r="L247"/>
          <cell r="M247"/>
        </row>
        <row r="248">
          <cell r="A248"/>
          <cell r="B248"/>
          <cell r="C248"/>
          <cell r="D248"/>
          <cell r="E248"/>
          <cell r="F248"/>
          <cell r="G248"/>
          <cell r="H248" t="str">
            <v/>
          </cell>
          <cell r="I248"/>
          <cell r="J248"/>
          <cell r="K248"/>
          <cell r="L248"/>
          <cell r="M248"/>
        </row>
        <row r="249">
          <cell r="A249"/>
          <cell r="B249"/>
          <cell r="C249"/>
          <cell r="D249"/>
          <cell r="E249"/>
          <cell r="F249"/>
          <cell r="G249"/>
          <cell r="H249" t="str">
            <v/>
          </cell>
          <cell r="I249"/>
          <cell r="J249"/>
          <cell r="K249"/>
          <cell r="L249"/>
          <cell r="M249"/>
        </row>
        <row r="250">
          <cell r="A250"/>
          <cell r="B250"/>
          <cell r="C250"/>
          <cell r="D250"/>
          <cell r="E250"/>
          <cell r="F250"/>
          <cell r="G250"/>
          <cell r="H250" t="str">
            <v/>
          </cell>
          <cell r="I250"/>
          <cell r="J250"/>
          <cell r="K250"/>
          <cell r="L250"/>
          <cell r="M250"/>
        </row>
        <row r="251">
          <cell r="A251"/>
          <cell r="B251"/>
          <cell r="C251"/>
          <cell r="D251"/>
          <cell r="E251"/>
          <cell r="F251"/>
          <cell r="G251"/>
          <cell r="H251" t="str">
            <v/>
          </cell>
          <cell r="I251"/>
          <cell r="J251"/>
          <cell r="K251"/>
          <cell r="L251"/>
          <cell r="M251"/>
        </row>
        <row r="252">
          <cell r="A252"/>
          <cell r="B252"/>
          <cell r="C252"/>
          <cell r="D252"/>
          <cell r="E252"/>
          <cell r="F252"/>
          <cell r="G252"/>
          <cell r="H252" t="str">
            <v/>
          </cell>
          <cell r="I252"/>
          <cell r="J252"/>
          <cell r="K252"/>
          <cell r="L252"/>
          <cell r="M252"/>
        </row>
        <row r="253">
          <cell r="A253"/>
          <cell r="B253"/>
          <cell r="C253"/>
          <cell r="D253"/>
          <cell r="E253"/>
          <cell r="F253"/>
          <cell r="G253"/>
          <cell r="H253" t="str">
            <v/>
          </cell>
          <cell r="I253"/>
          <cell r="J253"/>
          <cell r="K253"/>
          <cell r="L253"/>
          <cell r="M253"/>
        </row>
        <row r="254">
          <cell r="A254"/>
          <cell r="B254"/>
          <cell r="C254"/>
          <cell r="D254"/>
          <cell r="E254"/>
          <cell r="F254"/>
          <cell r="G254"/>
          <cell r="H254" t="str">
            <v/>
          </cell>
          <cell r="I254"/>
          <cell r="J254"/>
          <cell r="K254"/>
          <cell r="L254"/>
          <cell r="M254"/>
        </row>
        <row r="255">
          <cell r="A255"/>
          <cell r="B255"/>
          <cell r="C255"/>
          <cell r="D255"/>
          <cell r="E255"/>
          <cell r="F255"/>
          <cell r="G255"/>
          <cell r="H255" t="str">
            <v/>
          </cell>
          <cell r="I255"/>
          <cell r="J255"/>
          <cell r="K255"/>
          <cell r="L255"/>
          <cell r="M255"/>
        </row>
        <row r="256">
          <cell r="A256"/>
          <cell r="B256"/>
          <cell r="C256"/>
          <cell r="D256"/>
          <cell r="E256"/>
          <cell r="F256"/>
          <cell r="G256"/>
          <cell r="H256" t="str">
            <v/>
          </cell>
          <cell r="I256"/>
          <cell r="J256"/>
          <cell r="K256"/>
          <cell r="L256"/>
          <cell r="M256"/>
        </row>
        <row r="257">
          <cell r="A257"/>
          <cell r="B257"/>
          <cell r="C257"/>
          <cell r="D257"/>
          <cell r="E257"/>
          <cell r="F257"/>
          <cell r="G257"/>
          <cell r="H257" t="str">
            <v/>
          </cell>
          <cell r="I257"/>
          <cell r="J257"/>
          <cell r="K257"/>
          <cell r="L257"/>
          <cell r="M257"/>
        </row>
        <row r="258">
          <cell r="A258"/>
          <cell r="B258"/>
          <cell r="C258"/>
          <cell r="D258"/>
          <cell r="E258"/>
          <cell r="F258"/>
          <cell r="G258"/>
          <cell r="H258" t="str">
            <v/>
          </cell>
          <cell r="I258"/>
          <cell r="J258"/>
          <cell r="K258"/>
          <cell r="L258"/>
          <cell r="M258"/>
        </row>
        <row r="259">
          <cell r="A259"/>
          <cell r="B259"/>
          <cell r="C259"/>
          <cell r="D259"/>
          <cell r="E259"/>
          <cell r="F259"/>
          <cell r="G259"/>
          <cell r="H259" t="str">
            <v/>
          </cell>
          <cell r="I259"/>
          <cell r="J259"/>
          <cell r="K259"/>
          <cell r="L259"/>
          <cell r="M259"/>
        </row>
        <row r="260">
          <cell r="A260"/>
          <cell r="B260"/>
          <cell r="C260"/>
          <cell r="D260"/>
          <cell r="E260"/>
          <cell r="F260"/>
          <cell r="G260"/>
          <cell r="H260" t="str">
            <v/>
          </cell>
          <cell r="I260"/>
          <cell r="J260"/>
          <cell r="K260"/>
          <cell r="L260"/>
          <cell r="M260"/>
        </row>
        <row r="261">
          <cell r="A261"/>
          <cell r="B261"/>
          <cell r="C261"/>
          <cell r="D261"/>
          <cell r="E261"/>
          <cell r="F261"/>
          <cell r="G261"/>
          <cell r="H261" t="str">
            <v/>
          </cell>
          <cell r="I261"/>
          <cell r="J261"/>
          <cell r="K261"/>
          <cell r="L261"/>
          <cell r="M261"/>
        </row>
        <row r="262">
          <cell r="A262"/>
          <cell r="B262"/>
          <cell r="C262"/>
          <cell r="D262"/>
          <cell r="E262"/>
          <cell r="F262"/>
          <cell r="G262"/>
          <cell r="H262" t="str">
            <v/>
          </cell>
          <cell r="I262"/>
          <cell r="J262"/>
          <cell r="K262"/>
          <cell r="L262"/>
          <cell r="M262"/>
        </row>
        <row r="263">
          <cell r="A263"/>
          <cell r="B263"/>
          <cell r="C263"/>
          <cell r="D263"/>
          <cell r="E263"/>
          <cell r="F263"/>
          <cell r="G263"/>
          <cell r="H263" t="str">
            <v/>
          </cell>
          <cell r="I263"/>
          <cell r="J263"/>
          <cell r="K263"/>
          <cell r="L263"/>
          <cell r="M263"/>
        </row>
        <row r="264">
          <cell r="A264"/>
          <cell r="B264"/>
          <cell r="C264"/>
          <cell r="D264"/>
          <cell r="E264"/>
          <cell r="F264"/>
          <cell r="G264"/>
          <cell r="H264" t="str">
            <v/>
          </cell>
          <cell r="I264"/>
          <cell r="J264"/>
          <cell r="K264"/>
          <cell r="L264"/>
          <cell r="M264"/>
        </row>
        <row r="265">
          <cell r="A265"/>
          <cell r="B265"/>
          <cell r="C265"/>
          <cell r="D265"/>
          <cell r="E265"/>
          <cell r="F265"/>
          <cell r="G265"/>
          <cell r="H265" t="str">
            <v/>
          </cell>
          <cell r="I265"/>
          <cell r="J265"/>
          <cell r="K265"/>
          <cell r="L265"/>
          <cell r="M265"/>
        </row>
        <row r="266">
          <cell r="A266"/>
          <cell r="B266"/>
          <cell r="C266"/>
          <cell r="D266"/>
          <cell r="E266"/>
          <cell r="F266"/>
          <cell r="G266"/>
          <cell r="H266" t="str">
            <v/>
          </cell>
          <cell r="I266"/>
          <cell r="J266"/>
          <cell r="K266"/>
          <cell r="L266"/>
          <cell r="M266"/>
        </row>
        <row r="267">
          <cell r="A267"/>
          <cell r="B267"/>
          <cell r="C267"/>
          <cell r="D267"/>
          <cell r="E267"/>
          <cell r="F267"/>
          <cell r="G267"/>
          <cell r="H267" t="str">
            <v/>
          </cell>
          <cell r="I267"/>
          <cell r="J267"/>
          <cell r="K267"/>
          <cell r="L267"/>
          <cell r="M267"/>
        </row>
        <row r="268">
          <cell r="A268"/>
          <cell r="B268"/>
          <cell r="C268"/>
          <cell r="D268"/>
          <cell r="E268"/>
          <cell r="F268"/>
          <cell r="G268"/>
          <cell r="H268" t="str">
            <v/>
          </cell>
          <cell r="I268"/>
          <cell r="J268"/>
          <cell r="K268"/>
          <cell r="L268"/>
          <cell r="M268"/>
        </row>
        <row r="269">
          <cell r="A269"/>
          <cell r="B269"/>
          <cell r="C269"/>
          <cell r="D269"/>
          <cell r="E269"/>
          <cell r="F269"/>
          <cell r="G269"/>
          <cell r="H269" t="str">
            <v/>
          </cell>
          <cell r="I269"/>
          <cell r="J269"/>
          <cell r="K269"/>
          <cell r="L269"/>
          <cell r="M269"/>
        </row>
        <row r="270">
          <cell r="A270"/>
          <cell r="B270"/>
          <cell r="C270"/>
          <cell r="D270"/>
          <cell r="E270"/>
          <cell r="F270"/>
          <cell r="G270"/>
          <cell r="H270" t="str">
            <v/>
          </cell>
          <cell r="I270"/>
          <cell r="J270"/>
          <cell r="K270"/>
          <cell r="L270"/>
          <cell r="M270"/>
        </row>
        <row r="271">
          <cell r="A271"/>
          <cell r="B271"/>
          <cell r="C271"/>
          <cell r="D271"/>
          <cell r="E271"/>
          <cell r="F271"/>
          <cell r="G271"/>
          <cell r="H271" t="str">
            <v/>
          </cell>
          <cell r="I271"/>
          <cell r="J271"/>
          <cell r="K271"/>
          <cell r="L271"/>
          <cell r="M271"/>
        </row>
        <row r="272">
          <cell r="A272"/>
          <cell r="B272"/>
          <cell r="C272"/>
          <cell r="D272"/>
          <cell r="E272"/>
          <cell r="F272"/>
          <cell r="G272"/>
          <cell r="H272" t="str">
            <v/>
          </cell>
          <cell r="I272"/>
          <cell r="J272"/>
          <cell r="K272"/>
          <cell r="L272"/>
          <cell r="M272"/>
        </row>
        <row r="273">
          <cell r="A273"/>
          <cell r="B273"/>
          <cell r="C273"/>
          <cell r="D273"/>
          <cell r="E273"/>
          <cell r="F273"/>
          <cell r="G273"/>
          <cell r="H273" t="str">
            <v/>
          </cell>
          <cell r="I273"/>
          <cell r="J273"/>
          <cell r="K273"/>
          <cell r="L273"/>
          <cell r="M273"/>
        </row>
        <row r="274">
          <cell r="A274"/>
          <cell r="B274"/>
          <cell r="C274"/>
          <cell r="D274"/>
          <cell r="E274"/>
          <cell r="F274"/>
          <cell r="G274"/>
          <cell r="H274" t="str">
            <v/>
          </cell>
          <cell r="I274"/>
          <cell r="J274"/>
          <cell r="K274"/>
          <cell r="L274"/>
          <cell r="M274"/>
        </row>
        <row r="275">
          <cell r="A275"/>
          <cell r="B275"/>
          <cell r="C275"/>
          <cell r="D275"/>
          <cell r="E275"/>
          <cell r="F275"/>
          <cell r="G275"/>
          <cell r="H275" t="str">
            <v/>
          </cell>
          <cell r="I275"/>
          <cell r="J275"/>
          <cell r="K275"/>
          <cell r="L275"/>
          <cell r="M275"/>
        </row>
        <row r="276">
          <cell r="A276"/>
          <cell r="B276"/>
          <cell r="C276"/>
          <cell r="D276"/>
          <cell r="E276"/>
          <cell r="F276"/>
          <cell r="G276"/>
          <cell r="H276" t="str">
            <v/>
          </cell>
          <cell r="I276"/>
          <cell r="J276"/>
          <cell r="K276"/>
          <cell r="L276"/>
          <cell r="M276"/>
        </row>
        <row r="277">
          <cell r="A277"/>
          <cell r="B277"/>
          <cell r="C277"/>
          <cell r="D277"/>
          <cell r="E277"/>
          <cell r="F277"/>
          <cell r="G277"/>
          <cell r="H277" t="str">
            <v/>
          </cell>
          <cell r="I277"/>
          <cell r="J277"/>
          <cell r="K277"/>
          <cell r="L277"/>
          <cell r="M277"/>
        </row>
        <row r="278">
          <cell r="A278"/>
          <cell r="B278"/>
          <cell r="C278"/>
          <cell r="D278"/>
          <cell r="E278"/>
          <cell r="F278"/>
          <cell r="G278"/>
          <cell r="H278" t="str">
            <v/>
          </cell>
          <cell r="I278"/>
          <cell r="J278"/>
          <cell r="K278"/>
          <cell r="L278"/>
          <cell r="M278"/>
        </row>
        <row r="279">
          <cell r="A279"/>
          <cell r="B279"/>
          <cell r="C279"/>
          <cell r="D279"/>
          <cell r="E279"/>
          <cell r="F279"/>
          <cell r="G279"/>
          <cell r="H279" t="str">
            <v/>
          </cell>
          <cell r="I279"/>
          <cell r="J279"/>
          <cell r="K279"/>
          <cell r="L279"/>
          <cell r="M279"/>
        </row>
        <row r="280">
          <cell r="A280"/>
          <cell r="B280"/>
          <cell r="C280"/>
          <cell r="D280"/>
          <cell r="E280"/>
          <cell r="F280"/>
          <cell r="G280"/>
          <cell r="H280" t="str">
            <v/>
          </cell>
          <cell r="I280"/>
          <cell r="J280"/>
          <cell r="K280"/>
          <cell r="L280"/>
          <cell r="M280"/>
        </row>
        <row r="281">
          <cell r="A281"/>
          <cell r="B281"/>
          <cell r="C281"/>
          <cell r="D281"/>
          <cell r="E281"/>
          <cell r="F281"/>
          <cell r="G281"/>
          <cell r="H281" t="str">
            <v/>
          </cell>
          <cell r="I281"/>
          <cell r="J281"/>
          <cell r="K281"/>
          <cell r="L281"/>
          <cell r="M281"/>
        </row>
        <row r="282">
          <cell r="A282"/>
          <cell r="B282"/>
          <cell r="C282"/>
          <cell r="D282"/>
          <cell r="E282"/>
          <cell r="F282"/>
          <cell r="G282"/>
          <cell r="H282" t="str">
            <v/>
          </cell>
          <cell r="I282"/>
          <cell r="J282"/>
          <cell r="K282"/>
          <cell r="L282"/>
          <cell r="M282"/>
        </row>
        <row r="283">
          <cell r="A283"/>
          <cell r="B283"/>
          <cell r="C283"/>
          <cell r="D283"/>
          <cell r="E283"/>
          <cell r="F283"/>
          <cell r="G283"/>
          <cell r="H283" t="str">
            <v/>
          </cell>
          <cell r="I283"/>
          <cell r="J283"/>
          <cell r="K283"/>
          <cell r="L283"/>
          <cell r="M283"/>
        </row>
        <row r="284">
          <cell r="A284"/>
          <cell r="B284"/>
          <cell r="C284"/>
          <cell r="D284"/>
          <cell r="E284"/>
          <cell r="F284"/>
          <cell r="G284"/>
          <cell r="H284" t="str">
            <v/>
          </cell>
          <cell r="I284"/>
          <cell r="J284"/>
          <cell r="K284"/>
          <cell r="L284"/>
          <cell r="M284"/>
        </row>
        <row r="285">
          <cell r="A285"/>
          <cell r="B285"/>
          <cell r="C285"/>
          <cell r="D285"/>
          <cell r="E285"/>
          <cell r="F285"/>
          <cell r="G285"/>
          <cell r="H285" t="str">
            <v/>
          </cell>
          <cell r="I285"/>
          <cell r="J285"/>
          <cell r="K285"/>
          <cell r="L285"/>
          <cell r="M285"/>
        </row>
        <row r="286">
          <cell r="A286"/>
          <cell r="B286"/>
          <cell r="C286"/>
          <cell r="D286"/>
          <cell r="E286"/>
          <cell r="F286"/>
          <cell r="G286"/>
          <cell r="H286" t="str">
            <v/>
          </cell>
          <cell r="I286"/>
          <cell r="J286"/>
          <cell r="K286"/>
          <cell r="L286"/>
          <cell r="M286"/>
        </row>
        <row r="287">
          <cell r="A287"/>
          <cell r="B287"/>
          <cell r="C287"/>
          <cell r="D287"/>
          <cell r="E287"/>
          <cell r="F287"/>
          <cell r="G287"/>
          <cell r="H287" t="str">
            <v/>
          </cell>
          <cell r="I287"/>
          <cell r="J287"/>
          <cell r="K287"/>
          <cell r="L287"/>
          <cell r="M287"/>
        </row>
        <row r="288">
          <cell r="A288"/>
          <cell r="B288"/>
          <cell r="C288"/>
          <cell r="D288"/>
          <cell r="E288"/>
          <cell r="F288"/>
          <cell r="G288"/>
          <cell r="H288" t="str">
            <v/>
          </cell>
          <cell r="I288"/>
          <cell r="J288"/>
          <cell r="K288"/>
          <cell r="L288"/>
          <cell r="M288"/>
        </row>
        <row r="289">
          <cell r="A289"/>
          <cell r="B289"/>
          <cell r="C289"/>
          <cell r="D289"/>
          <cell r="E289"/>
          <cell r="F289"/>
          <cell r="G289"/>
          <cell r="H289" t="str">
            <v/>
          </cell>
          <cell r="I289"/>
          <cell r="J289"/>
          <cell r="K289"/>
          <cell r="L289"/>
          <cell r="M289"/>
        </row>
        <row r="290">
          <cell r="A290"/>
          <cell r="B290"/>
          <cell r="C290"/>
          <cell r="D290"/>
          <cell r="E290"/>
          <cell r="F290"/>
          <cell r="G290"/>
          <cell r="H290" t="str">
            <v/>
          </cell>
          <cell r="I290"/>
          <cell r="J290"/>
          <cell r="K290"/>
          <cell r="L290"/>
          <cell r="M290"/>
        </row>
        <row r="291">
          <cell r="A291"/>
          <cell r="B291"/>
          <cell r="C291"/>
          <cell r="D291"/>
          <cell r="E291"/>
          <cell r="F291"/>
          <cell r="G291"/>
          <cell r="H291" t="str">
            <v/>
          </cell>
          <cell r="I291"/>
          <cell r="J291"/>
          <cell r="K291"/>
          <cell r="L291"/>
          <cell r="M291"/>
        </row>
        <row r="292">
          <cell r="A292"/>
          <cell r="B292"/>
          <cell r="C292"/>
          <cell r="D292"/>
          <cell r="E292"/>
          <cell r="F292"/>
          <cell r="G292"/>
          <cell r="H292" t="str">
            <v/>
          </cell>
          <cell r="I292"/>
          <cell r="J292"/>
          <cell r="K292"/>
          <cell r="L292"/>
          <cell r="M292"/>
        </row>
        <row r="293">
          <cell r="A293"/>
          <cell r="B293"/>
          <cell r="C293"/>
          <cell r="D293"/>
          <cell r="E293"/>
          <cell r="F293"/>
          <cell r="G293"/>
          <cell r="H293" t="str">
            <v/>
          </cell>
          <cell r="I293"/>
          <cell r="J293"/>
          <cell r="K293"/>
          <cell r="L293"/>
          <cell r="M293"/>
        </row>
        <row r="294">
          <cell r="A294"/>
          <cell r="B294"/>
          <cell r="C294"/>
          <cell r="D294"/>
          <cell r="E294"/>
          <cell r="F294"/>
          <cell r="G294"/>
          <cell r="H294" t="str">
            <v/>
          </cell>
          <cell r="I294"/>
          <cell r="J294"/>
          <cell r="K294"/>
          <cell r="L294"/>
          <cell r="M294"/>
        </row>
        <row r="295">
          <cell r="A295"/>
          <cell r="B295"/>
          <cell r="C295"/>
          <cell r="D295"/>
          <cell r="E295"/>
          <cell r="F295"/>
          <cell r="G295"/>
          <cell r="H295" t="str">
            <v/>
          </cell>
          <cell r="I295"/>
          <cell r="J295"/>
          <cell r="K295"/>
          <cell r="L295"/>
          <cell r="M295"/>
        </row>
        <row r="296">
          <cell r="A296"/>
          <cell r="B296"/>
          <cell r="C296"/>
          <cell r="D296"/>
          <cell r="E296"/>
          <cell r="F296"/>
          <cell r="G296"/>
          <cell r="H296" t="str">
            <v/>
          </cell>
          <cell r="I296"/>
          <cell r="J296"/>
          <cell r="K296"/>
          <cell r="L296"/>
          <cell r="M296"/>
        </row>
        <row r="297">
          <cell r="A297"/>
          <cell r="B297"/>
          <cell r="C297"/>
          <cell r="D297"/>
          <cell r="E297"/>
          <cell r="F297"/>
          <cell r="G297"/>
          <cell r="H297" t="str">
            <v/>
          </cell>
          <cell r="I297"/>
          <cell r="J297"/>
          <cell r="K297"/>
          <cell r="L297"/>
          <cell r="M297"/>
        </row>
        <row r="298">
          <cell r="A298"/>
          <cell r="B298"/>
          <cell r="C298"/>
          <cell r="D298"/>
          <cell r="E298"/>
          <cell r="F298"/>
          <cell r="G298"/>
          <cell r="H298" t="str">
            <v/>
          </cell>
          <cell r="I298"/>
          <cell r="J298"/>
          <cell r="K298"/>
          <cell r="L298"/>
          <cell r="M298"/>
        </row>
        <row r="299">
          <cell r="A299"/>
          <cell r="B299"/>
          <cell r="C299"/>
          <cell r="D299"/>
          <cell r="E299"/>
          <cell r="F299"/>
          <cell r="G299"/>
          <cell r="H299" t="str">
            <v/>
          </cell>
          <cell r="I299"/>
          <cell r="J299"/>
          <cell r="K299"/>
          <cell r="L299"/>
          <cell r="M299"/>
        </row>
        <row r="300">
          <cell r="A300"/>
          <cell r="B300"/>
          <cell r="C300"/>
          <cell r="D300"/>
          <cell r="E300"/>
          <cell r="F300"/>
          <cell r="G300"/>
          <cell r="H300" t="str">
            <v/>
          </cell>
          <cell r="I300"/>
          <cell r="J300"/>
          <cell r="K300"/>
          <cell r="L300"/>
          <cell r="M300"/>
        </row>
        <row r="301">
          <cell r="A301"/>
          <cell r="B301"/>
          <cell r="C301"/>
          <cell r="D301"/>
          <cell r="E301"/>
          <cell r="F301"/>
          <cell r="G301"/>
          <cell r="H301" t="str">
            <v/>
          </cell>
          <cell r="I301"/>
          <cell r="J301"/>
          <cell r="K301"/>
          <cell r="L301"/>
          <cell r="M301"/>
        </row>
        <row r="302">
          <cell r="A302"/>
          <cell r="B302"/>
          <cell r="C302"/>
          <cell r="D302"/>
          <cell r="E302"/>
          <cell r="F302"/>
          <cell r="G302"/>
          <cell r="H302" t="str">
            <v/>
          </cell>
          <cell r="I302"/>
          <cell r="J302"/>
          <cell r="K302"/>
          <cell r="L302"/>
          <cell r="M302"/>
        </row>
        <row r="303">
          <cell r="A303"/>
          <cell r="B303"/>
          <cell r="C303"/>
          <cell r="D303"/>
          <cell r="E303"/>
          <cell r="F303"/>
          <cell r="G303"/>
          <cell r="H303" t="str">
            <v/>
          </cell>
          <cell r="I303"/>
          <cell r="J303"/>
          <cell r="K303"/>
          <cell r="L303"/>
          <cell r="M303"/>
        </row>
        <row r="304">
          <cell r="A304"/>
          <cell r="B304"/>
          <cell r="C304"/>
          <cell r="D304"/>
          <cell r="E304"/>
          <cell r="F304"/>
          <cell r="G304"/>
          <cell r="H304" t="str">
            <v/>
          </cell>
          <cell r="I304"/>
          <cell r="J304"/>
          <cell r="K304"/>
          <cell r="L304"/>
          <cell r="M304"/>
        </row>
        <row r="305">
          <cell r="A305"/>
          <cell r="B305"/>
          <cell r="C305"/>
          <cell r="D305"/>
          <cell r="E305"/>
          <cell r="F305"/>
          <cell r="G305"/>
          <cell r="H305" t="str">
            <v/>
          </cell>
          <cell r="I305"/>
          <cell r="J305"/>
          <cell r="K305"/>
          <cell r="L305"/>
          <cell r="M305"/>
        </row>
        <row r="306">
          <cell r="A306"/>
          <cell r="B306"/>
          <cell r="C306"/>
          <cell r="D306"/>
          <cell r="E306"/>
          <cell r="F306"/>
          <cell r="G306"/>
          <cell r="H306" t="str">
            <v/>
          </cell>
          <cell r="I306"/>
          <cell r="J306"/>
          <cell r="K306"/>
          <cell r="L306"/>
          <cell r="M306"/>
        </row>
        <row r="307">
          <cell r="A307"/>
          <cell r="B307"/>
          <cell r="C307"/>
          <cell r="D307"/>
          <cell r="E307"/>
          <cell r="F307"/>
          <cell r="G307"/>
          <cell r="H307" t="str">
            <v/>
          </cell>
          <cell r="I307"/>
          <cell r="J307"/>
          <cell r="K307"/>
          <cell r="L307"/>
          <cell r="M307"/>
        </row>
        <row r="308">
          <cell r="A308"/>
          <cell r="B308"/>
          <cell r="C308"/>
          <cell r="D308"/>
          <cell r="E308"/>
          <cell r="F308"/>
          <cell r="G308"/>
          <cell r="H308" t="str">
            <v/>
          </cell>
          <cell r="I308"/>
          <cell r="J308"/>
          <cell r="K308"/>
          <cell r="L308"/>
          <cell r="M308"/>
        </row>
        <row r="309">
          <cell r="A309"/>
          <cell r="B309"/>
          <cell r="C309"/>
          <cell r="D309"/>
          <cell r="E309"/>
          <cell r="F309"/>
          <cell r="G309"/>
          <cell r="H309" t="str">
            <v/>
          </cell>
          <cell r="I309"/>
          <cell r="J309"/>
          <cell r="K309"/>
          <cell r="L309"/>
          <cell r="M309"/>
        </row>
        <row r="310">
          <cell r="A310"/>
          <cell r="B310"/>
          <cell r="C310"/>
          <cell r="D310"/>
          <cell r="E310"/>
          <cell r="F310"/>
          <cell r="G310"/>
          <cell r="H310" t="str">
            <v/>
          </cell>
          <cell r="I310"/>
          <cell r="J310"/>
          <cell r="K310"/>
          <cell r="L310"/>
          <cell r="M310"/>
        </row>
        <row r="311">
          <cell r="A311"/>
          <cell r="B311"/>
          <cell r="C311"/>
          <cell r="D311"/>
          <cell r="E311"/>
          <cell r="F311"/>
          <cell r="G311"/>
          <cell r="H311" t="str">
            <v/>
          </cell>
          <cell r="I311"/>
          <cell r="J311"/>
          <cell r="K311"/>
          <cell r="L311"/>
          <cell r="M311"/>
        </row>
        <row r="312">
          <cell r="A312"/>
          <cell r="B312"/>
          <cell r="C312"/>
          <cell r="D312"/>
          <cell r="E312"/>
          <cell r="F312"/>
          <cell r="G312"/>
          <cell r="H312" t="str">
            <v/>
          </cell>
          <cell r="I312"/>
          <cell r="J312"/>
          <cell r="K312"/>
          <cell r="L312"/>
          <cell r="M312"/>
        </row>
        <row r="313">
          <cell r="A313"/>
          <cell r="B313"/>
          <cell r="C313"/>
          <cell r="D313"/>
          <cell r="E313"/>
          <cell r="F313"/>
          <cell r="G313"/>
          <cell r="H313" t="str">
            <v/>
          </cell>
          <cell r="I313"/>
          <cell r="J313"/>
          <cell r="K313"/>
          <cell r="L313"/>
          <cell r="M313"/>
        </row>
        <row r="314">
          <cell r="A314"/>
          <cell r="B314"/>
          <cell r="C314"/>
          <cell r="D314"/>
          <cell r="E314"/>
          <cell r="F314"/>
          <cell r="G314"/>
          <cell r="H314" t="str">
            <v/>
          </cell>
          <cell r="I314"/>
          <cell r="J314"/>
          <cell r="K314"/>
          <cell r="L314"/>
          <cell r="M314"/>
        </row>
        <row r="315">
          <cell r="A315"/>
          <cell r="B315"/>
          <cell r="C315"/>
          <cell r="D315"/>
          <cell r="E315"/>
          <cell r="F315"/>
          <cell r="G315"/>
          <cell r="H315" t="str">
            <v/>
          </cell>
          <cell r="I315"/>
          <cell r="J315"/>
          <cell r="K315"/>
          <cell r="L315"/>
          <cell r="M315"/>
        </row>
        <row r="316">
          <cell r="A316"/>
          <cell r="B316"/>
          <cell r="C316"/>
          <cell r="D316"/>
          <cell r="E316"/>
          <cell r="F316"/>
          <cell r="G316"/>
          <cell r="H316" t="str">
            <v/>
          </cell>
          <cell r="I316"/>
          <cell r="J316"/>
          <cell r="K316"/>
          <cell r="L316"/>
          <cell r="M316"/>
        </row>
        <row r="317">
          <cell r="A317"/>
          <cell r="B317"/>
          <cell r="C317"/>
          <cell r="D317"/>
          <cell r="E317"/>
          <cell r="F317"/>
          <cell r="G317"/>
          <cell r="H317" t="str">
            <v/>
          </cell>
          <cell r="I317"/>
          <cell r="J317"/>
          <cell r="K317"/>
          <cell r="L317"/>
          <cell r="M317"/>
        </row>
        <row r="318">
          <cell r="A318"/>
          <cell r="B318"/>
          <cell r="C318"/>
          <cell r="D318"/>
          <cell r="E318"/>
          <cell r="F318"/>
          <cell r="G318"/>
          <cell r="H318" t="str">
            <v/>
          </cell>
          <cell r="I318"/>
          <cell r="J318"/>
          <cell r="K318"/>
          <cell r="L318"/>
          <cell r="M318"/>
        </row>
        <row r="319">
          <cell r="A319"/>
          <cell r="B319"/>
          <cell r="C319"/>
          <cell r="D319"/>
          <cell r="E319"/>
          <cell r="F319"/>
          <cell r="G319"/>
          <cell r="H319" t="str">
            <v/>
          </cell>
          <cell r="I319"/>
          <cell r="J319"/>
          <cell r="K319"/>
          <cell r="L319"/>
          <cell r="M319"/>
        </row>
        <row r="320">
          <cell r="A320"/>
          <cell r="B320"/>
          <cell r="C320"/>
          <cell r="D320"/>
          <cell r="E320"/>
          <cell r="F320"/>
          <cell r="G320"/>
          <cell r="H320" t="str">
            <v/>
          </cell>
          <cell r="I320"/>
          <cell r="J320"/>
          <cell r="K320"/>
          <cell r="L320"/>
          <cell r="M320"/>
        </row>
        <row r="321">
          <cell r="A321"/>
          <cell r="B321"/>
          <cell r="C321"/>
          <cell r="D321"/>
          <cell r="E321"/>
          <cell r="F321"/>
          <cell r="G321"/>
          <cell r="H321" t="str">
            <v/>
          </cell>
          <cell r="I321"/>
          <cell r="J321"/>
          <cell r="K321"/>
          <cell r="L321"/>
          <cell r="M321"/>
        </row>
        <row r="322">
          <cell r="A322"/>
          <cell r="B322"/>
          <cell r="C322"/>
          <cell r="D322"/>
          <cell r="E322"/>
          <cell r="F322"/>
          <cell r="G322"/>
          <cell r="H322" t="str">
            <v/>
          </cell>
          <cell r="I322"/>
          <cell r="J322"/>
          <cell r="K322"/>
          <cell r="L322"/>
          <cell r="M322"/>
        </row>
        <row r="323">
          <cell r="A323"/>
          <cell r="B323"/>
          <cell r="C323"/>
          <cell r="D323"/>
          <cell r="E323"/>
          <cell r="F323"/>
          <cell r="G323"/>
          <cell r="H323" t="str">
            <v/>
          </cell>
          <cell r="I323"/>
          <cell r="J323"/>
          <cell r="K323"/>
          <cell r="L323"/>
          <cell r="M323"/>
        </row>
        <row r="324">
          <cell r="A324"/>
          <cell r="B324"/>
          <cell r="C324"/>
          <cell r="D324"/>
          <cell r="E324"/>
          <cell r="F324"/>
          <cell r="G324"/>
          <cell r="H324" t="str">
            <v/>
          </cell>
          <cell r="I324"/>
          <cell r="J324"/>
          <cell r="K324"/>
          <cell r="L324"/>
          <cell r="M324"/>
        </row>
        <row r="325">
          <cell r="A325"/>
          <cell r="B325"/>
          <cell r="C325"/>
          <cell r="D325"/>
          <cell r="E325"/>
          <cell r="F325"/>
          <cell r="G325"/>
          <cell r="H325" t="str">
            <v/>
          </cell>
          <cell r="I325"/>
          <cell r="J325"/>
          <cell r="K325"/>
          <cell r="L325"/>
          <cell r="M325"/>
        </row>
        <row r="326">
          <cell r="A326"/>
          <cell r="B326"/>
          <cell r="C326"/>
          <cell r="D326"/>
          <cell r="E326"/>
          <cell r="F326"/>
          <cell r="G326"/>
          <cell r="H326" t="str">
            <v/>
          </cell>
          <cell r="I326"/>
          <cell r="J326"/>
          <cell r="K326"/>
          <cell r="L326"/>
          <cell r="M326"/>
        </row>
        <row r="327">
          <cell r="A327"/>
          <cell r="B327"/>
          <cell r="C327"/>
          <cell r="D327"/>
          <cell r="E327"/>
          <cell r="F327"/>
          <cell r="G327"/>
          <cell r="H327" t="str">
            <v/>
          </cell>
          <cell r="I327"/>
          <cell r="J327"/>
          <cell r="K327"/>
          <cell r="L327"/>
          <cell r="M327"/>
        </row>
        <row r="328">
          <cell r="A328"/>
          <cell r="B328"/>
          <cell r="C328"/>
          <cell r="D328"/>
          <cell r="E328"/>
          <cell r="F328"/>
          <cell r="G328"/>
          <cell r="H328" t="str">
            <v/>
          </cell>
          <cell r="I328"/>
          <cell r="J328"/>
          <cell r="K328"/>
          <cell r="L328"/>
          <cell r="M328"/>
        </row>
        <row r="329">
          <cell r="A329"/>
          <cell r="B329"/>
          <cell r="C329"/>
          <cell r="D329"/>
          <cell r="E329"/>
          <cell r="F329"/>
          <cell r="G329"/>
          <cell r="H329" t="str">
            <v/>
          </cell>
          <cell r="I329"/>
          <cell r="J329"/>
          <cell r="K329"/>
          <cell r="L329"/>
          <cell r="M329"/>
        </row>
        <row r="330">
          <cell r="A330"/>
          <cell r="B330"/>
          <cell r="C330"/>
          <cell r="D330"/>
          <cell r="E330"/>
          <cell r="F330"/>
          <cell r="G330"/>
          <cell r="H330" t="str">
            <v/>
          </cell>
          <cell r="I330"/>
          <cell r="J330"/>
          <cell r="K330"/>
          <cell r="L330"/>
          <cell r="M330"/>
        </row>
        <row r="331">
          <cell r="A331"/>
          <cell r="B331"/>
          <cell r="C331"/>
          <cell r="D331"/>
          <cell r="E331"/>
          <cell r="F331"/>
          <cell r="G331"/>
          <cell r="H331" t="str">
            <v/>
          </cell>
          <cell r="I331"/>
          <cell r="J331"/>
          <cell r="K331"/>
          <cell r="L331"/>
          <cell r="M331"/>
        </row>
        <row r="332">
          <cell r="A332"/>
          <cell r="B332"/>
          <cell r="C332"/>
          <cell r="D332"/>
          <cell r="E332"/>
          <cell r="F332"/>
          <cell r="G332"/>
          <cell r="H332" t="str">
            <v/>
          </cell>
          <cell r="I332"/>
          <cell r="J332"/>
          <cell r="K332"/>
          <cell r="L332"/>
          <cell r="M332"/>
        </row>
        <row r="333">
          <cell r="A333"/>
          <cell r="B333"/>
          <cell r="C333"/>
          <cell r="D333"/>
          <cell r="E333"/>
          <cell r="F333"/>
          <cell r="G333"/>
          <cell r="H333" t="str">
            <v/>
          </cell>
          <cell r="I333"/>
          <cell r="J333"/>
          <cell r="K333"/>
          <cell r="L333"/>
          <cell r="M333"/>
        </row>
        <row r="334">
          <cell r="A334"/>
          <cell r="B334"/>
          <cell r="C334"/>
          <cell r="D334"/>
          <cell r="E334"/>
          <cell r="F334"/>
          <cell r="G334"/>
          <cell r="H334" t="str">
            <v/>
          </cell>
          <cell r="I334"/>
          <cell r="J334"/>
          <cell r="K334"/>
          <cell r="L334"/>
          <cell r="M334"/>
        </row>
        <row r="335">
          <cell r="A335"/>
          <cell r="B335"/>
          <cell r="C335"/>
          <cell r="D335"/>
          <cell r="E335"/>
          <cell r="F335"/>
          <cell r="G335"/>
          <cell r="H335" t="str">
            <v/>
          </cell>
          <cell r="I335"/>
          <cell r="J335"/>
          <cell r="K335"/>
          <cell r="L335"/>
          <cell r="M335"/>
        </row>
        <row r="336">
          <cell r="A336"/>
          <cell r="B336"/>
          <cell r="C336"/>
          <cell r="D336"/>
          <cell r="E336"/>
          <cell r="F336"/>
          <cell r="G336"/>
          <cell r="H336" t="str">
            <v/>
          </cell>
          <cell r="I336"/>
          <cell r="J336"/>
          <cell r="K336"/>
          <cell r="L336"/>
          <cell r="M336"/>
        </row>
        <row r="337">
          <cell r="A337"/>
          <cell r="B337"/>
          <cell r="C337"/>
          <cell r="D337"/>
          <cell r="E337"/>
          <cell r="F337"/>
          <cell r="G337"/>
          <cell r="H337" t="str">
            <v/>
          </cell>
          <cell r="I337"/>
          <cell r="J337"/>
          <cell r="K337"/>
          <cell r="L337"/>
          <cell r="M337"/>
        </row>
        <row r="338">
          <cell r="A338"/>
          <cell r="B338"/>
          <cell r="C338"/>
          <cell r="D338"/>
          <cell r="E338"/>
          <cell r="F338"/>
          <cell r="G338"/>
          <cell r="H338" t="str">
            <v/>
          </cell>
          <cell r="I338"/>
          <cell r="J338"/>
          <cell r="K338"/>
          <cell r="L338"/>
          <cell r="M338"/>
        </row>
        <row r="339">
          <cell r="A339"/>
          <cell r="B339"/>
          <cell r="C339"/>
          <cell r="D339"/>
          <cell r="E339"/>
          <cell r="F339"/>
          <cell r="G339"/>
          <cell r="H339" t="str">
            <v/>
          </cell>
          <cell r="I339"/>
          <cell r="J339"/>
          <cell r="K339"/>
          <cell r="L339"/>
          <cell r="M339"/>
        </row>
        <row r="340">
          <cell r="A340"/>
          <cell r="B340"/>
          <cell r="C340"/>
          <cell r="D340"/>
          <cell r="E340"/>
          <cell r="F340"/>
          <cell r="G340"/>
          <cell r="H340" t="str">
            <v/>
          </cell>
          <cell r="I340"/>
          <cell r="J340"/>
          <cell r="K340"/>
          <cell r="L340"/>
          <cell r="M340"/>
        </row>
        <row r="341">
          <cell r="A341"/>
          <cell r="B341"/>
          <cell r="C341"/>
          <cell r="D341"/>
          <cell r="E341"/>
          <cell r="F341"/>
          <cell r="G341"/>
          <cell r="H341" t="str">
            <v/>
          </cell>
          <cell r="I341"/>
          <cell r="J341"/>
          <cell r="K341"/>
          <cell r="L341"/>
          <cell r="M341"/>
        </row>
        <row r="342">
          <cell r="A342"/>
          <cell r="B342"/>
          <cell r="C342"/>
          <cell r="D342"/>
          <cell r="E342"/>
          <cell r="F342"/>
          <cell r="G342"/>
          <cell r="H342" t="str">
            <v/>
          </cell>
          <cell r="I342"/>
          <cell r="J342"/>
          <cell r="K342"/>
          <cell r="L342"/>
          <cell r="M342"/>
        </row>
        <row r="343">
          <cell r="A343"/>
          <cell r="B343"/>
          <cell r="C343"/>
          <cell r="D343"/>
          <cell r="E343"/>
          <cell r="F343"/>
          <cell r="G343"/>
          <cell r="H343" t="str">
            <v/>
          </cell>
          <cell r="I343"/>
          <cell r="J343"/>
          <cell r="K343"/>
          <cell r="L343"/>
          <cell r="M343"/>
        </row>
        <row r="344">
          <cell r="A344"/>
          <cell r="B344"/>
          <cell r="C344"/>
          <cell r="D344"/>
          <cell r="E344"/>
          <cell r="F344"/>
          <cell r="G344"/>
          <cell r="H344" t="str">
            <v/>
          </cell>
          <cell r="I344"/>
          <cell r="J344"/>
          <cell r="K344"/>
          <cell r="L344"/>
          <cell r="M344"/>
        </row>
        <row r="345">
          <cell r="A345"/>
          <cell r="B345"/>
          <cell r="C345"/>
          <cell r="D345"/>
          <cell r="E345"/>
          <cell r="F345"/>
          <cell r="G345"/>
          <cell r="H345" t="str">
            <v/>
          </cell>
          <cell r="I345"/>
          <cell r="J345"/>
          <cell r="K345"/>
          <cell r="L345"/>
          <cell r="M345"/>
        </row>
        <row r="346">
          <cell r="A346"/>
          <cell r="B346"/>
          <cell r="C346"/>
          <cell r="D346"/>
          <cell r="E346"/>
          <cell r="F346"/>
          <cell r="G346"/>
          <cell r="H346" t="str">
            <v/>
          </cell>
          <cell r="I346"/>
          <cell r="J346"/>
          <cell r="K346"/>
          <cell r="L346"/>
          <cell r="M346"/>
        </row>
        <row r="347">
          <cell r="A347"/>
          <cell r="B347"/>
          <cell r="C347"/>
          <cell r="D347"/>
          <cell r="E347"/>
          <cell r="F347"/>
          <cell r="G347"/>
          <cell r="H347" t="str">
            <v/>
          </cell>
          <cell r="I347"/>
          <cell r="J347"/>
          <cell r="K347"/>
          <cell r="L347"/>
          <cell r="M347"/>
        </row>
        <row r="348">
          <cell r="A348"/>
          <cell r="B348"/>
          <cell r="C348"/>
          <cell r="D348"/>
          <cell r="E348"/>
          <cell r="F348"/>
          <cell r="G348"/>
          <cell r="H348" t="str">
            <v/>
          </cell>
          <cell r="I348"/>
          <cell r="J348"/>
          <cell r="K348"/>
          <cell r="L348"/>
          <cell r="M348"/>
        </row>
        <row r="349">
          <cell r="A349"/>
          <cell r="B349"/>
          <cell r="C349"/>
          <cell r="D349"/>
          <cell r="E349"/>
          <cell r="F349"/>
          <cell r="G349"/>
          <cell r="H349" t="str">
            <v/>
          </cell>
          <cell r="I349"/>
          <cell r="J349"/>
          <cell r="K349"/>
          <cell r="L349"/>
          <cell r="M349"/>
        </row>
        <row r="350">
          <cell r="A350"/>
          <cell r="B350"/>
          <cell r="C350"/>
          <cell r="D350"/>
          <cell r="E350"/>
          <cell r="F350"/>
          <cell r="G350"/>
          <cell r="H350" t="str">
            <v/>
          </cell>
          <cell r="I350"/>
          <cell r="J350"/>
          <cell r="K350"/>
          <cell r="L350"/>
          <cell r="M350"/>
        </row>
        <row r="351">
          <cell r="A351"/>
          <cell r="B351"/>
          <cell r="C351"/>
          <cell r="D351"/>
          <cell r="E351"/>
          <cell r="F351"/>
          <cell r="G351"/>
          <cell r="H351" t="str">
            <v/>
          </cell>
          <cell r="I351"/>
          <cell r="J351"/>
          <cell r="K351"/>
          <cell r="L351"/>
          <cell r="M351"/>
        </row>
        <row r="352">
          <cell r="A352"/>
          <cell r="B352"/>
          <cell r="C352"/>
          <cell r="D352"/>
          <cell r="E352"/>
          <cell r="F352"/>
          <cell r="G352"/>
          <cell r="H352" t="str">
            <v/>
          </cell>
          <cell r="I352"/>
          <cell r="J352"/>
          <cell r="K352"/>
          <cell r="L352"/>
          <cell r="M352"/>
        </row>
        <row r="353">
          <cell r="A353"/>
          <cell r="B353"/>
          <cell r="C353"/>
          <cell r="D353"/>
          <cell r="E353"/>
          <cell r="F353"/>
          <cell r="G353"/>
          <cell r="H353" t="str">
            <v/>
          </cell>
          <cell r="I353"/>
          <cell r="J353"/>
          <cell r="K353"/>
          <cell r="L353"/>
          <cell r="M353"/>
        </row>
        <row r="354">
          <cell r="A354"/>
          <cell r="B354"/>
          <cell r="C354"/>
          <cell r="D354"/>
          <cell r="E354"/>
          <cell r="F354"/>
          <cell r="G354"/>
          <cell r="H354" t="str">
            <v/>
          </cell>
          <cell r="I354"/>
          <cell r="J354"/>
          <cell r="K354"/>
          <cell r="L354"/>
          <cell r="M354"/>
        </row>
        <row r="355">
          <cell r="A355"/>
          <cell r="B355"/>
          <cell r="C355"/>
          <cell r="D355"/>
          <cell r="E355"/>
          <cell r="F355"/>
          <cell r="G355"/>
          <cell r="H355" t="str">
            <v/>
          </cell>
          <cell r="I355"/>
          <cell r="J355"/>
          <cell r="K355"/>
          <cell r="L355"/>
          <cell r="M355"/>
        </row>
        <row r="356">
          <cell r="A356"/>
          <cell r="B356"/>
          <cell r="C356"/>
          <cell r="D356"/>
          <cell r="E356"/>
          <cell r="F356"/>
          <cell r="G356"/>
          <cell r="H356" t="str">
            <v/>
          </cell>
          <cell r="I356"/>
          <cell r="J356"/>
          <cell r="K356"/>
          <cell r="L356"/>
          <cell r="M356"/>
        </row>
        <row r="357">
          <cell r="A357"/>
          <cell r="B357"/>
          <cell r="C357"/>
          <cell r="D357"/>
          <cell r="E357"/>
          <cell r="F357"/>
          <cell r="G357"/>
          <cell r="H357" t="str">
            <v/>
          </cell>
          <cell r="I357"/>
          <cell r="J357"/>
          <cell r="K357"/>
          <cell r="L357"/>
          <cell r="M357"/>
        </row>
        <row r="358">
          <cell r="A358"/>
          <cell r="B358"/>
          <cell r="C358"/>
          <cell r="D358"/>
          <cell r="E358"/>
          <cell r="F358"/>
          <cell r="G358"/>
          <cell r="H358" t="str">
            <v/>
          </cell>
          <cell r="I358"/>
          <cell r="J358"/>
          <cell r="K358"/>
          <cell r="L358"/>
          <cell r="M358"/>
        </row>
        <row r="359">
          <cell r="A359"/>
          <cell r="B359"/>
          <cell r="C359"/>
          <cell r="D359"/>
          <cell r="E359"/>
          <cell r="F359"/>
          <cell r="G359"/>
          <cell r="H359" t="str">
            <v/>
          </cell>
          <cell r="I359"/>
          <cell r="J359"/>
          <cell r="K359"/>
          <cell r="L359"/>
          <cell r="M359"/>
        </row>
        <row r="360">
          <cell r="A360"/>
          <cell r="B360"/>
          <cell r="C360"/>
          <cell r="D360"/>
          <cell r="E360"/>
          <cell r="F360"/>
          <cell r="G360"/>
          <cell r="H360" t="str">
            <v/>
          </cell>
          <cell r="I360"/>
          <cell r="J360"/>
          <cell r="K360"/>
          <cell r="L360"/>
          <cell r="M360"/>
        </row>
        <row r="361">
          <cell r="A361"/>
          <cell r="B361"/>
          <cell r="C361"/>
          <cell r="D361"/>
          <cell r="E361"/>
          <cell r="F361"/>
          <cell r="G361"/>
          <cell r="H361" t="str">
            <v/>
          </cell>
          <cell r="I361"/>
          <cell r="J361"/>
          <cell r="K361"/>
          <cell r="L361"/>
          <cell r="M361"/>
        </row>
        <row r="362">
          <cell r="A362"/>
          <cell r="B362"/>
          <cell r="C362"/>
          <cell r="D362"/>
          <cell r="E362"/>
          <cell r="F362"/>
          <cell r="G362"/>
          <cell r="H362" t="str">
            <v/>
          </cell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 t="str">
            <v/>
          </cell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 t="str">
            <v/>
          </cell>
          <cell r="I364"/>
          <cell r="J364"/>
          <cell r="K364"/>
          <cell r="L364"/>
          <cell r="M364"/>
        </row>
        <row r="365">
          <cell r="A365"/>
          <cell r="B365"/>
          <cell r="C365"/>
          <cell r="D365"/>
          <cell r="E365"/>
          <cell r="F365"/>
          <cell r="G365"/>
          <cell r="H365" t="str">
            <v/>
          </cell>
          <cell r="I365"/>
          <cell r="J365"/>
          <cell r="K365"/>
          <cell r="L365"/>
          <cell r="M365"/>
        </row>
        <row r="366">
          <cell r="A366"/>
          <cell r="B366"/>
          <cell r="C366"/>
          <cell r="D366"/>
          <cell r="E366"/>
          <cell r="F366"/>
          <cell r="G366"/>
          <cell r="H366" t="str">
            <v/>
          </cell>
          <cell r="I366"/>
          <cell r="J366"/>
          <cell r="K366"/>
          <cell r="L366"/>
          <cell r="M366"/>
        </row>
        <row r="367">
          <cell r="A367"/>
          <cell r="B367"/>
          <cell r="C367"/>
          <cell r="D367"/>
          <cell r="E367"/>
          <cell r="F367"/>
          <cell r="G367"/>
          <cell r="H367" t="str">
            <v/>
          </cell>
          <cell r="I367"/>
          <cell r="J367"/>
          <cell r="K367"/>
          <cell r="L367"/>
          <cell r="M367"/>
        </row>
        <row r="368">
          <cell r="A368"/>
          <cell r="B368"/>
          <cell r="C368"/>
          <cell r="D368"/>
          <cell r="E368"/>
          <cell r="F368"/>
          <cell r="G368"/>
          <cell r="H368" t="str">
            <v/>
          </cell>
          <cell r="I368"/>
          <cell r="J368"/>
          <cell r="K368"/>
          <cell r="L368"/>
          <cell r="M368"/>
        </row>
        <row r="369">
          <cell r="A369"/>
          <cell r="B369"/>
          <cell r="C369"/>
          <cell r="D369"/>
          <cell r="E369"/>
          <cell r="F369"/>
          <cell r="G369"/>
          <cell r="H369" t="str">
            <v/>
          </cell>
          <cell r="I369"/>
          <cell r="J369"/>
          <cell r="K369"/>
          <cell r="L369"/>
          <cell r="M369"/>
        </row>
        <row r="370">
          <cell r="A370"/>
          <cell r="B370"/>
          <cell r="C370"/>
          <cell r="D370"/>
          <cell r="E370"/>
          <cell r="F370"/>
          <cell r="G370"/>
          <cell r="H370" t="str">
            <v/>
          </cell>
          <cell r="I370"/>
          <cell r="J370"/>
          <cell r="K370"/>
          <cell r="L370"/>
          <cell r="M370"/>
        </row>
        <row r="371">
          <cell r="A371"/>
          <cell r="B371"/>
          <cell r="C371"/>
          <cell r="D371"/>
          <cell r="E371"/>
          <cell r="F371"/>
          <cell r="G371"/>
          <cell r="H371" t="str">
            <v/>
          </cell>
          <cell r="I371"/>
          <cell r="J371"/>
          <cell r="K371"/>
          <cell r="L371"/>
          <cell r="M371"/>
        </row>
        <row r="372">
          <cell r="A372"/>
          <cell r="B372"/>
          <cell r="C372"/>
          <cell r="D372"/>
          <cell r="E372"/>
          <cell r="F372"/>
          <cell r="G372"/>
          <cell r="H372" t="str">
            <v/>
          </cell>
          <cell r="I372"/>
          <cell r="J372"/>
          <cell r="K372"/>
          <cell r="L372"/>
          <cell r="M372"/>
        </row>
        <row r="373">
          <cell r="A373"/>
          <cell r="B373"/>
          <cell r="C373"/>
          <cell r="D373"/>
          <cell r="E373"/>
          <cell r="F373"/>
          <cell r="G373"/>
          <cell r="H373" t="str">
            <v/>
          </cell>
          <cell r="I373"/>
          <cell r="J373"/>
          <cell r="K373"/>
          <cell r="L373"/>
          <cell r="M373"/>
        </row>
        <row r="374">
          <cell r="A374"/>
          <cell r="B374"/>
          <cell r="C374"/>
          <cell r="D374"/>
          <cell r="E374"/>
          <cell r="F374"/>
          <cell r="G374"/>
          <cell r="H374" t="str">
            <v/>
          </cell>
          <cell r="I374"/>
          <cell r="J374"/>
          <cell r="K374"/>
          <cell r="L374"/>
          <cell r="M374"/>
        </row>
        <row r="375">
          <cell r="A375"/>
          <cell r="B375"/>
          <cell r="C375"/>
          <cell r="D375"/>
          <cell r="E375"/>
          <cell r="F375"/>
          <cell r="G375"/>
          <cell r="H375" t="str">
            <v/>
          </cell>
          <cell r="I375"/>
          <cell r="J375"/>
          <cell r="K375"/>
          <cell r="L375"/>
          <cell r="M375"/>
        </row>
        <row r="376">
          <cell r="A376"/>
          <cell r="B376"/>
          <cell r="C376"/>
          <cell r="D376"/>
          <cell r="E376"/>
          <cell r="F376"/>
          <cell r="G376"/>
          <cell r="H376" t="str">
            <v/>
          </cell>
          <cell r="I376"/>
          <cell r="J376"/>
          <cell r="K376"/>
          <cell r="L376"/>
          <cell r="M376"/>
        </row>
        <row r="377">
          <cell r="A377"/>
          <cell r="B377"/>
          <cell r="C377"/>
          <cell r="D377"/>
          <cell r="E377"/>
          <cell r="F377"/>
          <cell r="G377"/>
          <cell r="H377" t="str">
            <v/>
          </cell>
          <cell r="I377"/>
          <cell r="J377"/>
          <cell r="K377"/>
          <cell r="L377"/>
          <cell r="M377"/>
        </row>
        <row r="378">
          <cell r="A378"/>
          <cell r="B378"/>
          <cell r="C378"/>
          <cell r="D378"/>
          <cell r="E378"/>
          <cell r="F378"/>
          <cell r="G378"/>
          <cell r="H378" t="str">
            <v/>
          </cell>
          <cell r="I378"/>
          <cell r="J378"/>
          <cell r="K378"/>
          <cell r="L378"/>
          <cell r="M378"/>
        </row>
        <row r="379">
          <cell r="A379"/>
          <cell r="B379"/>
          <cell r="C379"/>
          <cell r="D379"/>
          <cell r="E379"/>
          <cell r="F379"/>
          <cell r="G379"/>
          <cell r="H379" t="str">
            <v/>
          </cell>
          <cell r="I379"/>
          <cell r="J379"/>
          <cell r="K379"/>
          <cell r="L379"/>
          <cell r="M379"/>
        </row>
        <row r="380">
          <cell r="A380"/>
          <cell r="B380"/>
          <cell r="C380"/>
          <cell r="D380"/>
          <cell r="E380"/>
          <cell r="F380"/>
          <cell r="G380"/>
          <cell r="H380" t="str">
            <v/>
          </cell>
          <cell r="I380"/>
          <cell r="J380"/>
          <cell r="K380"/>
          <cell r="L380"/>
          <cell r="M380"/>
        </row>
        <row r="381">
          <cell r="A381"/>
          <cell r="B381"/>
          <cell r="C381"/>
          <cell r="D381"/>
          <cell r="E381"/>
          <cell r="F381"/>
          <cell r="G381"/>
          <cell r="H381" t="str">
            <v/>
          </cell>
          <cell r="I381"/>
          <cell r="J381"/>
          <cell r="K381"/>
          <cell r="L381"/>
          <cell r="M381"/>
        </row>
        <row r="382">
          <cell r="A382"/>
          <cell r="B382"/>
          <cell r="C382"/>
          <cell r="D382"/>
          <cell r="E382"/>
          <cell r="F382"/>
          <cell r="G382"/>
          <cell r="H382" t="str">
            <v/>
          </cell>
          <cell r="I382"/>
          <cell r="J382"/>
          <cell r="K382"/>
          <cell r="L382"/>
          <cell r="M382"/>
        </row>
        <row r="383">
          <cell r="A383"/>
          <cell r="B383"/>
          <cell r="C383"/>
          <cell r="D383"/>
          <cell r="E383"/>
          <cell r="F383"/>
          <cell r="G383"/>
          <cell r="H383" t="str">
            <v/>
          </cell>
          <cell r="I383"/>
          <cell r="J383"/>
          <cell r="K383"/>
          <cell r="L383"/>
          <cell r="M383"/>
        </row>
        <row r="384">
          <cell r="A384"/>
          <cell r="B384"/>
          <cell r="C384"/>
          <cell r="D384"/>
          <cell r="E384"/>
          <cell r="F384"/>
          <cell r="G384"/>
          <cell r="H384" t="str">
            <v/>
          </cell>
          <cell r="I384"/>
          <cell r="J384"/>
          <cell r="K384"/>
          <cell r="L384"/>
          <cell r="M384"/>
        </row>
        <row r="385">
          <cell r="A385"/>
          <cell r="B385"/>
          <cell r="C385"/>
          <cell r="D385"/>
          <cell r="E385"/>
          <cell r="F385"/>
          <cell r="G385"/>
          <cell r="H385" t="str">
            <v/>
          </cell>
          <cell r="I385"/>
          <cell r="J385"/>
          <cell r="K385"/>
          <cell r="L385"/>
          <cell r="M385"/>
        </row>
        <row r="386">
          <cell r="A386"/>
          <cell r="B386"/>
          <cell r="C386"/>
          <cell r="D386"/>
          <cell r="E386"/>
          <cell r="F386"/>
          <cell r="G386"/>
          <cell r="H386" t="str">
            <v/>
          </cell>
          <cell r="I386"/>
          <cell r="J386"/>
          <cell r="K386"/>
          <cell r="L386"/>
          <cell r="M386"/>
        </row>
        <row r="387">
          <cell r="A387"/>
          <cell r="B387"/>
          <cell r="C387"/>
          <cell r="D387"/>
          <cell r="E387"/>
          <cell r="F387"/>
          <cell r="G387"/>
          <cell r="H387" t="str">
            <v/>
          </cell>
          <cell r="I387"/>
          <cell r="J387"/>
          <cell r="K387"/>
          <cell r="L387"/>
          <cell r="M387"/>
        </row>
        <row r="388">
          <cell r="A388"/>
          <cell r="B388"/>
          <cell r="C388"/>
          <cell r="D388"/>
          <cell r="E388"/>
          <cell r="F388"/>
          <cell r="G388"/>
          <cell r="H388" t="str">
            <v/>
          </cell>
          <cell r="I388"/>
          <cell r="J388"/>
          <cell r="K388"/>
          <cell r="L388"/>
          <cell r="M388"/>
        </row>
        <row r="389">
          <cell r="A389"/>
          <cell r="B389"/>
          <cell r="C389"/>
          <cell r="D389"/>
          <cell r="E389"/>
          <cell r="F389"/>
          <cell r="G389"/>
          <cell r="H389" t="str">
            <v/>
          </cell>
          <cell r="I389"/>
          <cell r="J389"/>
          <cell r="K389"/>
          <cell r="L389"/>
          <cell r="M389"/>
        </row>
        <row r="390">
          <cell r="A390"/>
          <cell r="B390"/>
          <cell r="C390"/>
          <cell r="D390"/>
          <cell r="E390"/>
          <cell r="F390"/>
          <cell r="G390"/>
          <cell r="H390" t="str">
            <v/>
          </cell>
          <cell r="I390"/>
          <cell r="J390"/>
          <cell r="K390"/>
          <cell r="L390"/>
          <cell r="M390"/>
        </row>
        <row r="391">
          <cell r="A391"/>
          <cell r="B391"/>
          <cell r="C391"/>
          <cell r="D391"/>
          <cell r="E391"/>
          <cell r="F391"/>
          <cell r="G391"/>
          <cell r="H391" t="str">
            <v/>
          </cell>
          <cell r="I391"/>
          <cell r="J391"/>
          <cell r="K391"/>
          <cell r="L391"/>
          <cell r="M391"/>
        </row>
        <row r="392">
          <cell r="A392"/>
          <cell r="B392"/>
          <cell r="C392"/>
          <cell r="D392"/>
          <cell r="E392"/>
          <cell r="F392"/>
          <cell r="G392"/>
          <cell r="H392" t="str">
            <v/>
          </cell>
          <cell r="I392"/>
          <cell r="J392"/>
          <cell r="K392"/>
          <cell r="L392"/>
          <cell r="M392"/>
        </row>
        <row r="393">
          <cell r="A393"/>
          <cell r="B393"/>
          <cell r="C393"/>
          <cell r="D393"/>
          <cell r="E393"/>
          <cell r="F393"/>
          <cell r="G393"/>
          <cell r="H393" t="str">
            <v/>
          </cell>
          <cell r="I393"/>
          <cell r="J393"/>
          <cell r="K393"/>
          <cell r="L393"/>
          <cell r="M393"/>
        </row>
        <row r="394">
          <cell r="A394"/>
          <cell r="B394"/>
          <cell r="C394"/>
          <cell r="D394"/>
          <cell r="E394"/>
          <cell r="F394"/>
          <cell r="G394"/>
          <cell r="H394" t="str">
            <v/>
          </cell>
          <cell r="I394"/>
          <cell r="J394"/>
          <cell r="K394"/>
          <cell r="L394"/>
          <cell r="M394"/>
        </row>
        <row r="395">
          <cell r="A395"/>
          <cell r="B395"/>
          <cell r="C395"/>
          <cell r="D395"/>
          <cell r="E395"/>
          <cell r="F395"/>
          <cell r="G395"/>
          <cell r="H395" t="str">
            <v/>
          </cell>
          <cell r="I395"/>
          <cell r="J395"/>
          <cell r="K395"/>
          <cell r="L395"/>
          <cell r="M395"/>
        </row>
        <row r="396">
          <cell r="A396"/>
          <cell r="B396"/>
          <cell r="C396"/>
          <cell r="D396"/>
          <cell r="E396"/>
          <cell r="F396"/>
          <cell r="G396"/>
          <cell r="H396" t="str">
            <v/>
          </cell>
          <cell r="I396"/>
          <cell r="J396"/>
          <cell r="K396"/>
          <cell r="L396"/>
          <cell r="M396"/>
        </row>
        <row r="397">
          <cell r="A397"/>
          <cell r="B397"/>
          <cell r="C397"/>
          <cell r="D397"/>
          <cell r="E397"/>
          <cell r="F397"/>
          <cell r="G397"/>
          <cell r="H397" t="str">
            <v/>
          </cell>
          <cell r="I397"/>
          <cell r="J397"/>
          <cell r="K397"/>
          <cell r="L397"/>
          <cell r="M397"/>
        </row>
        <row r="398">
          <cell r="A398"/>
          <cell r="B398"/>
          <cell r="C398"/>
          <cell r="D398"/>
          <cell r="E398"/>
          <cell r="F398"/>
          <cell r="G398"/>
          <cell r="H398" t="str">
            <v/>
          </cell>
          <cell r="I398"/>
          <cell r="J398"/>
          <cell r="K398"/>
          <cell r="L398"/>
          <cell r="M398"/>
        </row>
        <row r="399">
          <cell r="A399"/>
          <cell r="B399"/>
          <cell r="C399"/>
          <cell r="D399"/>
          <cell r="E399"/>
          <cell r="F399"/>
          <cell r="G399"/>
          <cell r="H399" t="str">
            <v/>
          </cell>
          <cell r="I399"/>
          <cell r="J399"/>
          <cell r="K399"/>
          <cell r="L399"/>
          <cell r="M399"/>
        </row>
        <row r="400">
          <cell r="A400"/>
          <cell r="B400"/>
          <cell r="C400"/>
          <cell r="D400"/>
          <cell r="E400"/>
          <cell r="F400"/>
          <cell r="G400"/>
          <cell r="H400" t="str">
            <v/>
          </cell>
          <cell r="I400"/>
          <cell r="J400"/>
          <cell r="K400"/>
          <cell r="L400"/>
          <cell r="M400"/>
        </row>
        <row r="401">
          <cell r="A401"/>
          <cell r="B401"/>
          <cell r="C401"/>
          <cell r="D401"/>
          <cell r="E401"/>
          <cell r="F401"/>
          <cell r="G401"/>
          <cell r="H401" t="str">
            <v/>
          </cell>
          <cell r="I401"/>
          <cell r="J401"/>
          <cell r="K401"/>
          <cell r="L401"/>
          <cell r="M401"/>
        </row>
        <row r="402">
          <cell r="A402"/>
          <cell r="B402"/>
          <cell r="C402"/>
          <cell r="D402"/>
          <cell r="E402"/>
          <cell r="F402"/>
          <cell r="G402"/>
          <cell r="H402" t="str">
            <v/>
          </cell>
          <cell r="I402"/>
          <cell r="J402"/>
          <cell r="K402"/>
          <cell r="L402"/>
          <cell r="M402"/>
        </row>
        <row r="403">
          <cell r="A403"/>
          <cell r="B403"/>
          <cell r="C403"/>
          <cell r="D403"/>
          <cell r="E403"/>
          <cell r="F403"/>
          <cell r="G403"/>
          <cell r="H403" t="str">
            <v/>
          </cell>
          <cell r="I403"/>
          <cell r="J403"/>
          <cell r="K403"/>
          <cell r="L403"/>
          <cell r="M403"/>
        </row>
        <row r="404">
          <cell r="A404"/>
          <cell r="B404"/>
          <cell r="C404"/>
          <cell r="D404"/>
          <cell r="E404"/>
          <cell r="F404"/>
          <cell r="G404"/>
          <cell r="H404" t="str">
            <v/>
          </cell>
          <cell r="I404"/>
          <cell r="J404"/>
          <cell r="K404"/>
          <cell r="L404"/>
          <cell r="M404"/>
        </row>
        <row r="405">
          <cell r="A405"/>
          <cell r="B405"/>
          <cell r="C405"/>
          <cell r="D405"/>
          <cell r="E405"/>
          <cell r="F405"/>
          <cell r="G405"/>
          <cell r="H405" t="str">
            <v/>
          </cell>
          <cell r="I405"/>
          <cell r="J405"/>
          <cell r="K405"/>
          <cell r="L405"/>
          <cell r="M405"/>
        </row>
        <row r="406">
          <cell r="A406"/>
          <cell r="B406"/>
          <cell r="C406"/>
          <cell r="D406"/>
          <cell r="E406"/>
          <cell r="F406"/>
          <cell r="G406"/>
          <cell r="H406" t="str">
            <v/>
          </cell>
          <cell r="I406"/>
          <cell r="J406"/>
          <cell r="K406"/>
          <cell r="L406"/>
          <cell r="M406"/>
        </row>
        <row r="407">
          <cell r="A407"/>
          <cell r="B407"/>
          <cell r="C407"/>
          <cell r="D407"/>
          <cell r="E407"/>
          <cell r="F407"/>
          <cell r="G407"/>
          <cell r="H407" t="str">
            <v/>
          </cell>
          <cell r="I407"/>
          <cell r="J407"/>
          <cell r="K407"/>
          <cell r="L407"/>
          <cell r="M407"/>
        </row>
        <row r="408">
          <cell r="A408"/>
          <cell r="B408"/>
          <cell r="C408"/>
          <cell r="D408"/>
          <cell r="E408"/>
          <cell r="F408"/>
          <cell r="G408"/>
          <cell r="H408" t="str">
            <v/>
          </cell>
          <cell r="I408"/>
          <cell r="J408"/>
          <cell r="K408"/>
          <cell r="L408"/>
          <cell r="M408"/>
        </row>
        <row r="409">
          <cell r="A409"/>
          <cell r="B409"/>
          <cell r="C409"/>
          <cell r="D409"/>
          <cell r="E409"/>
          <cell r="F409"/>
          <cell r="G409"/>
          <cell r="H409" t="str">
            <v/>
          </cell>
          <cell r="I409"/>
          <cell r="J409"/>
          <cell r="K409"/>
          <cell r="L409"/>
          <cell r="M409"/>
        </row>
        <row r="410">
          <cell r="A410"/>
          <cell r="B410"/>
          <cell r="C410"/>
          <cell r="D410"/>
          <cell r="E410"/>
          <cell r="F410"/>
          <cell r="G410"/>
          <cell r="H410" t="str">
            <v/>
          </cell>
          <cell r="I410"/>
          <cell r="J410"/>
          <cell r="K410"/>
          <cell r="L410"/>
          <cell r="M410"/>
        </row>
        <row r="411">
          <cell r="A411"/>
          <cell r="B411"/>
          <cell r="C411"/>
          <cell r="D411"/>
          <cell r="E411"/>
          <cell r="F411"/>
          <cell r="G411"/>
          <cell r="H411" t="str">
            <v/>
          </cell>
          <cell r="I411"/>
          <cell r="J411"/>
          <cell r="K411"/>
          <cell r="L411"/>
          <cell r="M411"/>
        </row>
        <row r="412">
          <cell r="A412"/>
          <cell r="B412"/>
          <cell r="C412"/>
          <cell r="D412"/>
          <cell r="E412"/>
          <cell r="F412"/>
          <cell r="G412"/>
          <cell r="H412" t="str">
            <v/>
          </cell>
          <cell r="I412"/>
          <cell r="J412"/>
          <cell r="K412"/>
          <cell r="L412"/>
          <cell r="M412"/>
        </row>
        <row r="413">
          <cell r="A413"/>
          <cell r="B413"/>
          <cell r="C413"/>
          <cell r="D413"/>
          <cell r="E413"/>
          <cell r="F413"/>
          <cell r="G413"/>
          <cell r="H413" t="str">
            <v/>
          </cell>
          <cell r="I413"/>
          <cell r="J413"/>
          <cell r="K413"/>
          <cell r="L413"/>
          <cell r="M413"/>
        </row>
        <row r="414">
          <cell r="A414"/>
          <cell r="B414"/>
          <cell r="C414"/>
          <cell r="D414"/>
          <cell r="E414"/>
          <cell r="F414"/>
          <cell r="G414"/>
          <cell r="H414" t="str">
            <v/>
          </cell>
          <cell r="I414"/>
          <cell r="J414"/>
          <cell r="K414"/>
          <cell r="L414"/>
          <cell r="M414"/>
        </row>
        <row r="415">
          <cell r="A415"/>
          <cell r="B415"/>
          <cell r="C415"/>
          <cell r="D415"/>
          <cell r="E415"/>
          <cell r="F415"/>
          <cell r="G415"/>
          <cell r="H415" t="str">
            <v/>
          </cell>
          <cell r="I415"/>
          <cell r="J415"/>
          <cell r="K415"/>
          <cell r="L415"/>
          <cell r="M415"/>
        </row>
        <row r="416">
          <cell r="A416"/>
          <cell r="B416"/>
          <cell r="C416"/>
          <cell r="D416"/>
          <cell r="E416"/>
          <cell r="F416"/>
          <cell r="G416"/>
          <cell r="H416" t="str">
            <v/>
          </cell>
          <cell r="I416"/>
          <cell r="J416"/>
          <cell r="K416"/>
          <cell r="L416"/>
          <cell r="M416"/>
        </row>
        <row r="417">
          <cell r="A417"/>
          <cell r="B417"/>
          <cell r="C417"/>
          <cell r="D417"/>
          <cell r="E417"/>
          <cell r="F417"/>
          <cell r="G417"/>
          <cell r="H417" t="str">
            <v/>
          </cell>
          <cell r="I417"/>
          <cell r="J417"/>
          <cell r="K417"/>
          <cell r="L417"/>
          <cell r="M417"/>
        </row>
        <row r="418">
          <cell r="A418"/>
          <cell r="B418"/>
          <cell r="C418"/>
          <cell r="D418"/>
          <cell r="E418"/>
          <cell r="F418"/>
          <cell r="G418"/>
          <cell r="H418" t="str">
            <v/>
          </cell>
          <cell r="I418"/>
          <cell r="J418"/>
          <cell r="K418"/>
          <cell r="L418"/>
          <cell r="M418"/>
        </row>
        <row r="419">
          <cell r="A419"/>
          <cell r="B419"/>
          <cell r="C419"/>
          <cell r="D419"/>
          <cell r="E419"/>
          <cell r="F419"/>
          <cell r="G419"/>
          <cell r="H419" t="str">
            <v/>
          </cell>
          <cell r="I419"/>
          <cell r="J419"/>
          <cell r="K419"/>
          <cell r="L419"/>
          <cell r="M419"/>
        </row>
        <row r="420">
          <cell r="A420"/>
          <cell r="B420"/>
          <cell r="C420"/>
          <cell r="D420"/>
          <cell r="E420"/>
          <cell r="F420"/>
          <cell r="G420"/>
          <cell r="H420" t="str">
            <v/>
          </cell>
          <cell r="I420"/>
          <cell r="J420"/>
          <cell r="K420"/>
          <cell r="L420"/>
          <cell r="M420"/>
        </row>
        <row r="421">
          <cell r="A421"/>
          <cell r="B421"/>
          <cell r="C421"/>
          <cell r="D421"/>
          <cell r="E421"/>
          <cell r="F421"/>
          <cell r="G421"/>
          <cell r="H421" t="str">
            <v/>
          </cell>
          <cell r="I421"/>
          <cell r="J421"/>
          <cell r="K421"/>
          <cell r="L421"/>
          <cell r="M421"/>
        </row>
        <row r="422">
          <cell r="A422"/>
          <cell r="B422"/>
          <cell r="C422"/>
          <cell r="D422"/>
          <cell r="E422"/>
          <cell r="F422"/>
          <cell r="G422"/>
          <cell r="H422" t="str">
            <v/>
          </cell>
          <cell r="I422"/>
          <cell r="J422"/>
          <cell r="K422"/>
          <cell r="L422"/>
          <cell r="M422"/>
        </row>
        <row r="423">
          <cell r="A423"/>
          <cell r="B423"/>
          <cell r="C423"/>
          <cell r="D423"/>
          <cell r="E423"/>
          <cell r="F423"/>
          <cell r="G423"/>
          <cell r="H423" t="str">
            <v/>
          </cell>
          <cell r="I423"/>
          <cell r="J423"/>
          <cell r="K423"/>
          <cell r="L423"/>
          <cell r="M423"/>
        </row>
        <row r="424">
          <cell r="A424"/>
          <cell r="B424"/>
          <cell r="C424"/>
          <cell r="D424"/>
          <cell r="E424"/>
          <cell r="F424"/>
          <cell r="G424"/>
          <cell r="H424" t="str">
            <v/>
          </cell>
          <cell r="I424"/>
          <cell r="J424"/>
          <cell r="K424"/>
          <cell r="L424"/>
          <cell r="M424"/>
        </row>
        <row r="425">
          <cell r="A425"/>
          <cell r="B425"/>
          <cell r="C425"/>
          <cell r="D425"/>
          <cell r="E425"/>
          <cell r="F425"/>
          <cell r="G425"/>
          <cell r="H425" t="str">
            <v/>
          </cell>
          <cell r="I425"/>
          <cell r="J425"/>
          <cell r="K425"/>
          <cell r="L425"/>
          <cell r="M425"/>
        </row>
        <row r="426">
          <cell r="A426"/>
          <cell r="B426"/>
          <cell r="C426"/>
          <cell r="D426"/>
          <cell r="E426"/>
          <cell r="F426"/>
          <cell r="G426"/>
          <cell r="H426" t="str">
            <v/>
          </cell>
          <cell r="I426"/>
          <cell r="J426"/>
          <cell r="K426"/>
          <cell r="L426"/>
          <cell r="M426"/>
        </row>
        <row r="427">
          <cell r="A427"/>
          <cell r="B427"/>
          <cell r="C427"/>
          <cell r="D427"/>
          <cell r="E427"/>
          <cell r="F427"/>
          <cell r="G427"/>
          <cell r="H427" t="str">
            <v/>
          </cell>
          <cell r="I427"/>
          <cell r="J427"/>
          <cell r="K427"/>
          <cell r="L427"/>
          <cell r="M427"/>
        </row>
        <row r="428">
          <cell r="A428"/>
          <cell r="B428"/>
          <cell r="C428"/>
          <cell r="D428"/>
          <cell r="E428"/>
          <cell r="F428"/>
          <cell r="G428"/>
          <cell r="H428" t="str">
            <v/>
          </cell>
          <cell r="I428"/>
          <cell r="J428"/>
          <cell r="K428"/>
          <cell r="L428"/>
          <cell r="M428"/>
        </row>
        <row r="429">
          <cell r="A429"/>
          <cell r="B429"/>
          <cell r="C429"/>
          <cell r="D429"/>
          <cell r="E429"/>
          <cell r="F429"/>
          <cell r="G429"/>
          <cell r="H429" t="str">
            <v/>
          </cell>
          <cell r="I429"/>
          <cell r="J429"/>
          <cell r="K429"/>
          <cell r="L429"/>
          <cell r="M429"/>
        </row>
        <row r="430">
          <cell r="A430"/>
          <cell r="B430"/>
          <cell r="C430"/>
          <cell r="D430"/>
          <cell r="E430"/>
          <cell r="F430"/>
          <cell r="G430"/>
          <cell r="H430" t="str">
            <v/>
          </cell>
          <cell r="I430"/>
          <cell r="J430"/>
          <cell r="K430"/>
          <cell r="L430"/>
          <cell r="M430"/>
        </row>
        <row r="431">
          <cell r="A431"/>
          <cell r="B431"/>
          <cell r="C431"/>
          <cell r="D431"/>
          <cell r="E431"/>
          <cell r="F431"/>
          <cell r="G431"/>
          <cell r="H431" t="str">
            <v/>
          </cell>
          <cell r="I431"/>
          <cell r="J431"/>
          <cell r="K431"/>
          <cell r="L431"/>
          <cell r="M431"/>
        </row>
        <row r="432">
          <cell r="A432"/>
          <cell r="B432"/>
          <cell r="C432"/>
          <cell r="D432"/>
          <cell r="E432"/>
          <cell r="F432"/>
          <cell r="G432"/>
          <cell r="H432" t="str">
            <v/>
          </cell>
          <cell r="I432"/>
          <cell r="J432"/>
          <cell r="K432"/>
          <cell r="L432"/>
          <cell r="M432"/>
        </row>
        <row r="433">
          <cell r="A433"/>
          <cell r="B433"/>
          <cell r="C433"/>
          <cell r="D433"/>
          <cell r="E433"/>
          <cell r="F433"/>
          <cell r="G433"/>
          <cell r="H433" t="str">
            <v/>
          </cell>
          <cell r="I433"/>
          <cell r="J433"/>
          <cell r="K433"/>
          <cell r="L433"/>
          <cell r="M433"/>
        </row>
        <row r="434">
          <cell r="A434"/>
          <cell r="B434"/>
          <cell r="C434"/>
          <cell r="D434"/>
          <cell r="E434"/>
          <cell r="F434"/>
          <cell r="G434"/>
          <cell r="H434" t="str">
            <v/>
          </cell>
          <cell r="I434"/>
          <cell r="J434"/>
          <cell r="K434"/>
          <cell r="L434"/>
          <cell r="M434"/>
        </row>
        <row r="435">
          <cell r="A435"/>
          <cell r="B435"/>
          <cell r="C435"/>
          <cell r="D435"/>
          <cell r="E435"/>
          <cell r="F435"/>
          <cell r="G435"/>
          <cell r="H435" t="str">
            <v/>
          </cell>
          <cell r="I435"/>
          <cell r="J435"/>
          <cell r="K435"/>
          <cell r="L435"/>
          <cell r="M435"/>
        </row>
        <row r="436">
          <cell r="A436"/>
          <cell r="B436"/>
          <cell r="C436"/>
          <cell r="D436"/>
          <cell r="E436"/>
          <cell r="F436"/>
          <cell r="G436"/>
          <cell r="H436" t="str">
            <v/>
          </cell>
          <cell r="I436"/>
          <cell r="J436"/>
          <cell r="K436"/>
          <cell r="L436"/>
          <cell r="M436"/>
        </row>
        <row r="437">
          <cell r="A437"/>
          <cell r="B437"/>
          <cell r="C437"/>
          <cell r="D437"/>
          <cell r="E437"/>
          <cell r="F437"/>
          <cell r="G437"/>
          <cell r="H437" t="str">
            <v/>
          </cell>
          <cell r="I437"/>
          <cell r="J437"/>
          <cell r="K437"/>
          <cell r="L437"/>
          <cell r="M437"/>
        </row>
        <row r="438">
          <cell r="A438"/>
          <cell r="B438"/>
          <cell r="C438"/>
          <cell r="D438"/>
          <cell r="E438"/>
          <cell r="F438"/>
          <cell r="G438"/>
          <cell r="H438" t="str">
            <v/>
          </cell>
          <cell r="I438"/>
          <cell r="J438"/>
          <cell r="K438"/>
          <cell r="L438"/>
          <cell r="M438"/>
        </row>
        <row r="439">
          <cell r="A439"/>
          <cell r="B439"/>
          <cell r="C439"/>
          <cell r="D439"/>
          <cell r="E439"/>
          <cell r="F439"/>
          <cell r="G439"/>
          <cell r="H439" t="str">
            <v/>
          </cell>
          <cell r="I439"/>
          <cell r="J439"/>
          <cell r="K439"/>
          <cell r="L439"/>
          <cell r="M439"/>
        </row>
        <row r="440">
          <cell r="A440"/>
          <cell r="B440"/>
          <cell r="C440"/>
          <cell r="D440"/>
          <cell r="E440"/>
          <cell r="F440"/>
          <cell r="G440"/>
          <cell r="H440" t="str">
            <v/>
          </cell>
          <cell r="I440"/>
          <cell r="J440"/>
          <cell r="K440"/>
          <cell r="L440"/>
          <cell r="M440"/>
        </row>
        <row r="441">
          <cell r="A441"/>
          <cell r="B441"/>
          <cell r="C441"/>
          <cell r="D441"/>
          <cell r="E441"/>
          <cell r="F441"/>
          <cell r="G441"/>
          <cell r="H441" t="str">
            <v/>
          </cell>
          <cell r="I441"/>
          <cell r="J441"/>
          <cell r="K441"/>
          <cell r="L441"/>
          <cell r="M441"/>
        </row>
        <row r="442">
          <cell r="A442"/>
          <cell r="B442"/>
          <cell r="C442"/>
          <cell r="D442"/>
          <cell r="E442"/>
          <cell r="F442"/>
          <cell r="G442"/>
          <cell r="H442" t="str">
            <v/>
          </cell>
          <cell r="I442"/>
          <cell r="J442"/>
          <cell r="K442"/>
          <cell r="L442"/>
          <cell r="M442"/>
        </row>
        <row r="443">
          <cell r="A443"/>
          <cell r="B443"/>
          <cell r="C443"/>
          <cell r="D443"/>
          <cell r="E443"/>
          <cell r="F443"/>
          <cell r="G443"/>
          <cell r="H443" t="str">
            <v/>
          </cell>
          <cell r="I443"/>
          <cell r="J443"/>
          <cell r="K443"/>
          <cell r="L443"/>
          <cell r="M443"/>
        </row>
        <row r="444">
          <cell r="A444"/>
          <cell r="B444"/>
          <cell r="C444"/>
          <cell r="D444"/>
          <cell r="E444"/>
          <cell r="F444"/>
          <cell r="G444"/>
          <cell r="H444" t="str">
            <v/>
          </cell>
          <cell r="I444"/>
          <cell r="J444"/>
          <cell r="K444"/>
          <cell r="L444"/>
          <cell r="M444"/>
        </row>
        <row r="445">
          <cell r="A445"/>
          <cell r="B445"/>
          <cell r="C445"/>
          <cell r="D445"/>
          <cell r="E445"/>
          <cell r="F445"/>
          <cell r="G445"/>
          <cell r="H445" t="str">
            <v/>
          </cell>
          <cell r="I445"/>
          <cell r="J445"/>
          <cell r="K445"/>
          <cell r="L445"/>
          <cell r="M445"/>
        </row>
        <row r="446">
          <cell r="A446"/>
          <cell r="B446"/>
          <cell r="C446"/>
          <cell r="D446"/>
          <cell r="E446"/>
          <cell r="F446"/>
          <cell r="G446"/>
          <cell r="H446" t="str">
            <v/>
          </cell>
          <cell r="I446"/>
          <cell r="J446"/>
          <cell r="K446"/>
          <cell r="L446"/>
          <cell r="M446"/>
        </row>
        <row r="447">
          <cell r="A447"/>
          <cell r="B447"/>
          <cell r="C447"/>
          <cell r="D447"/>
          <cell r="E447"/>
          <cell r="F447"/>
          <cell r="G447"/>
          <cell r="H447" t="str">
            <v/>
          </cell>
          <cell r="I447"/>
          <cell r="J447"/>
          <cell r="K447"/>
          <cell r="L447"/>
          <cell r="M447"/>
        </row>
        <row r="448">
          <cell r="A448"/>
          <cell r="B448"/>
          <cell r="C448"/>
          <cell r="D448"/>
          <cell r="E448"/>
          <cell r="F448"/>
          <cell r="G448"/>
          <cell r="H448" t="str">
            <v/>
          </cell>
          <cell r="I448"/>
          <cell r="J448"/>
          <cell r="K448"/>
          <cell r="L448"/>
          <cell r="M448"/>
        </row>
        <row r="449">
          <cell r="A449"/>
          <cell r="B449"/>
          <cell r="C449"/>
          <cell r="D449"/>
          <cell r="E449"/>
          <cell r="F449"/>
          <cell r="G449"/>
          <cell r="H449" t="str">
            <v/>
          </cell>
          <cell r="I449"/>
          <cell r="J449"/>
          <cell r="K449"/>
          <cell r="L449"/>
          <cell r="M449"/>
        </row>
        <row r="450">
          <cell r="A450"/>
          <cell r="B450"/>
          <cell r="C450"/>
          <cell r="D450"/>
          <cell r="E450"/>
          <cell r="F450"/>
          <cell r="G450"/>
          <cell r="H450" t="str">
            <v/>
          </cell>
          <cell r="I450"/>
          <cell r="J450"/>
          <cell r="K450"/>
          <cell r="L450"/>
          <cell r="M450"/>
        </row>
        <row r="451">
          <cell r="A451"/>
          <cell r="B451"/>
          <cell r="C451"/>
          <cell r="D451"/>
          <cell r="E451"/>
          <cell r="F451"/>
          <cell r="G451"/>
          <cell r="H451" t="str">
            <v/>
          </cell>
          <cell r="I451"/>
          <cell r="J451"/>
          <cell r="K451"/>
          <cell r="L451"/>
          <cell r="M451"/>
        </row>
        <row r="452">
          <cell r="A452"/>
          <cell r="B452"/>
          <cell r="C452"/>
          <cell r="D452"/>
          <cell r="E452"/>
          <cell r="F452"/>
          <cell r="G452"/>
          <cell r="H452" t="str">
            <v/>
          </cell>
          <cell r="I452"/>
          <cell r="J452"/>
          <cell r="K452"/>
          <cell r="L452"/>
          <cell r="M452"/>
        </row>
        <row r="453">
          <cell r="A453"/>
          <cell r="B453"/>
          <cell r="C453"/>
          <cell r="D453"/>
          <cell r="E453"/>
          <cell r="F453"/>
          <cell r="G453"/>
          <cell r="H453" t="str">
            <v/>
          </cell>
          <cell r="I453"/>
          <cell r="J453"/>
          <cell r="K453"/>
          <cell r="L453"/>
          <cell r="M453"/>
        </row>
        <row r="454">
          <cell r="A454"/>
          <cell r="B454"/>
          <cell r="C454"/>
          <cell r="D454"/>
          <cell r="E454"/>
          <cell r="F454"/>
          <cell r="G454"/>
          <cell r="H454" t="str">
            <v/>
          </cell>
          <cell r="I454"/>
          <cell r="J454"/>
          <cell r="K454"/>
          <cell r="L454"/>
          <cell r="M454"/>
        </row>
        <row r="455">
          <cell r="A455"/>
          <cell r="B455"/>
          <cell r="C455"/>
          <cell r="D455"/>
          <cell r="E455"/>
          <cell r="F455"/>
          <cell r="G455"/>
          <cell r="H455" t="str">
            <v/>
          </cell>
          <cell r="I455"/>
          <cell r="J455"/>
          <cell r="K455"/>
          <cell r="L455"/>
          <cell r="M455"/>
        </row>
        <row r="456">
          <cell r="A456"/>
          <cell r="B456"/>
          <cell r="C456"/>
          <cell r="D456"/>
          <cell r="E456"/>
          <cell r="F456"/>
          <cell r="G456"/>
          <cell r="H456" t="str">
            <v/>
          </cell>
          <cell r="I456"/>
          <cell r="J456"/>
          <cell r="K456"/>
          <cell r="L456"/>
          <cell r="M456"/>
        </row>
        <row r="457">
          <cell r="A457"/>
          <cell r="B457"/>
          <cell r="C457"/>
          <cell r="D457"/>
          <cell r="E457"/>
          <cell r="F457"/>
          <cell r="G457"/>
          <cell r="H457" t="str">
            <v/>
          </cell>
          <cell r="I457"/>
          <cell r="J457"/>
          <cell r="K457"/>
          <cell r="L457"/>
          <cell r="M457"/>
        </row>
        <row r="458">
          <cell r="A458"/>
          <cell r="B458"/>
          <cell r="C458"/>
          <cell r="D458"/>
          <cell r="E458"/>
          <cell r="F458"/>
          <cell r="G458"/>
          <cell r="H458" t="str">
            <v/>
          </cell>
          <cell r="I458"/>
          <cell r="J458"/>
          <cell r="K458"/>
          <cell r="L458"/>
          <cell r="M458"/>
        </row>
        <row r="459">
          <cell r="A459"/>
          <cell r="B459"/>
          <cell r="C459"/>
          <cell r="D459"/>
          <cell r="E459"/>
          <cell r="F459"/>
          <cell r="G459"/>
          <cell r="H459" t="str">
            <v/>
          </cell>
          <cell r="I459"/>
          <cell r="J459"/>
          <cell r="K459"/>
          <cell r="L459"/>
          <cell r="M459"/>
        </row>
        <row r="460">
          <cell r="A460"/>
          <cell r="B460"/>
          <cell r="C460"/>
          <cell r="D460"/>
          <cell r="E460"/>
          <cell r="F460"/>
          <cell r="G460"/>
          <cell r="H460" t="str">
            <v/>
          </cell>
          <cell r="I460"/>
          <cell r="J460"/>
          <cell r="K460"/>
          <cell r="L460"/>
          <cell r="M460"/>
        </row>
        <row r="461">
          <cell r="A461"/>
          <cell r="B461"/>
          <cell r="C461"/>
          <cell r="D461"/>
          <cell r="E461"/>
          <cell r="F461"/>
          <cell r="G461"/>
          <cell r="H461" t="str">
            <v/>
          </cell>
          <cell r="I461"/>
          <cell r="J461"/>
          <cell r="K461"/>
          <cell r="L461"/>
          <cell r="M461"/>
        </row>
        <row r="462">
          <cell r="A462"/>
          <cell r="B462"/>
          <cell r="C462"/>
          <cell r="D462"/>
          <cell r="E462"/>
          <cell r="F462"/>
          <cell r="G462"/>
          <cell r="H462" t="str">
            <v/>
          </cell>
          <cell r="I462"/>
          <cell r="J462"/>
          <cell r="K462"/>
          <cell r="L462"/>
          <cell r="M462"/>
        </row>
        <row r="463">
          <cell r="A463"/>
          <cell r="B463"/>
          <cell r="C463"/>
          <cell r="D463"/>
          <cell r="E463"/>
          <cell r="F463"/>
          <cell r="G463"/>
          <cell r="H463" t="str">
            <v/>
          </cell>
          <cell r="I463"/>
          <cell r="J463"/>
          <cell r="K463"/>
          <cell r="L463"/>
          <cell r="M463"/>
        </row>
        <row r="464">
          <cell r="A464"/>
          <cell r="B464"/>
          <cell r="C464"/>
          <cell r="D464"/>
          <cell r="E464"/>
          <cell r="F464"/>
          <cell r="G464"/>
          <cell r="H464" t="str">
            <v/>
          </cell>
          <cell r="I464"/>
          <cell r="J464"/>
          <cell r="K464"/>
          <cell r="L464"/>
          <cell r="M464"/>
        </row>
        <row r="465">
          <cell r="A465"/>
          <cell r="B465"/>
          <cell r="C465"/>
          <cell r="D465"/>
          <cell r="E465"/>
          <cell r="F465"/>
          <cell r="G465"/>
          <cell r="H465" t="str">
            <v/>
          </cell>
          <cell r="I465"/>
          <cell r="J465"/>
          <cell r="K465"/>
          <cell r="L465"/>
          <cell r="M465"/>
        </row>
        <row r="466">
          <cell r="A466"/>
          <cell r="B466"/>
          <cell r="C466"/>
          <cell r="D466"/>
          <cell r="E466"/>
          <cell r="F466"/>
          <cell r="G466"/>
          <cell r="H466" t="str">
            <v/>
          </cell>
          <cell r="I466"/>
          <cell r="J466"/>
          <cell r="K466"/>
          <cell r="L466"/>
          <cell r="M466"/>
        </row>
        <row r="467">
          <cell r="A467"/>
          <cell r="B467"/>
          <cell r="C467"/>
          <cell r="D467"/>
          <cell r="E467"/>
          <cell r="F467"/>
          <cell r="G467"/>
          <cell r="H467" t="str">
            <v/>
          </cell>
          <cell r="I467"/>
          <cell r="J467"/>
          <cell r="K467"/>
          <cell r="L467"/>
          <cell r="M467"/>
        </row>
        <row r="468">
          <cell r="A468"/>
          <cell r="B468"/>
          <cell r="C468"/>
          <cell r="D468"/>
          <cell r="E468"/>
          <cell r="F468"/>
          <cell r="G468"/>
          <cell r="H468" t="str">
            <v/>
          </cell>
          <cell r="I468"/>
          <cell r="J468"/>
          <cell r="K468"/>
          <cell r="L468"/>
          <cell r="M468"/>
        </row>
        <row r="469">
          <cell r="A469"/>
          <cell r="B469"/>
          <cell r="C469"/>
          <cell r="D469"/>
          <cell r="E469"/>
          <cell r="F469"/>
          <cell r="G469"/>
          <cell r="H469" t="str">
            <v/>
          </cell>
          <cell r="I469"/>
          <cell r="J469"/>
          <cell r="K469"/>
          <cell r="L469"/>
          <cell r="M469"/>
        </row>
        <row r="470">
          <cell r="A470"/>
          <cell r="B470"/>
          <cell r="C470"/>
          <cell r="D470"/>
          <cell r="E470"/>
          <cell r="F470"/>
          <cell r="G470"/>
          <cell r="H470" t="str">
            <v/>
          </cell>
          <cell r="I470"/>
          <cell r="J470"/>
          <cell r="K470"/>
          <cell r="L470"/>
          <cell r="M470"/>
        </row>
        <row r="471">
          <cell r="A471"/>
          <cell r="B471"/>
          <cell r="C471"/>
          <cell r="D471"/>
          <cell r="E471"/>
          <cell r="F471"/>
          <cell r="G471"/>
          <cell r="H471" t="str">
            <v/>
          </cell>
          <cell r="I471"/>
          <cell r="J471"/>
          <cell r="K471"/>
          <cell r="L471"/>
          <cell r="M471"/>
        </row>
        <row r="472">
          <cell r="A472"/>
          <cell r="B472"/>
          <cell r="C472"/>
          <cell r="D472"/>
          <cell r="E472"/>
          <cell r="F472"/>
          <cell r="G472"/>
          <cell r="H472" t="str">
            <v/>
          </cell>
          <cell r="I472"/>
          <cell r="J472"/>
          <cell r="K472"/>
          <cell r="L472"/>
          <cell r="M472"/>
        </row>
        <row r="473">
          <cell r="A473"/>
          <cell r="B473"/>
          <cell r="C473"/>
          <cell r="D473"/>
          <cell r="E473"/>
          <cell r="F473"/>
          <cell r="G473"/>
          <cell r="H473" t="str">
            <v/>
          </cell>
          <cell r="I473"/>
          <cell r="J473"/>
          <cell r="K473"/>
          <cell r="L473"/>
          <cell r="M473"/>
        </row>
        <row r="474">
          <cell r="A474"/>
          <cell r="B474"/>
          <cell r="C474"/>
          <cell r="D474"/>
          <cell r="E474"/>
          <cell r="F474"/>
          <cell r="G474"/>
          <cell r="H474" t="str">
            <v/>
          </cell>
          <cell r="I474"/>
          <cell r="J474"/>
          <cell r="K474"/>
          <cell r="L474"/>
          <cell r="M474"/>
        </row>
        <row r="475">
          <cell r="A475"/>
          <cell r="B475"/>
          <cell r="C475"/>
          <cell r="D475"/>
          <cell r="E475"/>
          <cell r="F475"/>
          <cell r="G475"/>
          <cell r="H475" t="str">
            <v/>
          </cell>
          <cell r="I475"/>
          <cell r="J475"/>
          <cell r="K475"/>
          <cell r="L475"/>
          <cell r="M475"/>
        </row>
        <row r="476">
          <cell r="A476"/>
          <cell r="B476"/>
          <cell r="C476"/>
          <cell r="D476"/>
          <cell r="E476"/>
          <cell r="F476"/>
          <cell r="G476"/>
          <cell r="H476" t="str">
            <v/>
          </cell>
          <cell r="I476"/>
          <cell r="J476"/>
          <cell r="K476"/>
          <cell r="L476"/>
          <cell r="M476"/>
        </row>
        <row r="477">
          <cell r="A477"/>
          <cell r="B477"/>
          <cell r="C477"/>
          <cell r="D477"/>
          <cell r="E477"/>
          <cell r="F477"/>
          <cell r="G477"/>
          <cell r="H477" t="str">
            <v/>
          </cell>
          <cell r="I477"/>
          <cell r="J477"/>
          <cell r="K477"/>
          <cell r="L477"/>
          <cell r="M477"/>
        </row>
        <row r="478">
          <cell r="A478"/>
          <cell r="B478"/>
          <cell r="C478"/>
          <cell r="D478"/>
          <cell r="E478"/>
          <cell r="F478"/>
          <cell r="G478"/>
          <cell r="H478" t="str">
            <v/>
          </cell>
          <cell r="I478"/>
          <cell r="J478"/>
          <cell r="K478"/>
          <cell r="L478"/>
          <cell r="M478"/>
        </row>
        <row r="479">
          <cell r="A479"/>
          <cell r="B479"/>
          <cell r="C479"/>
          <cell r="D479"/>
          <cell r="E479"/>
          <cell r="F479"/>
          <cell r="G479"/>
          <cell r="H479" t="str">
            <v/>
          </cell>
          <cell r="I479"/>
          <cell r="J479"/>
          <cell r="K479"/>
          <cell r="L479"/>
          <cell r="M479"/>
        </row>
        <row r="480">
          <cell r="A480"/>
          <cell r="B480"/>
          <cell r="C480"/>
          <cell r="D480"/>
          <cell r="E480"/>
          <cell r="F480"/>
          <cell r="G480"/>
          <cell r="H480" t="str">
            <v/>
          </cell>
          <cell r="I480"/>
          <cell r="J480"/>
          <cell r="K480"/>
          <cell r="L480"/>
          <cell r="M480"/>
        </row>
        <row r="481">
          <cell r="A481"/>
          <cell r="B481"/>
          <cell r="C481"/>
          <cell r="D481"/>
          <cell r="E481"/>
          <cell r="F481"/>
          <cell r="G481"/>
          <cell r="H481" t="str">
            <v/>
          </cell>
          <cell r="I481"/>
          <cell r="J481"/>
          <cell r="K481"/>
          <cell r="L481"/>
          <cell r="M481"/>
        </row>
        <row r="482">
          <cell r="A482"/>
          <cell r="B482"/>
          <cell r="C482"/>
          <cell r="D482"/>
          <cell r="E482"/>
          <cell r="F482"/>
          <cell r="G482"/>
          <cell r="H482" t="str">
            <v/>
          </cell>
          <cell r="I482"/>
          <cell r="J482"/>
          <cell r="K482"/>
          <cell r="L482"/>
          <cell r="M482"/>
        </row>
        <row r="483">
          <cell r="A483"/>
          <cell r="B483"/>
          <cell r="C483"/>
          <cell r="D483"/>
          <cell r="E483"/>
          <cell r="F483"/>
          <cell r="G483"/>
          <cell r="H483" t="str">
            <v/>
          </cell>
          <cell r="I483"/>
          <cell r="J483"/>
          <cell r="K483"/>
          <cell r="L483"/>
          <cell r="M483"/>
        </row>
        <row r="484">
          <cell r="A484"/>
          <cell r="B484"/>
          <cell r="C484"/>
          <cell r="D484"/>
          <cell r="E484"/>
          <cell r="F484"/>
          <cell r="G484"/>
          <cell r="H484" t="str">
            <v/>
          </cell>
          <cell r="I484"/>
          <cell r="J484"/>
          <cell r="K484"/>
          <cell r="L484"/>
          <cell r="M484"/>
        </row>
        <row r="485">
          <cell r="A485"/>
          <cell r="B485"/>
          <cell r="C485"/>
          <cell r="D485"/>
          <cell r="E485"/>
          <cell r="F485"/>
          <cell r="G485"/>
          <cell r="H485" t="str">
            <v/>
          </cell>
          <cell r="I485"/>
          <cell r="J485"/>
          <cell r="K485"/>
          <cell r="L485"/>
          <cell r="M485"/>
        </row>
        <row r="486">
          <cell r="A486"/>
          <cell r="B486"/>
          <cell r="C486"/>
          <cell r="D486"/>
          <cell r="E486"/>
          <cell r="F486"/>
          <cell r="G486"/>
          <cell r="H486" t="str">
            <v/>
          </cell>
          <cell r="I486"/>
          <cell r="J486"/>
          <cell r="K486"/>
          <cell r="L486"/>
          <cell r="M486"/>
        </row>
        <row r="487">
          <cell r="A487"/>
          <cell r="B487"/>
          <cell r="C487"/>
          <cell r="D487"/>
          <cell r="E487"/>
          <cell r="F487"/>
          <cell r="G487"/>
          <cell r="H487" t="str">
            <v/>
          </cell>
          <cell r="I487"/>
          <cell r="J487"/>
          <cell r="K487"/>
          <cell r="L487"/>
          <cell r="M487"/>
        </row>
        <row r="488">
          <cell r="A488"/>
          <cell r="B488"/>
          <cell r="C488"/>
          <cell r="D488"/>
          <cell r="E488"/>
          <cell r="F488"/>
          <cell r="G488"/>
          <cell r="H488" t="str">
            <v/>
          </cell>
          <cell r="I488"/>
          <cell r="J488"/>
          <cell r="K488"/>
          <cell r="L488"/>
          <cell r="M488"/>
        </row>
        <row r="489">
          <cell r="A489"/>
          <cell r="B489"/>
          <cell r="C489"/>
          <cell r="D489"/>
          <cell r="E489"/>
          <cell r="F489"/>
          <cell r="G489"/>
          <cell r="H489" t="str">
            <v/>
          </cell>
          <cell r="I489"/>
          <cell r="J489"/>
          <cell r="K489"/>
          <cell r="L489"/>
          <cell r="M489"/>
        </row>
        <row r="490">
          <cell r="A490"/>
          <cell r="B490"/>
          <cell r="C490"/>
          <cell r="D490"/>
          <cell r="E490"/>
          <cell r="F490"/>
          <cell r="G490"/>
          <cell r="H490" t="str">
            <v/>
          </cell>
          <cell r="I490"/>
          <cell r="J490"/>
          <cell r="K490"/>
          <cell r="L490"/>
          <cell r="M490"/>
        </row>
        <row r="491">
          <cell r="A491"/>
          <cell r="B491"/>
          <cell r="C491"/>
          <cell r="D491"/>
          <cell r="E491"/>
          <cell r="F491"/>
          <cell r="G491"/>
          <cell r="H491" t="str">
            <v/>
          </cell>
          <cell r="I491"/>
          <cell r="J491"/>
          <cell r="K491"/>
          <cell r="L491"/>
          <cell r="M491"/>
        </row>
        <row r="492">
          <cell r="A492"/>
          <cell r="B492"/>
          <cell r="C492"/>
          <cell r="D492"/>
          <cell r="E492"/>
          <cell r="F492"/>
          <cell r="G492"/>
          <cell r="H492" t="str">
            <v/>
          </cell>
          <cell r="I492"/>
          <cell r="J492"/>
          <cell r="K492"/>
          <cell r="L492"/>
          <cell r="M492"/>
        </row>
        <row r="493">
          <cell r="A493"/>
          <cell r="B493"/>
          <cell r="C493"/>
          <cell r="D493"/>
          <cell r="E493"/>
          <cell r="F493"/>
          <cell r="G493"/>
          <cell r="H493" t="str">
            <v/>
          </cell>
          <cell r="I493"/>
          <cell r="J493"/>
          <cell r="K493"/>
          <cell r="L493"/>
          <cell r="M493"/>
        </row>
        <row r="494">
          <cell r="A494"/>
          <cell r="B494"/>
          <cell r="C494"/>
          <cell r="D494"/>
          <cell r="E494"/>
          <cell r="F494"/>
          <cell r="G494"/>
          <cell r="H494" t="str">
            <v/>
          </cell>
          <cell r="I494"/>
          <cell r="J494"/>
          <cell r="K494"/>
          <cell r="L494"/>
          <cell r="M494"/>
        </row>
        <row r="495">
          <cell r="A495"/>
          <cell r="B495"/>
          <cell r="C495"/>
          <cell r="D495"/>
          <cell r="E495"/>
          <cell r="F495"/>
          <cell r="G495"/>
          <cell r="H495" t="str">
            <v/>
          </cell>
          <cell r="I495"/>
          <cell r="J495"/>
          <cell r="K495"/>
          <cell r="L495"/>
          <cell r="M495"/>
        </row>
        <row r="496">
          <cell r="A496"/>
          <cell r="B496"/>
          <cell r="C496"/>
          <cell r="D496"/>
          <cell r="E496"/>
          <cell r="F496"/>
          <cell r="G496"/>
          <cell r="H496" t="str">
            <v/>
          </cell>
          <cell r="I496"/>
          <cell r="J496"/>
          <cell r="K496"/>
          <cell r="L496"/>
          <cell r="M496"/>
        </row>
        <row r="497">
          <cell r="A497"/>
          <cell r="B497"/>
          <cell r="C497"/>
          <cell r="D497"/>
          <cell r="E497"/>
          <cell r="F497"/>
          <cell r="G497"/>
          <cell r="H497" t="str">
            <v/>
          </cell>
          <cell r="I497"/>
          <cell r="J497"/>
          <cell r="K497"/>
          <cell r="L497"/>
          <cell r="M497"/>
        </row>
        <row r="498">
          <cell r="A498"/>
          <cell r="B498"/>
          <cell r="C498"/>
          <cell r="D498"/>
          <cell r="E498"/>
          <cell r="F498"/>
          <cell r="G498"/>
          <cell r="H498" t="str">
            <v/>
          </cell>
          <cell r="I498"/>
          <cell r="J498"/>
          <cell r="K498"/>
          <cell r="L498"/>
          <cell r="M498"/>
        </row>
        <row r="499">
          <cell r="A499"/>
          <cell r="B499"/>
          <cell r="C499"/>
          <cell r="D499"/>
          <cell r="E499"/>
          <cell r="F499"/>
          <cell r="G499"/>
          <cell r="H499" t="str">
            <v/>
          </cell>
          <cell r="I499"/>
          <cell r="J499"/>
          <cell r="K499"/>
          <cell r="L499"/>
          <cell r="M499"/>
        </row>
        <row r="500">
          <cell r="A500"/>
          <cell r="B500"/>
          <cell r="C500"/>
          <cell r="D500"/>
          <cell r="E500"/>
          <cell r="F500"/>
          <cell r="G500"/>
          <cell r="H500" t="str">
            <v/>
          </cell>
          <cell r="I500"/>
          <cell r="J500"/>
          <cell r="K500"/>
          <cell r="L500"/>
          <cell r="M500"/>
        </row>
        <row r="501">
          <cell r="A501"/>
          <cell r="B501"/>
          <cell r="C501"/>
          <cell r="D501"/>
          <cell r="E501"/>
          <cell r="F501"/>
          <cell r="G501"/>
          <cell r="H501" t="str">
            <v/>
          </cell>
          <cell r="I501"/>
          <cell r="J501"/>
          <cell r="K501"/>
          <cell r="L501"/>
          <cell r="M501"/>
        </row>
        <row r="502">
          <cell r="A502"/>
          <cell r="B502"/>
          <cell r="C502"/>
          <cell r="D502"/>
          <cell r="E502"/>
          <cell r="F502"/>
          <cell r="G502"/>
          <cell r="H502" t="str">
            <v/>
          </cell>
          <cell r="I502"/>
          <cell r="J502"/>
          <cell r="K502"/>
          <cell r="L502"/>
          <cell r="M502"/>
        </row>
        <row r="503">
          <cell r="A503"/>
          <cell r="B503"/>
          <cell r="C503"/>
          <cell r="D503"/>
          <cell r="E503"/>
          <cell r="F503"/>
          <cell r="G503"/>
          <cell r="H503" t="str">
            <v/>
          </cell>
          <cell r="I503"/>
          <cell r="J503"/>
          <cell r="K503"/>
          <cell r="L503"/>
          <cell r="M503"/>
        </row>
        <row r="504">
          <cell r="A504"/>
          <cell r="B504"/>
          <cell r="C504"/>
          <cell r="D504"/>
          <cell r="E504"/>
          <cell r="F504"/>
          <cell r="G504"/>
          <cell r="H504" t="str">
            <v/>
          </cell>
          <cell r="I504"/>
          <cell r="J504"/>
          <cell r="K504"/>
          <cell r="L504"/>
          <cell r="M504"/>
        </row>
        <row r="505">
          <cell r="A505"/>
          <cell r="B505"/>
          <cell r="C505"/>
          <cell r="D505"/>
          <cell r="E505"/>
          <cell r="F505"/>
          <cell r="G505"/>
          <cell r="H505" t="str">
            <v/>
          </cell>
          <cell r="I505"/>
          <cell r="J505"/>
          <cell r="K505"/>
          <cell r="L505"/>
          <cell r="M505"/>
        </row>
        <row r="506">
          <cell r="A506"/>
          <cell r="B506"/>
          <cell r="C506"/>
          <cell r="D506"/>
          <cell r="E506"/>
          <cell r="F506"/>
          <cell r="G506"/>
          <cell r="H506" t="str">
            <v/>
          </cell>
          <cell r="I506"/>
          <cell r="J506"/>
          <cell r="K506"/>
          <cell r="L506"/>
          <cell r="M506"/>
        </row>
        <row r="507">
          <cell r="A507"/>
          <cell r="B507"/>
          <cell r="C507"/>
          <cell r="D507"/>
          <cell r="E507"/>
          <cell r="F507"/>
          <cell r="G507"/>
          <cell r="H507" t="str">
            <v/>
          </cell>
          <cell r="I507"/>
          <cell r="J507"/>
          <cell r="K507"/>
          <cell r="L507"/>
          <cell r="M507"/>
        </row>
        <row r="508">
          <cell r="A508"/>
          <cell r="B508"/>
          <cell r="C508"/>
          <cell r="D508"/>
          <cell r="E508"/>
          <cell r="F508"/>
          <cell r="G508"/>
          <cell r="H508" t="str">
            <v/>
          </cell>
          <cell r="I508"/>
          <cell r="J508"/>
          <cell r="K508"/>
          <cell r="L508"/>
          <cell r="M508"/>
        </row>
        <row r="509">
          <cell r="A509"/>
          <cell r="B509"/>
          <cell r="C509"/>
          <cell r="D509"/>
          <cell r="E509"/>
          <cell r="F509"/>
          <cell r="G509"/>
          <cell r="H509" t="str">
            <v/>
          </cell>
          <cell r="I509"/>
          <cell r="J509"/>
          <cell r="K509"/>
          <cell r="L509"/>
          <cell r="M509"/>
        </row>
        <row r="510">
          <cell r="A510"/>
          <cell r="B510"/>
          <cell r="C510"/>
          <cell r="D510"/>
          <cell r="E510"/>
          <cell r="F510"/>
          <cell r="G510"/>
          <cell r="H510" t="str">
            <v/>
          </cell>
          <cell r="I510"/>
          <cell r="J510"/>
          <cell r="K510"/>
          <cell r="L510"/>
          <cell r="M510"/>
        </row>
        <row r="511">
          <cell r="A511"/>
          <cell r="B511"/>
          <cell r="C511"/>
          <cell r="D511"/>
          <cell r="E511"/>
          <cell r="F511"/>
          <cell r="G511"/>
          <cell r="H511" t="str">
            <v/>
          </cell>
          <cell r="I511"/>
          <cell r="J511"/>
          <cell r="K511"/>
          <cell r="L511"/>
          <cell r="M511"/>
        </row>
        <row r="512">
          <cell r="A512"/>
          <cell r="B512"/>
          <cell r="C512"/>
          <cell r="D512"/>
          <cell r="E512"/>
          <cell r="F512"/>
          <cell r="G512"/>
          <cell r="H512" t="str">
            <v/>
          </cell>
          <cell r="I512"/>
          <cell r="J512"/>
          <cell r="K512"/>
          <cell r="L512"/>
          <cell r="M512"/>
        </row>
        <row r="513">
          <cell r="A513"/>
          <cell r="B513"/>
          <cell r="C513"/>
          <cell r="D513"/>
          <cell r="E513"/>
          <cell r="F513"/>
          <cell r="G513"/>
          <cell r="H513" t="str">
            <v/>
          </cell>
          <cell r="I513"/>
          <cell r="J513"/>
          <cell r="K513"/>
          <cell r="L513"/>
          <cell r="M513"/>
        </row>
        <row r="514">
          <cell r="A514"/>
          <cell r="B514"/>
          <cell r="C514"/>
          <cell r="D514"/>
          <cell r="E514"/>
          <cell r="F514"/>
          <cell r="G514"/>
          <cell r="H514" t="str">
            <v/>
          </cell>
          <cell r="I514"/>
          <cell r="J514"/>
          <cell r="K514"/>
          <cell r="L514"/>
          <cell r="M514"/>
        </row>
        <row r="515">
          <cell r="A515"/>
          <cell r="B515"/>
          <cell r="C515"/>
          <cell r="D515"/>
          <cell r="E515"/>
          <cell r="F515"/>
          <cell r="G515"/>
          <cell r="H515" t="str">
            <v/>
          </cell>
          <cell r="I515"/>
          <cell r="J515"/>
          <cell r="K515"/>
          <cell r="L515"/>
          <cell r="M515"/>
        </row>
        <row r="516">
          <cell r="A516"/>
          <cell r="B516"/>
          <cell r="C516"/>
          <cell r="D516"/>
          <cell r="E516"/>
          <cell r="F516"/>
          <cell r="G516"/>
          <cell r="H516" t="str">
            <v/>
          </cell>
          <cell r="I516"/>
          <cell r="J516"/>
          <cell r="K516"/>
          <cell r="L516"/>
          <cell r="M516"/>
        </row>
        <row r="517">
          <cell r="A517"/>
          <cell r="B517"/>
          <cell r="C517"/>
          <cell r="D517"/>
          <cell r="E517"/>
          <cell r="F517"/>
          <cell r="G517"/>
          <cell r="H517" t="str">
            <v/>
          </cell>
          <cell r="I517"/>
          <cell r="J517"/>
          <cell r="K517"/>
          <cell r="L517"/>
          <cell r="M517"/>
        </row>
        <row r="518">
          <cell r="A518"/>
          <cell r="B518"/>
          <cell r="C518"/>
          <cell r="D518"/>
          <cell r="E518"/>
          <cell r="F518"/>
          <cell r="G518"/>
          <cell r="H518" t="str">
            <v/>
          </cell>
          <cell r="I518"/>
          <cell r="J518"/>
          <cell r="K518"/>
          <cell r="L518"/>
          <cell r="M518"/>
        </row>
        <row r="519">
          <cell r="A519"/>
          <cell r="B519"/>
          <cell r="C519"/>
          <cell r="D519"/>
          <cell r="E519"/>
          <cell r="F519"/>
          <cell r="G519"/>
          <cell r="H519" t="str">
            <v/>
          </cell>
          <cell r="I519"/>
          <cell r="J519"/>
          <cell r="K519"/>
          <cell r="L519"/>
          <cell r="M519"/>
        </row>
        <row r="520">
          <cell r="A520"/>
          <cell r="B520"/>
          <cell r="C520"/>
          <cell r="D520"/>
          <cell r="E520"/>
          <cell r="F520"/>
          <cell r="G520"/>
          <cell r="H520" t="str">
            <v/>
          </cell>
          <cell r="I520"/>
          <cell r="J520"/>
          <cell r="K520"/>
          <cell r="L520"/>
          <cell r="M520"/>
        </row>
        <row r="521">
          <cell r="A521"/>
          <cell r="B521"/>
          <cell r="C521"/>
          <cell r="D521"/>
          <cell r="E521"/>
          <cell r="F521"/>
          <cell r="G521"/>
          <cell r="H521" t="str">
            <v/>
          </cell>
          <cell r="I521"/>
          <cell r="J521"/>
          <cell r="K521"/>
          <cell r="L521"/>
          <cell r="M521"/>
        </row>
        <row r="522">
          <cell r="A522"/>
          <cell r="B522"/>
          <cell r="C522"/>
          <cell r="D522"/>
          <cell r="E522"/>
          <cell r="F522"/>
          <cell r="G522"/>
          <cell r="H522" t="str">
            <v/>
          </cell>
          <cell r="I522"/>
          <cell r="J522"/>
          <cell r="K522"/>
          <cell r="L522"/>
          <cell r="M522"/>
        </row>
        <row r="523">
          <cell r="A523"/>
          <cell r="B523"/>
          <cell r="C523"/>
          <cell r="D523"/>
          <cell r="E523"/>
          <cell r="F523"/>
          <cell r="G523"/>
          <cell r="H523" t="str">
            <v/>
          </cell>
          <cell r="I523"/>
          <cell r="J523"/>
          <cell r="K523"/>
          <cell r="L523"/>
          <cell r="M523"/>
        </row>
        <row r="524">
          <cell r="A524"/>
          <cell r="B524"/>
          <cell r="C524"/>
          <cell r="D524"/>
          <cell r="E524"/>
          <cell r="F524"/>
          <cell r="G524"/>
          <cell r="H524" t="str">
            <v/>
          </cell>
          <cell r="I524"/>
          <cell r="J524"/>
          <cell r="K524"/>
          <cell r="L524"/>
          <cell r="M524"/>
        </row>
        <row r="525">
          <cell r="A525"/>
          <cell r="B525"/>
          <cell r="C525"/>
          <cell r="D525"/>
          <cell r="E525"/>
          <cell r="F525"/>
          <cell r="G525"/>
          <cell r="H525" t="str">
            <v/>
          </cell>
          <cell r="I525"/>
          <cell r="J525"/>
          <cell r="K525"/>
          <cell r="L525"/>
          <cell r="M525"/>
        </row>
        <row r="526">
          <cell r="A526"/>
          <cell r="B526"/>
          <cell r="C526"/>
          <cell r="D526"/>
          <cell r="E526"/>
          <cell r="F526"/>
          <cell r="G526"/>
          <cell r="H526" t="str">
            <v/>
          </cell>
          <cell r="I526"/>
          <cell r="J526"/>
          <cell r="K526"/>
          <cell r="L526"/>
          <cell r="M526"/>
        </row>
        <row r="527">
          <cell r="A527"/>
          <cell r="B527"/>
          <cell r="C527"/>
          <cell r="D527"/>
          <cell r="E527"/>
          <cell r="F527"/>
          <cell r="G527"/>
          <cell r="H527" t="str">
            <v/>
          </cell>
          <cell r="I527"/>
          <cell r="J527"/>
          <cell r="K527"/>
          <cell r="L527"/>
          <cell r="M527"/>
        </row>
        <row r="528">
          <cell r="A528"/>
          <cell r="B528"/>
          <cell r="C528"/>
          <cell r="D528"/>
          <cell r="E528"/>
          <cell r="F528"/>
          <cell r="G528"/>
          <cell r="H528" t="str">
            <v/>
          </cell>
          <cell r="I528"/>
          <cell r="J528"/>
          <cell r="K528"/>
          <cell r="L528"/>
          <cell r="M528"/>
        </row>
        <row r="529">
          <cell r="A529"/>
          <cell r="B529"/>
          <cell r="C529"/>
          <cell r="D529"/>
          <cell r="E529"/>
          <cell r="F529"/>
          <cell r="G529"/>
          <cell r="H529" t="str">
            <v/>
          </cell>
          <cell r="I529"/>
          <cell r="J529"/>
          <cell r="K529"/>
          <cell r="L529"/>
          <cell r="M529"/>
        </row>
        <row r="530">
          <cell r="A530"/>
          <cell r="B530"/>
          <cell r="C530"/>
          <cell r="D530"/>
          <cell r="E530"/>
          <cell r="F530"/>
          <cell r="G530"/>
          <cell r="H530" t="str">
            <v/>
          </cell>
          <cell r="I530"/>
          <cell r="J530"/>
          <cell r="K530"/>
          <cell r="L530"/>
          <cell r="M530"/>
        </row>
        <row r="531">
          <cell r="A531"/>
          <cell r="B531"/>
          <cell r="C531"/>
          <cell r="D531"/>
          <cell r="E531"/>
          <cell r="F531"/>
          <cell r="G531"/>
          <cell r="H531" t="str">
            <v/>
          </cell>
          <cell r="I531"/>
          <cell r="J531"/>
          <cell r="K531"/>
          <cell r="L531"/>
          <cell r="M531"/>
        </row>
        <row r="532">
          <cell r="A532"/>
          <cell r="B532"/>
          <cell r="C532"/>
          <cell r="D532"/>
          <cell r="E532"/>
          <cell r="F532"/>
          <cell r="G532"/>
          <cell r="H532" t="str">
            <v/>
          </cell>
          <cell r="I532"/>
          <cell r="J532"/>
          <cell r="K532"/>
          <cell r="L532"/>
          <cell r="M532"/>
        </row>
        <row r="533">
          <cell r="A533"/>
          <cell r="B533"/>
          <cell r="C533"/>
          <cell r="D533"/>
          <cell r="E533"/>
          <cell r="F533"/>
          <cell r="G533"/>
          <cell r="H533" t="str">
            <v/>
          </cell>
          <cell r="I533"/>
          <cell r="J533"/>
          <cell r="K533"/>
          <cell r="L533"/>
          <cell r="M533"/>
        </row>
        <row r="534">
          <cell r="A534"/>
          <cell r="B534"/>
          <cell r="C534"/>
          <cell r="D534"/>
          <cell r="E534"/>
          <cell r="F534"/>
          <cell r="G534"/>
          <cell r="H534" t="str">
            <v/>
          </cell>
          <cell r="I534"/>
          <cell r="J534"/>
          <cell r="K534"/>
          <cell r="L534"/>
          <cell r="M534"/>
        </row>
        <row r="535">
          <cell r="A535"/>
          <cell r="B535"/>
          <cell r="C535"/>
          <cell r="D535"/>
          <cell r="E535"/>
          <cell r="F535"/>
          <cell r="G535"/>
          <cell r="H535" t="str">
            <v/>
          </cell>
          <cell r="I535"/>
          <cell r="J535"/>
          <cell r="K535"/>
          <cell r="L535"/>
          <cell r="M535"/>
        </row>
        <row r="536">
          <cell r="A536"/>
          <cell r="B536"/>
          <cell r="C536"/>
          <cell r="D536"/>
          <cell r="E536"/>
          <cell r="F536"/>
          <cell r="G536"/>
          <cell r="H536" t="str">
            <v/>
          </cell>
          <cell r="I536"/>
          <cell r="J536"/>
          <cell r="K536"/>
          <cell r="L536"/>
          <cell r="M536"/>
        </row>
        <row r="537">
          <cell r="A537"/>
          <cell r="B537"/>
          <cell r="C537"/>
          <cell r="D537"/>
          <cell r="E537"/>
          <cell r="F537"/>
          <cell r="G537"/>
          <cell r="H537" t="str">
            <v/>
          </cell>
          <cell r="I537"/>
          <cell r="J537"/>
          <cell r="K537"/>
          <cell r="L537"/>
          <cell r="M537"/>
        </row>
        <row r="538">
          <cell r="A538"/>
          <cell r="B538"/>
          <cell r="C538"/>
          <cell r="D538"/>
          <cell r="E538"/>
          <cell r="F538"/>
          <cell r="G538"/>
          <cell r="H538" t="str">
            <v/>
          </cell>
          <cell r="I538"/>
          <cell r="J538"/>
          <cell r="K538"/>
          <cell r="L538"/>
          <cell r="M538"/>
        </row>
        <row r="539">
          <cell r="A539"/>
          <cell r="B539"/>
          <cell r="C539"/>
          <cell r="D539"/>
          <cell r="E539"/>
          <cell r="F539"/>
          <cell r="G539"/>
          <cell r="H539" t="str">
            <v/>
          </cell>
          <cell r="I539"/>
          <cell r="J539"/>
          <cell r="K539"/>
          <cell r="L539"/>
          <cell r="M539"/>
        </row>
        <row r="540">
          <cell r="A540"/>
          <cell r="B540"/>
          <cell r="C540"/>
          <cell r="D540"/>
          <cell r="E540"/>
          <cell r="F540"/>
          <cell r="G540"/>
          <cell r="H540" t="str">
            <v/>
          </cell>
          <cell r="I540"/>
          <cell r="J540"/>
          <cell r="K540"/>
          <cell r="L540"/>
          <cell r="M540"/>
        </row>
        <row r="541">
          <cell r="A541"/>
          <cell r="B541"/>
          <cell r="C541"/>
          <cell r="D541"/>
          <cell r="E541"/>
          <cell r="F541"/>
          <cell r="G541"/>
          <cell r="H541" t="str">
            <v/>
          </cell>
          <cell r="I541"/>
          <cell r="J541"/>
          <cell r="K541"/>
          <cell r="L541"/>
          <cell r="M541"/>
        </row>
        <row r="542">
          <cell r="A542"/>
          <cell r="B542"/>
          <cell r="C542"/>
          <cell r="D542"/>
          <cell r="E542"/>
          <cell r="F542"/>
          <cell r="G542"/>
          <cell r="H542" t="str">
            <v/>
          </cell>
          <cell r="I542"/>
          <cell r="J542"/>
          <cell r="K542"/>
          <cell r="L542"/>
          <cell r="M542"/>
        </row>
        <row r="543">
          <cell r="A543"/>
          <cell r="B543"/>
          <cell r="C543"/>
          <cell r="D543"/>
          <cell r="E543"/>
          <cell r="F543"/>
          <cell r="G543"/>
          <cell r="H543" t="str">
            <v/>
          </cell>
          <cell r="I543"/>
          <cell r="J543"/>
          <cell r="K543"/>
          <cell r="L543"/>
          <cell r="M543"/>
        </row>
        <row r="544">
          <cell r="A544"/>
          <cell r="B544"/>
          <cell r="C544"/>
          <cell r="D544"/>
          <cell r="E544"/>
          <cell r="F544"/>
          <cell r="G544"/>
          <cell r="H544" t="str">
            <v/>
          </cell>
          <cell r="I544"/>
          <cell r="J544"/>
          <cell r="K544"/>
          <cell r="L544"/>
          <cell r="M544"/>
        </row>
        <row r="545">
          <cell r="A545"/>
          <cell r="B545"/>
          <cell r="C545"/>
          <cell r="D545"/>
          <cell r="E545"/>
          <cell r="F545"/>
          <cell r="G545"/>
          <cell r="H545" t="str">
            <v/>
          </cell>
          <cell r="I545"/>
          <cell r="J545"/>
          <cell r="K545"/>
          <cell r="L545"/>
          <cell r="M545"/>
        </row>
        <row r="546">
          <cell r="A546"/>
          <cell r="B546"/>
          <cell r="C546"/>
          <cell r="D546"/>
          <cell r="E546"/>
          <cell r="F546"/>
          <cell r="G546"/>
          <cell r="H546" t="str">
            <v/>
          </cell>
          <cell r="I546"/>
          <cell r="J546"/>
          <cell r="K546"/>
          <cell r="L546"/>
          <cell r="M546"/>
        </row>
        <row r="547">
          <cell r="A547"/>
          <cell r="B547"/>
          <cell r="C547"/>
          <cell r="D547"/>
          <cell r="E547"/>
          <cell r="F547"/>
          <cell r="G547"/>
          <cell r="H547" t="str">
            <v/>
          </cell>
          <cell r="I547"/>
          <cell r="J547"/>
          <cell r="K547"/>
          <cell r="L547"/>
          <cell r="M547"/>
        </row>
        <row r="548">
          <cell r="A548"/>
          <cell r="B548"/>
          <cell r="C548"/>
          <cell r="D548"/>
          <cell r="E548"/>
          <cell r="F548"/>
          <cell r="G548"/>
          <cell r="H548" t="str">
            <v/>
          </cell>
          <cell r="I548"/>
          <cell r="J548"/>
          <cell r="K548"/>
          <cell r="L548"/>
          <cell r="M548"/>
        </row>
        <row r="549">
          <cell r="A549"/>
          <cell r="B549"/>
          <cell r="C549"/>
          <cell r="D549"/>
          <cell r="E549"/>
          <cell r="F549"/>
          <cell r="G549"/>
          <cell r="H549" t="str">
            <v/>
          </cell>
          <cell r="I549"/>
          <cell r="J549"/>
          <cell r="K549"/>
          <cell r="L549"/>
          <cell r="M549"/>
        </row>
        <row r="550">
          <cell r="A550"/>
          <cell r="B550"/>
          <cell r="C550"/>
          <cell r="D550"/>
          <cell r="E550"/>
          <cell r="F550"/>
          <cell r="G550"/>
          <cell r="H550" t="str">
            <v/>
          </cell>
          <cell r="I550"/>
          <cell r="J550"/>
          <cell r="K550"/>
          <cell r="L550"/>
          <cell r="M550"/>
        </row>
        <row r="551">
          <cell r="A551"/>
          <cell r="B551"/>
          <cell r="C551"/>
          <cell r="D551"/>
          <cell r="E551"/>
          <cell r="F551"/>
          <cell r="G551"/>
          <cell r="H551" t="str">
            <v/>
          </cell>
          <cell r="I551"/>
          <cell r="J551"/>
          <cell r="K551"/>
          <cell r="L551"/>
          <cell r="M551"/>
        </row>
        <row r="552">
          <cell r="A552"/>
          <cell r="B552"/>
          <cell r="C552"/>
          <cell r="D552"/>
          <cell r="E552"/>
          <cell r="F552"/>
          <cell r="G552"/>
          <cell r="H552" t="str">
            <v/>
          </cell>
          <cell r="I552"/>
          <cell r="J552"/>
          <cell r="K552"/>
          <cell r="L552"/>
          <cell r="M552"/>
        </row>
        <row r="553">
          <cell r="A553"/>
          <cell r="B553"/>
          <cell r="C553"/>
          <cell r="D553"/>
          <cell r="E553"/>
          <cell r="F553"/>
          <cell r="G553"/>
          <cell r="H553" t="str">
            <v/>
          </cell>
          <cell r="I553"/>
          <cell r="J553"/>
          <cell r="K553"/>
          <cell r="L553"/>
          <cell r="M553"/>
        </row>
        <row r="554">
          <cell r="A554"/>
          <cell r="B554"/>
          <cell r="C554"/>
          <cell r="D554"/>
          <cell r="E554"/>
          <cell r="F554"/>
          <cell r="G554"/>
          <cell r="H554" t="str">
            <v/>
          </cell>
          <cell r="I554"/>
          <cell r="J554"/>
          <cell r="K554"/>
          <cell r="L554"/>
          <cell r="M554"/>
        </row>
        <row r="555">
          <cell r="A555"/>
          <cell r="B555"/>
          <cell r="C555"/>
          <cell r="D555"/>
          <cell r="E555"/>
          <cell r="F555"/>
          <cell r="G555"/>
          <cell r="H555" t="str">
            <v/>
          </cell>
          <cell r="I555"/>
          <cell r="J555"/>
          <cell r="K555"/>
          <cell r="L555"/>
          <cell r="M555"/>
        </row>
        <row r="556">
          <cell r="A556"/>
          <cell r="B556"/>
          <cell r="C556"/>
          <cell r="D556"/>
          <cell r="E556"/>
          <cell r="F556"/>
          <cell r="G556"/>
          <cell r="H556" t="str">
            <v/>
          </cell>
          <cell r="I556"/>
          <cell r="J556"/>
          <cell r="K556"/>
          <cell r="L556"/>
          <cell r="M556"/>
        </row>
        <row r="557">
          <cell r="A557"/>
          <cell r="B557"/>
          <cell r="C557"/>
          <cell r="D557"/>
          <cell r="E557"/>
          <cell r="F557"/>
          <cell r="G557"/>
          <cell r="H557" t="str">
            <v/>
          </cell>
          <cell r="I557"/>
          <cell r="J557"/>
          <cell r="K557"/>
          <cell r="L557"/>
          <cell r="M557"/>
        </row>
        <row r="558">
          <cell r="A558"/>
          <cell r="B558"/>
          <cell r="C558"/>
          <cell r="D558"/>
          <cell r="E558"/>
          <cell r="F558"/>
          <cell r="G558"/>
          <cell r="H558" t="str">
            <v/>
          </cell>
          <cell r="I558"/>
          <cell r="J558"/>
          <cell r="K558"/>
          <cell r="L558"/>
          <cell r="M558"/>
        </row>
        <row r="559">
          <cell r="A559"/>
          <cell r="B559"/>
          <cell r="C559"/>
          <cell r="D559"/>
          <cell r="E559"/>
          <cell r="F559"/>
          <cell r="G559"/>
          <cell r="H559" t="str">
            <v/>
          </cell>
          <cell r="I559"/>
          <cell r="J559"/>
          <cell r="K559"/>
          <cell r="L559"/>
          <cell r="M559"/>
        </row>
        <row r="560">
          <cell r="A560"/>
          <cell r="B560"/>
          <cell r="C560"/>
          <cell r="D560"/>
          <cell r="E560"/>
          <cell r="F560"/>
          <cell r="G560"/>
          <cell r="H560" t="str">
            <v/>
          </cell>
          <cell r="I560"/>
          <cell r="J560"/>
          <cell r="K560"/>
          <cell r="L560"/>
          <cell r="M560"/>
        </row>
        <row r="561">
          <cell r="A561"/>
          <cell r="B561"/>
          <cell r="C561"/>
          <cell r="D561"/>
          <cell r="E561"/>
          <cell r="F561"/>
          <cell r="G561"/>
          <cell r="H561" t="str">
            <v/>
          </cell>
          <cell r="I561"/>
          <cell r="J561"/>
          <cell r="K561"/>
          <cell r="L561"/>
          <cell r="M561"/>
        </row>
        <row r="562">
          <cell r="A562"/>
          <cell r="B562"/>
          <cell r="C562"/>
          <cell r="D562"/>
          <cell r="E562"/>
          <cell r="F562"/>
          <cell r="G562"/>
          <cell r="H562" t="str">
            <v/>
          </cell>
          <cell r="I562"/>
          <cell r="J562"/>
          <cell r="K562"/>
          <cell r="L562"/>
          <cell r="M562"/>
        </row>
        <row r="563">
          <cell r="A563"/>
          <cell r="B563"/>
          <cell r="C563"/>
          <cell r="D563"/>
          <cell r="E563"/>
          <cell r="F563"/>
          <cell r="G563"/>
          <cell r="H563" t="str">
            <v/>
          </cell>
          <cell r="I563"/>
          <cell r="J563"/>
          <cell r="K563"/>
          <cell r="L563"/>
          <cell r="M563"/>
        </row>
        <row r="564">
          <cell r="A564"/>
          <cell r="B564"/>
          <cell r="C564"/>
          <cell r="D564"/>
          <cell r="E564"/>
          <cell r="F564"/>
          <cell r="G564"/>
          <cell r="H564" t="str">
            <v/>
          </cell>
          <cell r="I564"/>
          <cell r="J564"/>
          <cell r="K564"/>
          <cell r="L564"/>
          <cell r="M564"/>
        </row>
        <row r="565">
          <cell r="A565"/>
          <cell r="B565"/>
          <cell r="C565"/>
          <cell r="D565"/>
          <cell r="E565"/>
          <cell r="F565"/>
          <cell r="G565"/>
          <cell r="H565" t="str">
            <v/>
          </cell>
          <cell r="I565"/>
          <cell r="J565"/>
          <cell r="K565"/>
          <cell r="L565"/>
          <cell r="M565"/>
        </row>
        <row r="566">
          <cell r="A566"/>
          <cell r="B566"/>
          <cell r="C566"/>
          <cell r="D566"/>
          <cell r="E566"/>
          <cell r="F566"/>
          <cell r="G566"/>
          <cell r="H566" t="str">
            <v/>
          </cell>
          <cell r="I566"/>
          <cell r="J566"/>
          <cell r="K566"/>
          <cell r="L566"/>
          <cell r="M566"/>
        </row>
        <row r="567">
          <cell r="A567"/>
          <cell r="B567"/>
          <cell r="C567"/>
          <cell r="D567"/>
          <cell r="E567"/>
          <cell r="F567"/>
          <cell r="G567"/>
          <cell r="H567" t="str">
            <v/>
          </cell>
          <cell r="I567"/>
          <cell r="J567"/>
          <cell r="K567"/>
          <cell r="L567"/>
          <cell r="M567"/>
        </row>
        <row r="568">
          <cell r="A568"/>
          <cell r="B568"/>
          <cell r="C568"/>
          <cell r="D568"/>
          <cell r="E568"/>
          <cell r="F568"/>
          <cell r="G568"/>
          <cell r="H568" t="str">
            <v/>
          </cell>
          <cell r="I568"/>
          <cell r="J568"/>
          <cell r="K568"/>
          <cell r="L568"/>
          <cell r="M568"/>
        </row>
        <row r="569">
          <cell r="A569"/>
          <cell r="B569"/>
          <cell r="C569"/>
          <cell r="D569"/>
          <cell r="E569"/>
          <cell r="F569"/>
          <cell r="G569"/>
          <cell r="H569" t="str">
            <v/>
          </cell>
          <cell r="I569"/>
          <cell r="J569"/>
          <cell r="K569"/>
          <cell r="L569"/>
          <cell r="M569"/>
        </row>
        <row r="570">
          <cell r="A570"/>
          <cell r="B570"/>
          <cell r="C570"/>
          <cell r="D570"/>
          <cell r="E570"/>
          <cell r="F570"/>
          <cell r="G570"/>
          <cell r="H570" t="str">
            <v/>
          </cell>
          <cell r="I570"/>
          <cell r="J570"/>
          <cell r="K570"/>
          <cell r="L570"/>
          <cell r="M570"/>
        </row>
        <row r="571">
          <cell r="A571"/>
          <cell r="B571"/>
          <cell r="C571"/>
          <cell r="D571"/>
          <cell r="E571"/>
          <cell r="F571"/>
          <cell r="G571"/>
          <cell r="H571" t="str">
            <v/>
          </cell>
          <cell r="I571"/>
          <cell r="J571"/>
          <cell r="K571"/>
          <cell r="L571"/>
          <cell r="M571"/>
        </row>
        <row r="572">
          <cell r="A572"/>
          <cell r="B572"/>
          <cell r="C572"/>
          <cell r="D572"/>
          <cell r="E572"/>
          <cell r="F572"/>
          <cell r="G572"/>
          <cell r="H572" t="str">
            <v/>
          </cell>
          <cell r="I572"/>
          <cell r="J572"/>
          <cell r="K572"/>
          <cell r="L572"/>
          <cell r="M572"/>
        </row>
        <row r="573">
          <cell r="A573"/>
          <cell r="B573"/>
          <cell r="C573"/>
          <cell r="D573"/>
          <cell r="E573"/>
          <cell r="F573"/>
          <cell r="G573"/>
          <cell r="H573" t="str">
            <v/>
          </cell>
          <cell r="I573"/>
          <cell r="J573"/>
          <cell r="K573"/>
          <cell r="L573"/>
          <cell r="M573"/>
        </row>
        <row r="574">
          <cell r="A574"/>
          <cell r="B574"/>
          <cell r="C574"/>
          <cell r="D574"/>
          <cell r="E574"/>
          <cell r="F574"/>
          <cell r="G574"/>
          <cell r="H574" t="str">
            <v/>
          </cell>
          <cell r="I574"/>
          <cell r="J574"/>
          <cell r="K574"/>
          <cell r="L574"/>
          <cell r="M574"/>
        </row>
        <row r="575">
          <cell r="A575"/>
          <cell r="B575"/>
          <cell r="C575"/>
          <cell r="D575"/>
          <cell r="E575"/>
          <cell r="F575"/>
          <cell r="G575"/>
          <cell r="H575" t="str">
            <v/>
          </cell>
          <cell r="I575"/>
          <cell r="J575"/>
          <cell r="K575"/>
          <cell r="L575"/>
          <cell r="M575"/>
        </row>
        <row r="576">
          <cell r="A576"/>
          <cell r="B576"/>
          <cell r="C576"/>
          <cell r="D576"/>
          <cell r="E576"/>
          <cell r="F576"/>
          <cell r="G576"/>
          <cell r="H576" t="str">
            <v/>
          </cell>
          <cell r="I576"/>
          <cell r="J576"/>
          <cell r="K576"/>
          <cell r="L576"/>
          <cell r="M576"/>
        </row>
        <row r="577">
          <cell r="A577"/>
          <cell r="B577"/>
          <cell r="C577"/>
          <cell r="D577"/>
          <cell r="E577"/>
          <cell r="F577"/>
          <cell r="G577"/>
          <cell r="H577" t="str">
            <v/>
          </cell>
          <cell r="I577"/>
          <cell r="J577"/>
          <cell r="K577"/>
          <cell r="L577"/>
          <cell r="M577"/>
        </row>
        <row r="578">
          <cell r="A578"/>
          <cell r="B578"/>
          <cell r="C578"/>
          <cell r="D578"/>
          <cell r="E578"/>
          <cell r="F578"/>
          <cell r="G578"/>
          <cell r="H578" t="str">
            <v/>
          </cell>
          <cell r="I578"/>
          <cell r="J578"/>
          <cell r="K578"/>
          <cell r="L578"/>
          <cell r="M578"/>
        </row>
        <row r="579">
          <cell r="A579"/>
          <cell r="B579"/>
          <cell r="C579"/>
          <cell r="D579"/>
          <cell r="E579"/>
          <cell r="F579"/>
          <cell r="G579"/>
          <cell r="H579" t="str">
            <v/>
          </cell>
          <cell r="I579"/>
          <cell r="J579"/>
          <cell r="K579"/>
          <cell r="L579"/>
          <cell r="M579"/>
        </row>
        <row r="580">
          <cell r="A580"/>
          <cell r="B580"/>
          <cell r="C580"/>
          <cell r="D580"/>
          <cell r="E580"/>
          <cell r="F580"/>
          <cell r="G580"/>
          <cell r="H580" t="str">
            <v/>
          </cell>
          <cell r="I580"/>
          <cell r="J580"/>
          <cell r="K580"/>
          <cell r="L580"/>
          <cell r="M580"/>
        </row>
        <row r="581">
          <cell r="A581"/>
          <cell r="B581"/>
          <cell r="C581"/>
          <cell r="D581"/>
          <cell r="E581"/>
          <cell r="F581"/>
          <cell r="G581"/>
          <cell r="H581" t="str">
            <v/>
          </cell>
          <cell r="I581"/>
          <cell r="J581"/>
          <cell r="K581"/>
          <cell r="L581"/>
          <cell r="M581"/>
        </row>
        <row r="582">
          <cell r="A582"/>
          <cell r="B582"/>
          <cell r="C582"/>
          <cell r="D582"/>
          <cell r="E582"/>
          <cell r="F582"/>
          <cell r="G582"/>
          <cell r="H582" t="str">
            <v/>
          </cell>
          <cell r="I582"/>
          <cell r="J582"/>
          <cell r="K582"/>
          <cell r="L582"/>
          <cell r="M582"/>
        </row>
        <row r="583">
          <cell r="A583"/>
          <cell r="B583"/>
          <cell r="C583"/>
          <cell r="D583"/>
          <cell r="E583"/>
          <cell r="F583"/>
          <cell r="G583"/>
          <cell r="H583" t="str">
            <v/>
          </cell>
          <cell r="I583"/>
          <cell r="J583"/>
          <cell r="K583"/>
          <cell r="L583"/>
          <cell r="M583"/>
        </row>
        <row r="584">
          <cell r="A584"/>
          <cell r="B584"/>
          <cell r="C584"/>
          <cell r="D584"/>
          <cell r="E584"/>
          <cell r="F584"/>
          <cell r="G584"/>
          <cell r="H584" t="str">
            <v/>
          </cell>
          <cell r="I584"/>
          <cell r="J584"/>
          <cell r="K584"/>
          <cell r="L584"/>
          <cell r="M584"/>
        </row>
        <row r="585">
          <cell r="A585"/>
          <cell r="B585"/>
          <cell r="C585"/>
          <cell r="D585"/>
          <cell r="E585"/>
          <cell r="F585"/>
          <cell r="G585"/>
          <cell r="H585" t="str">
            <v/>
          </cell>
          <cell r="I585"/>
          <cell r="J585"/>
          <cell r="K585"/>
          <cell r="L585"/>
          <cell r="M585"/>
        </row>
        <row r="586">
          <cell r="A586"/>
          <cell r="B586"/>
          <cell r="C586"/>
          <cell r="D586"/>
          <cell r="E586"/>
          <cell r="F586"/>
          <cell r="G586"/>
          <cell r="H586" t="str">
            <v/>
          </cell>
          <cell r="I586"/>
          <cell r="J586"/>
          <cell r="K586"/>
          <cell r="L586"/>
          <cell r="M586"/>
        </row>
        <row r="587">
          <cell r="A587"/>
          <cell r="B587"/>
          <cell r="C587"/>
          <cell r="D587"/>
          <cell r="E587"/>
          <cell r="F587"/>
          <cell r="G587"/>
          <cell r="H587" t="str">
            <v/>
          </cell>
          <cell r="I587"/>
          <cell r="J587"/>
          <cell r="K587"/>
          <cell r="L587"/>
          <cell r="M587"/>
        </row>
        <row r="588">
          <cell r="A588"/>
          <cell r="B588"/>
          <cell r="C588"/>
          <cell r="D588"/>
          <cell r="E588"/>
          <cell r="F588"/>
          <cell r="G588"/>
          <cell r="H588" t="str">
            <v/>
          </cell>
          <cell r="I588"/>
          <cell r="J588"/>
          <cell r="K588"/>
          <cell r="L588"/>
          <cell r="M588"/>
        </row>
        <row r="589">
          <cell r="A589"/>
          <cell r="B589"/>
          <cell r="C589"/>
          <cell r="D589"/>
          <cell r="E589"/>
          <cell r="F589"/>
          <cell r="G589"/>
          <cell r="H589" t="str">
            <v/>
          </cell>
          <cell r="I589"/>
          <cell r="J589"/>
          <cell r="K589"/>
          <cell r="L589"/>
          <cell r="M589"/>
        </row>
        <row r="590">
          <cell r="A590"/>
          <cell r="B590"/>
          <cell r="C590"/>
          <cell r="D590"/>
          <cell r="E590"/>
          <cell r="F590"/>
          <cell r="G590"/>
          <cell r="H590" t="str">
            <v/>
          </cell>
          <cell r="I590"/>
          <cell r="J590"/>
          <cell r="K590"/>
          <cell r="L590"/>
          <cell r="M590"/>
        </row>
        <row r="591">
          <cell r="A591"/>
          <cell r="B591"/>
          <cell r="C591"/>
          <cell r="D591"/>
          <cell r="E591"/>
          <cell r="F591"/>
          <cell r="G591"/>
          <cell r="H591" t="str">
            <v/>
          </cell>
          <cell r="I591"/>
          <cell r="J591"/>
          <cell r="K591"/>
          <cell r="L591"/>
          <cell r="M591"/>
        </row>
        <row r="592">
          <cell r="A592"/>
          <cell r="B592"/>
          <cell r="C592"/>
          <cell r="D592"/>
          <cell r="E592"/>
          <cell r="F592"/>
          <cell r="G592"/>
          <cell r="H592" t="str">
            <v/>
          </cell>
          <cell r="I592"/>
          <cell r="J592"/>
          <cell r="K592"/>
          <cell r="L592"/>
          <cell r="M592"/>
        </row>
        <row r="593">
          <cell r="A593"/>
          <cell r="B593"/>
          <cell r="C593"/>
          <cell r="D593"/>
          <cell r="E593"/>
          <cell r="F593"/>
          <cell r="G593"/>
          <cell r="H593" t="str">
            <v/>
          </cell>
          <cell r="I593"/>
          <cell r="J593"/>
          <cell r="K593"/>
          <cell r="L593"/>
          <cell r="M593"/>
        </row>
        <row r="594">
          <cell r="A594"/>
          <cell r="B594"/>
          <cell r="C594"/>
          <cell r="D594"/>
          <cell r="E594"/>
          <cell r="F594"/>
          <cell r="G594"/>
          <cell r="H594" t="str">
            <v/>
          </cell>
          <cell r="I594"/>
          <cell r="J594"/>
          <cell r="K594"/>
          <cell r="L594"/>
          <cell r="M594"/>
        </row>
        <row r="595">
          <cell r="A595"/>
          <cell r="B595"/>
          <cell r="C595"/>
          <cell r="D595"/>
          <cell r="E595"/>
          <cell r="F595"/>
          <cell r="G595"/>
          <cell r="H595" t="str">
            <v/>
          </cell>
          <cell r="I595"/>
          <cell r="J595"/>
          <cell r="K595"/>
          <cell r="L595"/>
          <cell r="M595"/>
        </row>
        <row r="596">
          <cell r="A596"/>
          <cell r="B596"/>
          <cell r="C596"/>
          <cell r="D596"/>
          <cell r="E596"/>
          <cell r="F596"/>
          <cell r="G596"/>
          <cell r="H596" t="str">
            <v/>
          </cell>
          <cell r="I596"/>
          <cell r="J596"/>
          <cell r="K596"/>
          <cell r="L596"/>
          <cell r="M596"/>
        </row>
        <row r="597">
          <cell r="A597"/>
          <cell r="B597"/>
          <cell r="C597"/>
          <cell r="D597"/>
          <cell r="E597"/>
          <cell r="F597"/>
          <cell r="G597"/>
          <cell r="H597" t="str">
            <v/>
          </cell>
          <cell r="I597"/>
          <cell r="J597"/>
          <cell r="K597"/>
          <cell r="L597"/>
          <cell r="M597"/>
        </row>
        <row r="598">
          <cell r="A598"/>
          <cell r="B598"/>
          <cell r="C598"/>
          <cell r="D598"/>
          <cell r="E598"/>
          <cell r="F598"/>
          <cell r="G598"/>
          <cell r="H598" t="str">
            <v/>
          </cell>
          <cell r="I598"/>
          <cell r="J598"/>
          <cell r="K598"/>
          <cell r="L598"/>
          <cell r="M598"/>
        </row>
        <row r="599">
          <cell r="A599"/>
          <cell r="B599"/>
          <cell r="C599"/>
          <cell r="D599"/>
          <cell r="E599"/>
          <cell r="F599"/>
          <cell r="G599"/>
          <cell r="H599" t="str">
            <v/>
          </cell>
          <cell r="I599"/>
          <cell r="J599"/>
          <cell r="K599"/>
          <cell r="L599"/>
          <cell r="M599"/>
        </row>
        <row r="600">
          <cell r="A600"/>
          <cell r="B600"/>
          <cell r="C600"/>
          <cell r="D600"/>
          <cell r="E600"/>
          <cell r="F600"/>
          <cell r="G600"/>
          <cell r="H600" t="str">
            <v/>
          </cell>
          <cell r="I600"/>
          <cell r="J600"/>
          <cell r="K600"/>
          <cell r="L600"/>
          <cell r="M600"/>
        </row>
        <row r="601">
          <cell r="A601"/>
          <cell r="B601"/>
          <cell r="C601"/>
          <cell r="D601"/>
          <cell r="E601"/>
          <cell r="F601"/>
          <cell r="G601"/>
          <cell r="H601" t="str">
            <v/>
          </cell>
          <cell r="I601"/>
          <cell r="J601"/>
          <cell r="K601"/>
          <cell r="L601"/>
          <cell r="M601"/>
        </row>
        <row r="602">
          <cell r="A602"/>
          <cell r="B602"/>
          <cell r="C602"/>
          <cell r="D602"/>
          <cell r="E602"/>
          <cell r="F602"/>
          <cell r="G602"/>
          <cell r="H602" t="str">
            <v/>
          </cell>
          <cell r="I602"/>
          <cell r="J602"/>
          <cell r="K602"/>
          <cell r="L602"/>
          <cell r="M602"/>
        </row>
        <row r="603">
          <cell r="A603"/>
          <cell r="B603"/>
          <cell r="C603"/>
          <cell r="D603"/>
          <cell r="E603"/>
          <cell r="F603"/>
          <cell r="G603"/>
          <cell r="H603" t="str">
            <v/>
          </cell>
          <cell r="I603"/>
          <cell r="J603"/>
          <cell r="K603"/>
          <cell r="L603"/>
          <cell r="M603"/>
        </row>
        <row r="604">
          <cell r="A604"/>
          <cell r="B604"/>
          <cell r="C604"/>
          <cell r="D604"/>
          <cell r="E604"/>
          <cell r="F604"/>
          <cell r="G604"/>
          <cell r="H604" t="str">
            <v/>
          </cell>
          <cell r="I604"/>
          <cell r="J604"/>
          <cell r="K604"/>
          <cell r="L604"/>
          <cell r="M604"/>
        </row>
        <row r="605">
          <cell r="A605"/>
          <cell r="B605"/>
          <cell r="C605"/>
          <cell r="D605"/>
          <cell r="E605"/>
          <cell r="F605"/>
          <cell r="G605"/>
          <cell r="H605" t="str">
            <v/>
          </cell>
          <cell r="I605"/>
          <cell r="J605"/>
          <cell r="K605"/>
          <cell r="L605"/>
          <cell r="M605"/>
        </row>
        <row r="606">
          <cell r="A606"/>
          <cell r="B606"/>
          <cell r="C606"/>
          <cell r="D606"/>
          <cell r="E606"/>
          <cell r="F606"/>
          <cell r="G606"/>
          <cell r="H606" t="str">
            <v/>
          </cell>
          <cell r="I606"/>
          <cell r="J606"/>
          <cell r="K606"/>
          <cell r="L606"/>
          <cell r="M606"/>
        </row>
        <row r="607">
          <cell r="A607"/>
          <cell r="B607"/>
          <cell r="C607"/>
          <cell r="D607"/>
          <cell r="E607"/>
          <cell r="F607"/>
          <cell r="G607"/>
          <cell r="H607" t="str">
            <v/>
          </cell>
          <cell r="I607"/>
          <cell r="J607"/>
          <cell r="K607"/>
          <cell r="L607"/>
          <cell r="M607"/>
        </row>
        <row r="608">
          <cell r="A608"/>
          <cell r="B608"/>
          <cell r="C608"/>
          <cell r="D608"/>
          <cell r="E608"/>
          <cell r="F608"/>
          <cell r="G608"/>
          <cell r="H608" t="str">
            <v/>
          </cell>
          <cell r="I608"/>
          <cell r="J608"/>
          <cell r="K608"/>
          <cell r="L608"/>
          <cell r="M608"/>
        </row>
        <row r="609">
          <cell r="A609"/>
          <cell r="B609"/>
          <cell r="C609"/>
          <cell r="D609"/>
          <cell r="E609"/>
          <cell r="F609"/>
          <cell r="G609"/>
          <cell r="H609" t="str">
            <v/>
          </cell>
          <cell r="I609"/>
          <cell r="J609"/>
          <cell r="K609"/>
          <cell r="L609"/>
          <cell r="M609"/>
        </row>
        <row r="610">
          <cell r="A610"/>
          <cell r="B610"/>
          <cell r="C610"/>
          <cell r="D610"/>
          <cell r="E610"/>
          <cell r="F610"/>
          <cell r="G610"/>
          <cell r="H610" t="str">
            <v/>
          </cell>
          <cell r="I610"/>
          <cell r="J610"/>
          <cell r="K610"/>
          <cell r="L610"/>
          <cell r="M610"/>
        </row>
        <row r="611">
          <cell r="A611"/>
          <cell r="B611"/>
          <cell r="C611"/>
          <cell r="D611"/>
          <cell r="E611"/>
          <cell r="F611"/>
          <cell r="G611"/>
          <cell r="H611" t="str">
            <v/>
          </cell>
          <cell r="I611"/>
          <cell r="J611"/>
          <cell r="K611"/>
          <cell r="L611"/>
          <cell r="M611"/>
        </row>
        <row r="612">
          <cell r="A612"/>
          <cell r="B612"/>
          <cell r="C612"/>
          <cell r="D612"/>
          <cell r="E612"/>
          <cell r="F612"/>
          <cell r="G612"/>
          <cell r="H612" t="str">
            <v/>
          </cell>
          <cell r="I612"/>
          <cell r="J612"/>
          <cell r="K612"/>
          <cell r="L612"/>
          <cell r="M612"/>
        </row>
        <row r="613">
          <cell r="A613"/>
          <cell r="B613"/>
          <cell r="C613"/>
          <cell r="D613"/>
          <cell r="E613"/>
          <cell r="F613"/>
          <cell r="G613"/>
          <cell r="H613" t="str">
            <v/>
          </cell>
          <cell r="I613"/>
          <cell r="J613"/>
          <cell r="K613"/>
          <cell r="L613"/>
          <cell r="M613"/>
        </row>
        <row r="614">
          <cell r="A614"/>
          <cell r="B614"/>
          <cell r="C614"/>
          <cell r="D614"/>
          <cell r="E614"/>
          <cell r="F614"/>
          <cell r="G614"/>
          <cell r="H614" t="str">
            <v/>
          </cell>
          <cell r="I614"/>
          <cell r="J614"/>
          <cell r="K614"/>
          <cell r="L614"/>
          <cell r="M614"/>
        </row>
        <row r="615">
          <cell r="A615"/>
          <cell r="B615"/>
          <cell r="C615"/>
          <cell r="D615"/>
          <cell r="E615"/>
          <cell r="F615"/>
          <cell r="G615"/>
          <cell r="H615" t="str">
            <v/>
          </cell>
          <cell r="I615"/>
          <cell r="J615"/>
          <cell r="K615"/>
          <cell r="L615"/>
          <cell r="M615"/>
        </row>
        <row r="616">
          <cell r="A616"/>
          <cell r="B616"/>
          <cell r="C616"/>
          <cell r="D616"/>
          <cell r="E616"/>
          <cell r="F616"/>
          <cell r="G616"/>
          <cell r="H616" t="str">
            <v/>
          </cell>
          <cell r="I616"/>
          <cell r="J616"/>
          <cell r="K616"/>
          <cell r="L616"/>
          <cell r="M616"/>
        </row>
        <row r="617">
          <cell r="A617"/>
          <cell r="B617"/>
          <cell r="C617"/>
          <cell r="D617"/>
          <cell r="E617"/>
          <cell r="F617"/>
          <cell r="G617"/>
          <cell r="H617" t="str">
            <v/>
          </cell>
          <cell r="I617"/>
          <cell r="J617"/>
          <cell r="K617"/>
          <cell r="L617"/>
          <cell r="M617"/>
        </row>
        <row r="618">
          <cell r="A618"/>
          <cell r="B618"/>
          <cell r="C618"/>
          <cell r="D618"/>
          <cell r="E618"/>
          <cell r="F618"/>
          <cell r="G618"/>
          <cell r="H618" t="str">
            <v/>
          </cell>
          <cell r="I618"/>
          <cell r="J618"/>
          <cell r="K618"/>
          <cell r="L618"/>
          <cell r="M618"/>
        </row>
        <row r="619">
          <cell r="A619"/>
          <cell r="B619"/>
          <cell r="C619"/>
          <cell r="D619"/>
          <cell r="E619"/>
          <cell r="F619"/>
          <cell r="G619"/>
          <cell r="H619" t="str">
            <v/>
          </cell>
          <cell r="I619"/>
          <cell r="J619"/>
          <cell r="K619"/>
          <cell r="L619"/>
          <cell r="M619"/>
        </row>
        <row r="620">
          <cell r="A620"/>
          <cell r="B620"/>
          <cell r="C620"/>
          <cell r="D620"/>
          <cell r="E620"/>
          <cell r="F620"/>
          <cell r="G620"/>
          <cell r="H620" t="str">
            <v/>
          </cell>
          <cell r="I620"/>
          <cell r="J620"/>
          <cell r="K620"/>
          <cell r="L620"/>
          <cell r="M620"/>
        </row>
        <row r="621">
          <cell r="A621"/>
          <cell r="B621"/>
          <cell r="C621"/>
          <cell r="D621"/>
          <cell r="E621"/>
          <cell r="F621"/>
          <cell r="G621"/>
          <cell r="H621" t="str">
            <v/>
          </cell>
          <cell r="I621"/>
          <cell r="J621"/>
          <cell r="K621"/>
          <cell r="L621"/>
          <cell r="M621"/>
        </row>
        <row r="622">
          <cell r="A622"/>
          <cell r="B622"/>
          <cell r="C622"/>
          <cell r="D622"/>
          <cell r="E622"/>
          <cell r="F622"/>
          <cell r="G622"/>
          <cell r="H622" t="str">
            <v/>
          </cell>
          <cell r="I622"/>
          <cell r="J622"/>
          <cell r="K622"/>
          <cell r="L622"/>
          <cell r="M622"/>
        </row>
        <row r="623">
          <cell r="A623"/>
          <cell r="B623"/>
          <cell r="C623"/>
          <cell r="D623"/>
          <cell r="E623"/>
          <cell r="F623"/>
          <cell r="G623"/>
          <cell r="H623" t="str">
            <v/>
          </cell>
          <cell r="I623"/>
          <cell r="J623"/>
          <cell r="K623"/>
          <cell r="L623"/>
          <cell r="M623"/>
        </row>
        <row r="624">
          <cell r="A624"/>
          <cell r="B624"/>
          <cell r="C624"/>
          <cell r="D624"/>
          <cell r="E624"/>
          <cell r="F624"/>
          <cell r="G624"/>
          <cell r="H624" t="str">
            <v/>
          </cell>
          <cell r="I624"/>
          <cell r="J624"/>
          <cell r="K624"/>
          <cell r="L624"/>
          <cell r="M624"/>
        </row>
        <row r="625">
          <cell r="A625"/>
          <cell r="B625"/>
          <cell r="C625"/>
          <cell r="D625"/>
          <cell r="E625"/>
          <cell r="F625"/>
          <cell r="G625"/>
          <cell r="H625" t="str">
            <v/>
          </cell>
          <cell r="I625"/>
          <cell r="J625"/>
          <cell r="K625"/>
          <cell r="L625"/>
          <cell r="M625"/>
        </row>
        <row r="626">
          <cell r="A626"/>
          <cell r="B626"/>
          <cell r="C626"/>
          <cell r="D626"/>
          <cell r="E626"/>
          <cell r="F626"/>
          <cell r="G626"/>
          <cell r="H626" t="str">
            <v/>
          </cell>
          <cell r="I626"/>
          <cell r="J626"/>
          <cell r="K626"/>
          <cell r="L626"/>
          <cell r="M626"/>
        </row>
        <row r="627">
          <cell r="A627"/>
          <cell r="B627"/>
          <cell r="C627"/>
          <cell r="D627"/>
          <cell r="E627"/>
          <cell r="F627"/>
          <cell r="G627"/>
          <cell r="H627" t="str">
            <v/>
          </cell>
          <cell r="I627"/>
          <cell r="J627"/>
          <cell r="K627"/>
          <cell r="L627"/>
          <cell r="M627"/>
        </row>
        <row r="628">
          <cell r="A628"/>
          <cell r="B628"/>
          <cell r="C628"/>
          <cell r="D628"/>
          <cell r="E628"/>
          <cell r="F628"/>
          <cell r="G628"/>
          <cell r="H628" t="str">
            <v/>
          </cell>
          <cell r="I628"/>
          <cell r="J628"/>
          <cell r="K628"/>
          <cell r="L628"/>
          <cell r="M628"/>
        </row>
        <row r="629">
          <cell r="A629"/>
          <cell r="B629"/>
          <cell r="C629"/>
          <cell r="D629"/>
          <cell r="E629"/>
          <cell r="F629"/>
          <cell r="G629"/>
          <cell r="H629" t="str">
            <v/>
          </cell>
          <cell r="I629"/>
          <cell r="J629"/>
          <cell r="K629"/>
          <cell r="L629"/>
          <cell r="M629"/>
        </row>
        <row r="630">
          <cell r="A630"/>
          <cell r="B630"/>
          <cell r="C630"/>
          <cell r="D630"/>
          <cell r="E630"/>
          <cell r="F630"/>
          <cell r="G630"/>
          <cell r="H630" t="str">
            <v/>
          </cell>
          <cell r="I630"/>
          <cell r="J630"/>
          <cell r="K630"/>
          <cell r="L630"/>
          <cell r="M630"/>
        </row>
        <row r="631">
          <cell r="A631"/>
          <cell r="B631"/>
          <cell r="C631"/>
          <cell r="D631"/>
          <cell r="E631"/>
          <cell r="F631"/>
          <cell r="G631"/>
          <cell r="H631" t="str">
            <v/>
          </cell>
          <cell r="I631"/>
          <cell r="J631"/>
          <cell r="K631"/>
          <cell r="L631"/>
          <cell r="M631"/>
        </row>
        <row r="632">
          <cell r="A632"/>
          <cell r="B632"/>
          <cell r="C632"/>
          <cell r="D632"/>
          <cell r="E632"/>
          <cell r="F632"/>
          <cell r="G632"/>
          <cell r="H632" t="str">
            <v/>
          </cell>
          <cell r="I632"/>
          <cell r="J632"/>
          <cell r="K632"/>
          <cell r="L632"/>
          <cell r="M632"/>
        </row>
        <row r="633">
          <cell r="A633"/>
          <cell r="B633"/>
          <cell r="C633"/>
          <cell r="D633"/>
          <cell r="E633"/>
          <cell r="F633"/>
          <cell r="G633"/>
          <cell r="H633" t="str">
            <v/>
          </cell>
          <cell r="I633"/>
          <cell r="J633"/>
          <cell r="K633"/>
          <cell r="L633"/>
          <cell r="M633"/>
        </row>
        <row r="634">
          <cell r="A634"/>
          <cell r="B634"/>
          <cell r="C634"/>
          <cell r="D634"/>
          <cell r="E634"/>
          <cell r="F634"/>
          <cell r="G634"/>
          <cell r="H634" t="str">
            <v/>
          </cell>
          <cell r="I634"/>
          <cell r="J634"/>
          <cell r="K634"/>
          <cell r="L634"/>
          <cell r="M634"/>
        </row>
        <row r="635">
          <cell r="A635"/>
          <cell r="B635"/>
          <cell r="C635"/>
          <cell r="D635"/>
          <cell r="E635"/>
          <cell r="F635"/>
          <cell r="G635"/>
          <cell r="H635" t="str">
            <v/>
          </cell>
          <cell r="I635"/>
          <cell r="J635"/>
          <cell r="K635"/>
          <cell r="L635"/>
          <cell r="M635"/>
        </row>
        <row r="636">
          <cell r="A636"/>
          <cell r="B636"/>
          <cell r="C636"/>
          <cell r="D636"/>
          <cell r="E636"/>
          <cell r="F636"/>
          <cell r="G636"/>
          <cell r="H636" t="str">
            <v/>
          </cell>
          <cell r="I636"/>
          <cell r="J636"/>
          <cell r="K636"/>
          <cell r="L636"/>
          <cell r="M636"/>
        </row>
        <row r="637">
          <cell r="A637"/>
          <cell r="B637"/>
          <cell r="C637"/>
          <cell r="D637"/>
          <cell r="E637"/>
          <cell r="F637"/>
          <cell r="G637"/>
          <cell r="H637" t="str">
            <v/>
          </cell>
          <cell r="I637"/>
          <cell r="J637"/>
          <cell r="K637"/>
          <cell r="L637"/>
          <cell r="M637"/>
        </row>
        <row r="638">
          <cell r="A638"/>
          <cell r="B638"/>
          <cell r="C638"/>
          <cell r="D638"/>
          <cell r="E638"/>
          <cell r="F638"/>
          <cell r="G638"/>
          <cell r="H638" t="str">
            <v/>
          </cell>
          <cell r="I638"/>
          <cell r="J638"/>
          <cell r="K638"/>
          <cell r="L638"/>
          <cell r="M638"/>
        </row>
        <row r="639">
          <cell r="A639"/>
          <cell r="B639"/>
          <cell r="C639"/>
          <cell r="D639"/>
          <cell r="E639"/>
          <cell r="F639"/>
          <cell r="G639"/>
          <cell r="H639" t="str">
            <v/>
          </cell>
          <cell r="I639"/>
          <cell r="J639"/>
          <cell r="K639"/>
          <cell r="L639"/>
          <cell r="M639"/>
        </row>
        <row r="640">
          <cell r="A640"/>
          <cell r="B640"/>
          <cell r="C640"/>
          <cell r="D640"/>
          <cell r="E640"/>
          <cell r="F640"/>
          <cell r="G640"/>
          <cell r="H640" t="str">
            <v/>
          </cell>
          <cell r="I640"/>
          <cell r="J640"/>
          <cell r="K640"/>
          <cell r="L640"/>
          <cell r="M640"/>
        </row>
        <row r="641">
          <cell r="A641"/>
          <cell r="B641"/>
          <cell r="C641"/>
          <cell r="D641"/>
          <cell r="E641"/>
          <cell r="F641"/>
          <cell r="G641"/>
          <cell r="H641" t="str">
            <v/>
          </cell>
          <cell r="I641"/>
          <cell r="J641"/>
          <cell r="K641"/>
          <cell r="L641"/>
          <cell r="M641"/>
        </row>
        <row r="642">
          <cell r="A642"/>
          <cell r="B642"/>
          <cell r="C642"/>
          <cell r="D642"/>
          <cell r="E642"/>
          <cell r="F642"/>
          <cell r="G642"/>
          <cell r="H642" t="str">
            <v/>
          </cell>
          <cell r="I642"/>
          <cell r="J642"/>
          <cell r="K642"/>
          <cell r="L642"/>
          <cell r="M642"/>
        </row>
        <row r="643">
          <cell r="A643"/>
          <cell r="B643"/>
          <cell r="C643"/>
          <cell r="D643"/>
          <cell r="E643"/>
          <cell r="F643"/>
          <cell r="G643"/>
          <cell r="H643" t="str">
            <v/>
          </cell>
          <cell r="I643"/>
          <cell r="J643"/>
          <cell r="K643"/>
          <cell r="L643"/>
          <cell r="M643"/>
        </row>
        <row r="644">
          <cell r="A644"/>
          <cell r="B644"/>
          <cell r="C644"/>
          <cell r="D644"/>
          <cell r="E644"/>
          <cell r="F644"/>
          <cell r="G644"/>
          <cell r="H644" t="str">
            <v/>
          </cell>
          <cell r="I644"/>
          <cell r="J644"/>
          <cell r="K644"/>
          <cell r="L644"/>
          <cell r="M644"/>
        </row>
        <row r="645">
          <cell r="A645"/>
          <cell r="B645"/>
          <cell r="C645"/>
          <cell r="D645"/>
          <cell r="E645"/>
          <cell r="F645"/>
          <cell r="G645"/>
          <cell r="H645" t="str">
            <v/>
          </cell>
          <cell r="I645"/>
          <cell r="J645"/>
          <cell r="K645"/>
          <cell r="L645"/>
          <cell r="M645"/>
        </row>
        <row r="646">
          <cell r="A646"/>
          <cell r="B646"/>
          <cell r="C646"/>
          <cell r="D646"/>
          <cell r="E646"/>
          <cell r="F646"/>
          <cell r="G646"/>
          <cell r="H646" t="str">
            <v/>
          </cell>
          <cell r="I646"/>
          <cell r="J646"/>
          <cell r="K646"/>
          <cell r="L646"/>
          <cell r="M646"/>
        </row>
        <row r="647">
          <cell r="A647"/>
          <cell r="B647"/>
          <cell r="C647"/>
          <cell r="D647"/>
          <cell r="E647"/>
          <cell r="F647"/>
          <cell r="G647"/>
          <cell r="H647" t="str">
            <v/>
          </cell>
          <cell r="I647"/>
          <cell r="J647"/>
          <cell r="K647"/>
          <cell r="L647"/>
          <cell r="M647"/>
        </row>
        <row r="648">
          <cell r="A648"/>
          <cell r="B648"/>
          <cell r="C648"/>
          <cell r="D648"/>
          <cell r="E648"/>
          <cell r="F648"/>
          <cell r="G648"/>
          <cell r="H648" t="str">
            <v/>
          </cell>
          <cell r="I648"/>
          <cell r="J648"/>
          <cell r="K648"/>
          <cell r="L648"/>
          <cell r="M648"/>
        </row>
        <row r="649">
          <cell r="A649"/>
          <cell r="B649"/>
          <cell r="C649"/>
          <cell r="D649"/>
          <cell r="E649"/>
          <cell r="F649"/>
          <cell r="G649"/>
          <cell r="H649" t="str">
            <v/>
          </cell>
          <cell r="I649"/>
          <cell r="J649"/>
          <cell r="K649"/>
          <cell r="L649"/>
          <cell r="M649"/>
        </row>
        <row r="650">
          <cell r="A650"/>
          <cell r="B650"/>
          <cell r="C650"/>
          <cell r="D650"/>
          <cell r="E650"/>
          <cell r="F650"/>
          <cell r="G650"/>
          <cell r="H650" t="str">
            <v/>
          </cell>
          <cell r="I650"/>
          <cell r="J650"/>
          <cell r="K650"/>
          <cell r="L650"/>
          <cell r="M650"/>
        </row>
        <row r="651">
          <cell r="A651"/>
          <cell r="B651"/>
          <cell r="C651"/>
          <cell r="D651"/>
          <cell r="E651"/>
          <cell r="F651"/>
          <cell r="G651"/>
          <cell r="H651" t="str">
            <v/>
          </cell>
          <cell r="I651"/>
          <cell r="J651"/>
          <cell r="K651"/>
          <cell r="L651"/>
          <cell r="M651"/>
        </row>
        <row r="652">
          <cell r="A652"/>
          <cell r="B652"/>
          <cell r="C652"/>
          <cell r="D652"/>
          <cell r="E652"/>
          <cell r="F652"/>
          <cell r="G652"/>
          <cell r="H652" t="str">
            <v/>
          </cell>
          <cell r="I652"/>
          <cell r="J652"/>
          <cell r="K652"/>
          <cell r="L652"/>
          <cell r="M652"/>
        </row>
        <row r="653">
          <cell r="A653"/>
          <cell r="B653"/>
          <cell r="C653"/>
          <cell r="D653"/>
          <cell r="E653"/>
          <cell r="F653"/>
          <cell r="G653"/>
          <cell r="H653" t="str">
            <v/>
          </cell>
          <cell r="I653"/>
          <cell r="J653"/>
          <cell r="K653"/>
          <cell r="L653"/>
          <cell r="M653"/>
        </row>
        <row r="654">
          <cell r="A654"/>
          <cell r="B654"/>
          <cell r="C654"/>
          <cell r="D654"/>
          <cell r="E654"/>
          <cell r="F654"/>
          <cell r="G654"/>
          <cell r="H654" t="str">
            <v/>
          </cell>
          <cell r="I654"/>
          <cell r="J654"/>
          <cell r="K654"/>
          <cell r="L654"/>
          <cell r="M654"/>
        </row>
        <row r="655">
          <cell r="A655"/>
          <cell r="B655"/>
          <cell r="C655"/>
          <cell r="D655"/>
          <cell r="E655"/>
          <cell r="F655"/>
          <cell r="G655"/>
          <cell r="H655" t="str">
            <v/>
          </cell>
          <cell r="I655"/>
          <cell r="J655"/>
          <cell r="K655"/>
          <cell r="L655"/>
          <cell r="M655"/>
        </row>
        <row r="656">
          <cell r="A656"/>
          <cell r="B656"/>
          <cell r="C656"/>
          <cell r="D656"/>
          <cell r="E656"/>
          <cell r="F656"/>
          <cell r="G656"/>
          <cell r="H656" t="str">
            <v/>
          </cell>
          <cell r="I656"/>
          <cell r="J656"/>
          <cell r="K656"/>
          <cell r="L656"/>
          <cell r="M656"/>
        </row>
        <row r="657">
          <cell r="A657"/>
          <cell r="B657"/>
          <cell r="C657"/>
          <cell r="D657"/>
          <cell r="E657"/>
          <cell r="F657"/>
          <cell r="G657"/>
          <cell r="H657" t="str">
            <v/>
          </cell>
          <cell r="I657"/>
          <cell r="J657"/>
          <cell r="K657"/>
          <cell r="L657"/>
          <cell r="M657"/>
        </row>
        <row r="658">
          <cell r="A658"/>
          <cell r="B658"/>
          <cell r="C658"/>
          <cell r="D658"/>
          <cell r="E658"/>
          <cell r="F658"/>
          <cell r="G658"/>
          <cell r="H658" t="str">
            <v/>
          </cell>
          <cell r="I658"/>
          <cell r="J658"/>
          <cell r="K658"/>
          <cell r="L658"/>
          <cell r="M658"/>
        </row>
        <row r="659">
          <cell r="A659"/>
          <cell r="B659"/>
          <cell r="C659"/>
          <cell r="D659"/>
          <cell r="E659"/>
          <cell r="F659"/>
          <cell r="G659"/>
          <cell r="H659" t="str">
            <v/>
          </cell>
          <cell r="I659"/>
          <cell r="J659"/>
          <cell r="K659"/>
          <cell r="L659"/>
          <cell r="M659"/>
        </row>
        <row r="660">
          <cell r="A660"/>
          <cell r="B660"/>
          <cell r="C660"/>
          <cell r="D660"/>
          <cell r="E660"/>
          <cell r="F660"/>
          <cell r="G660"/>
          <cell r="H660" t="str">
            <v/>
          </cell>
          <cell r="I660"/>
          <cell r="J660"/>
          <cell r="K660"/>
          <cell r="L660"/>
          <cell r="M660"/>
        </row>
        <row r="661">
          <cell r="A661"/>
          <cell r="B661"/>
          <cell r="C661"/>
          <cell r="D661"/>
          <cell r="E661"/>
          <cell r="F661"/>
          <cell r="G661"/>
          <cell r="H661" t="str">
            <v/>
          </cell>
          <cell r="I661"/>
          <cell r="J661"/>
          <cell r="K661"/>
          <cell r="L661"/>
          <cell r="M661"/>
        </row>
        <row r="662">
          <cell r="A662"/>
          <cell r="B662"/>
          <cell r="C662"/>
          <cell r="D662"/>
          <cell r="E662"/>
          <cell r="F662"/>
          <cell r="G662"/>
          <cell r="H662" t="str">
            <v/>
          </cell>
          <cell r="I662"/>
          <cell r="J662"/>
          <cell r="K662"/>
          <cell r="L662"/>
          <cell r="M662"/>
        </row>
        <row r="663">
          <cell r="A663"/>
          <cell r="B663"/>
          <cell r="C663"/>
          <cell r="D663"/>
          <cell r="E663"/>
          <cell r="F663"/>
          <cell r="G663"/>
          <cell r="H663" t="str">
            <v/>
          </cell>
          <cell r="I663"/>
          <cell r="J663"/>
          <cell r="K663"/>
          <cell r="L663"/>
          <cell r="M663"/>
        </row>
        <row r="664">
          <cell r="A664"/>
          <cell r="B664"/>
          <cell r="C664"/>
          <cell r="D664"/>
          <cell r="E664"/>
          <cell r="F664"/>
          <cell r="G664"/>
          <cell r="H664" t="str">
            <v/>
          </cell>
          <cell r="I664"/>
          <cell r="J664"/>
          <cell r="K664"/>
          <cell r="L664"/>
          <cell r="M664"/>
        </row>
        <row r="665">
          <cell r="A665"/>
          <cell r="B665"/>
          <cell r="C665"/>
          <cell r="D665"/>
          <cell r="E665"/>
          <cell r="F665"/>
          <cell r="G665"/>
          <cell r="H665" t="str">
            <v/>
          </cell>
          <cell r="I665"/>
          <cell r="J665"/>
          <cell r="K665"/>
          <cell r="L665"/>
          <cell r="M665"/>
        </row>
        <row r="666">
          <cell r="A666"/>
          <cell r="B666"/>
          <cell r="C666"/>
          <cell r="D666"/>
          <cell r="E666"/>
          <cell r="F666"/>
          <cell r="G666"/>
          <cell r="H666" t="str">
            <v/>
          </cell>
          <cell r="I666"/>
          <cell r="J666"/>
          <cell r="K666"/>
          <cell r="L666"/>
          <cell r="M666"/>
        </row>
        <row r="667">
          <cell r="A667"/>
          <cell r="B667"/>
          <cell r="C667"/>
          <cell r="D667"/>
          <cell r="E667"/>
          <cell r="F667"/>
          <cell r="G667"/>
          <cell r="H667" t="str">
            <v/>
          </cell>
          <cell r="I667"/>
          <cell r="J667"/>
          <cell r="K667"/>
          <cell r="L667"/>
          <cell r="M667"/>
        </row>
        <row r="668">
          <cell r="A668"/>
          <cell r="B668"/>
          <cell r="C668"/>
          <cell r="D668"/>
          <cell r="E668"/>
          <cell r="F668"/>
          <cell r="G668"/>
          <cell r="H668" t="str">
            <v/>
          </cell>
          <cell r="I668"/>
          <cell r="J668"/>
          <cell r="K668"/>
          <cell r="L668"/>
          <cell r="M668"/>
        </row>
        <row r="669">
          <cell r="A669"/>
          <cell r="B669"/>
          <cell r="C669"/>
          <cell r="D669"/>
          <cell r="E669"/>
          <cell r="F669"/>
          <cell r="G669"/>
          <cell r="H669" t="str">
            <v/>
          </cell>
          <cell r="I669"/>
          <cell r="J669"/>
          <cell r="K669"/>
          <cell r="L669"/>
          <cell r="M669"/>
        </row>
        <row r="670">
          <cell r="A670"/>
          <cell r="B670"/>
          <cell r="C670"/>
          <cell r="D670"/>
          <cell r="E670"/>
          <cell r="F670"/>
          <cell r="G670"/>
          <cell r="H670" t="str">
            <v/>
          </cell>
          <cell r="I670"/>
          <cell r="J670"/>
          <cell r="K670"/>
          <cell r="L670"/>
          <cell r="M670"/>
        </row>
        <row r="671">
          <cell r="A671"/>
          <cell r="B671"/>
          <cell r="C671"/>
          <cell r="D671"/>
          <cell r="E671"/>
          <cell r="F671"/>
          <cell r="G671"/>
          <cell r="H671" t="str">
            <v/>
          </cell>
          <cell r="I671"/>
          <cell r="J671"/>
          <cell r="K671"/>
          <cell r="L671"/>
          <cell r="M671"/>
        </row>
        <row r="672">
          <cell r="A672"/>
          <cell r="B672"/>
          <cell r="C672"/>
          <cell r="D672"/>
          <cell r="E672"/>
          <cell r="F672"/>
          <cell r="G672"/>
          <cell r="H672" t="str">
            <v/>
          </cell>
          <cell r="I672"/>
          <cell r="J672"/>
          <cell r="K672"/>
          <cell r="L672"/>
          <cell r="M672"/>
        </row>
        <row r="673">
          <cell r="A673"/>
          <cell r="B673"/>
          <cell r="C673"/>
          <cell r="D673"/>
          <cell r="E673"/>
          <cell r="F673"/>
          <cell r="G673"/>
          <cell r="H673" t="str">
            <v/>
          </cell>
          <cell r="I673"/>
          <cell r="J673"/>
          <cell r="K673"/>
          <cell r="L673"/>
          <cell r="M673"/>
        </row>
        <row r="674">
          <cell r="A674"/>
          <cell r="B674"/>
          <cell r="C674"/>
          <cell r="D674"/>
          <cell r="E674"/>
          <cell r="F674"/>
          <cell r="G674"/>
          <cell r="H674" t="str">
            <v/>
          </cell>
          <cell r="I674"/>
          <cell r="J674"/>
          <cell r="K674"/>
          <cell r="L674"/>
          <cell r="M674"/>
        </row>
        <row r="675">
          <cell r="A675"/>
          <cell r="B675"/>
          <cell r="C675"/>
          <cell r="D675"/>
          <cell r="E675"/>
          <cell r="F675"/>
          <cell r="G675"/>
          <cell r="H675" t="str">
            <v/>
          </cell>
          <cell r="I675"/>
          <cell r="J675"/>
          <cell r="K675"/>
          <cell r="L675"/>
          <cell r="M675"/>
        </row>
        <row r="676">
          <cell r="A676"/>
          <cell r="B676"/>
          <cell r="C676"/>
          <cell r="D676"/>
          <cell r="E676"/>
          <cell r="F676"/>
          <cell r="G676"/>
          <cell r="H676" t="str">
            <v/>
          </cell>
          <cell r="I676"/>
          <cell r="J676"/>
          <cell r="K676"/>
          <cell r="L676"/>
          <cell r="M676"/>
        </row>
        <row r="677">
          <cell r="A677"/>
          <cell r="B677"/>
          <cell r="C677"/>
          <cell r="D677"/>
          <cell r="E677"/>
          <cell r="F677"/>
          <cell r="G677"/>
          <cell r="H677" t="str">
            <v/>
          </cell>
          <cell r="I677"/>
          <cell r="J677"/>
          <cell r="K677"/>
          <cell r="L677"/>
          <cell r="M677"/>
        </row>
        <row r="678">
          <cell r="A678"/>
          <cell r="B678"/>
          <cell r="C678"/>
          <cell r="D678"/>
          <cell r="E678"/>
          <cell r="F678"/>
          <cell r="G678"/>
          <cell r="H678" t="str">
            <v/>
          </cell>
          <cell r="I678"/>
          <cell r="J678"/>
          <cell r="K678"/>
          <cell r="L678"/>
          <cell r="M678"/>
        </row>
        <row r="679">
          <cell r="A679"/>
          <cell r="B679"/>
          <cell r="C679"/>
          <cell r="D679"/>
          <cell r="E679"/>
          <cell r="F679"/>
          <cell r="G679"/>
          <cell r="H679" t="str">
            <v/>
          </cell>
          <cell r="I679"/>
          <cell r="J679"/>
          <cell r="K679"/>
          <cell r="L679"/>
          <cell r="M679"/>
        </row>
        <row r="680">
          <cell r="A680"/>
          <cell r="B680"/>
          <cell r="C680"/>
          <cell r="D680"/>
          <cell r="E680"/>
          <cell r="F680"/>
          <cell r="G680"/>
          <cell r="H680" t="str">
            <v/>
          </cell>
          <cell r="I680"/>
          <cell r="J680"/>
          <cell r="K680"/>
          <cell r="L680"/>
          <cell r="M680"/>
        </row>
        <row r="681">
          <cell r="A681"/>
          <cell r="B681"/>
          <cell r="C681"/>
          <cell r="D681"/>
          <cell r="E681"/>
          <cell r="F681"/>
          <cell r="G681"/>
          <cell r="H681" t="str">
            <v/>
          </cell>
          <cell r="I681"/>
          <cell r="J681"/>
          <cell r="K681"/>
          <cell r="L681"/>
          <cell r="M681"/>
        </row>
        <row r="682">
          <cell r="A682"/>
          <cell r="B682"/>
          <cell r="C682"/>
          <cell r="D682"/>
          <cell r="E682"/>
          <cell r="F682"/>
          <cell r="G682"/>
          <cell r="H682" t="str">
            <v/>
          </cell>
          <cell r="I682"/>
          <cell r="J682"/>
          <cell r="K682"/>
          <cell r="L682"/>
          <cell r="M682"/>
        </row>
        <row r="683">
          <cell r="A683"/>
          <cell r="B683"/>
          <cell r="C683"/>
          <cell r="D683"/>
          <cell r="E683"/>
          <cell r="F683"/>
          <cell r="G683"/>
          <cell r="H683" t="str">
            <v/>
          </cell>
          <cell r="I683"/>
          <cell r="J683"/>
          <cell r="K683"/>
          <cell r="L683"/>
          <cell r="M683"/>
        </row>
        <row r="684">
          <cell r="A684"/>
          <cell r="B684"/>
          <cell r="C684"/>
          <cell r="D684"/>
          <cell r="E684"/>
          <cell r="F684"/>
          <cell r="G684"/>
          <cell r="H684" t="str">
            <v/>
          </cell>
          <cell r="I684"/>
          <cell r="J684"/>
          <cell r="K684"/>
          <cell r="L684"/>
          <cell r="M684"/>
        </row>
        <row r="685">
          <cell r="A685"/>
          <cell r="B685"/>
          <cell r="C685"/>
          <cell r="D685"/>
          <cell r="E685"/>
          <cell r="F685"/>
          <cell r="G685"/>
          <cell r="H685" t="str">
            <v/>
          </cell>
          <cell r="I685"/>
          <cell r="J685"/>
          <cell r="K685"/>
          <cell r="L685"/>
          <cell r="M685"/>
        </row>
        <row r="686">
          <cell r="A686"/>
          <cell r="B686"/>
          <cell r="C686"/>
          <cell r="D686"/>
          <cell r="E686"/>
          <cell r="F686"/>
          <cell r="G686"/>
          <cell r="H686" t="str">
            <v/>
          </cell>
          <cell r="I686"/>
          <cell r="J686"/>
          <cell r="K686"/>
          <cell r="L686"/>
          <cell r="M686"/>
        </row>
        <row r="687">
          <cell r="A687"/>
          <cell r="B687"/>
          <cell r="C687"/>
          <cell r="D687"/>
          <cell r="E687"/>
          <cell r="F687"/>
          <cell r="G687"/>
          <cell r="H687" t="str">
            <v/>
          </cell>
          <cell r="I687"/>
          <cell r="J687"/>
          <cell r="K687"/>
          <cell r="L687"/>
          <cell r="M687"/>
        </row>
        <row r="688">
          <cell r="A688"/>
          <cell r="B688"/>
          <cell r="C688"/>
          <cell r="D688"/>
          <cell r="E688"/>
          <cell r="F688"/>
          <cell r="G688"/>
          <cell r="H688" t="str">
            <v/>
          </cell>
          <cell r="I688"/>
          <cell r="J688"/>
          <cell r="K688"/>
          <cell r="L688"/>
          <cell r="M688"/>
        </row>
        <row r="689">
          <cell r="A689"/>
          <cell r="B689"/>
          <cell r="C689"/>
          <cell r="D689"/>
          <cell r="E689"/>
          <cell r="F689"/>
          <cell r="G689"/>
          <cell r="H689" t="str">
            <v/>
          </cell>
          <cell r="I689"/>
          <cell r="J689"/>
          <cell r="K689"/>
          <cell r="L689"/>
          <cell r="M689"/>
        </row>
        <row r="690">
          <cell r="A690"/>
          <cell r="B690"/>
          <cell r="C690"/>
          <cell r="D690"/>
          <cell r="E690"/>
          <cell r="F690"/>
          <cell r="G690"/>
          <cell r="H690" t="str">
            <v/>
          </cell>
          <cell r="I690"/>
          <cell r="J690"/>
          <cell r="K690"/>
          <cell r="L690"/>
          <cell r="M690"/>
        </row>
        <row r="691">
          <cell r="A691"/>
          <cell r="B691"/>
          <cell r="C691"/>
          <cell r="D691"/>
          <cell r="E691"/>
          <cell r="F691"/>
          <cell r="G691"/>
          <cell r="H691" t="str">
            <v/>
          </cell>
          <cell r="I691"/>
          <cell r="J691"/>
          <cell r="K691"/>
          <cell r="L691"/>
          <cell r="M691"/>
        </row>
        <row r="692">
          <cell r="A692"/>
          <cell r="B692"/>
          <cell r="C692"/>
          <cell r="D692"/>
          <cell r="E692"/>
          <cell r="F692"/>
          <cell r="G692"/>
          <cell r="H692" t="str">
            <v/>
          </cell>
          <cell r="I692"/>
          <cell r="J692"/>
          <cell r="K692"/>
          <cell r="L692"/>
          <cell r="M692"/>
        </row>
        <row r="693">
          <cell r="A693"/>
          <cell r="B693"/>
          <cell r="C693"/>
          <cell r="D693"/>
          <cell r="E693"/>
          <cell r="F693"/>
          <cell r="G693"/>
          <cell r="H693" t="str">
            <v/>
          </cell>
          <cell r="I693"/>
          <cell r="J693"/>
          <cell r="K693"/>
          <cell r="L693"/>
          <cell r="M693"/>
        </row>
        <row r="694">
          <cell r="A694"/>
          <cell r="B694"/>
          <cell r="C694"/>
          <cell r="D694"/>
          <cell r="E694"/>
          <cell r="F694"/>
          <cell r="G694"/>
          <cell r="H694" t="str">
            <v/>
          </cell>
          <cell r="I694"/>
          <cell r="J694"/>
          <cell r="K694"/>
          <cell r="L694"/>
          <cell r="M694"/>
        </row>
        <row r="695">
          <cell r="A695"/>
          <cell r="B695"/>
          <cell r="C695"/>
          <cell r="D695"/>
          <cell r="E695"/>
          <cell r="F695"/>
          <cell r="G695"/>
          <cell r="H695" t="str">
            <v/>
          </cell>
          <cell r="I695"/>
          <cell r="J695"/>
          <cell r="K695"/>
          <cell r="L695"/>
          <cell r="M695"/>
        </row>
        <row r="696">
          <cell r="A696"/>
          <cell r="B696"/>
          <cell r="C696"/>
          <cell r="D696"/>
          <cell r="E696"/>
          <cell r="F696"/>
          <cell r="G696"/>
          <cell r="H696" t="str">
            <v/>
          </cell>
          <cell r="I696"/>
          <cell r="J696"/>
          <cell r="K696"/>
          <cell r="L696"/>
          <cell r="M696"/>
        </row>
        <row r="697">
          <cell r="A697"/>
          <cell r="B697"/>
          <cell r="C697"/>
          <cell r="D697"/>
          <cell r="E697"/>
          <cell r="F697"/>
          <cell r="G697"/>
          <cell r="H697" t="str">
            <v/>
          </cell>
          <cell r="I697"/>
          <cell r="J697"/>
          <cell r="K697"/>
          <cell r="L697"/>
          <cell r="M697"/>
        </row>
        <row r="698">
          <cell r="A698"/>
          <cell r="B698"/>
          <cell r="C698"/>
          <cell r="D698"/>
          <cell r="E698"/>
          <cell r="F698"/>
          <cell r="G698"/>
          <cell r="H698" t="str">
            <v/>
          </cell>
          <cell r="I698"/>
          <cell r="J698"/>
          <cell r="K698"/>
          <cell r="L698"/>
          <cell r="M698"/>
        </row>
        <row r="699">
          <cell r="A699"/>
          <cell r="B699"/>
          <cell r="C699"/>
          <cell r="D699"/>
          <cell r="E699"/>
          <cell r="F699"/>
          <cell r="G699"/>
          <cell r="H699" t="str">
            <v/>
          </cell>
          <cell r="I699"/>
          <cell r="J699"/>
          <cell r="K699"/>
          <cell r="L699"/>
          <cell r="M699"/>
        </row>
        <row r="700">
          <cell r="A700"/>
          <cell r="B700"/>
          <cell r="C700"/>
          <cell r="D700"/>
          <cell r="E700"/>
          <cell r="F700"/>
          <cell r="G700"/>
          <cell r="H700" t="str">
            <v/>
          </cell>
          <cell r="I700"/>
          <cell r="J700"/>
          <cell r="K700"/>
          <cell r="L700"/>
          <cell r="M700"/>
        </row>
        <row r="701">
          <cell r="A701"/>
          <cell r="B701"/>
          <cell r="C701"/>
          <cell r="D701"/>
          <cell r="E701"/>
          <cell r="F701"/>
          <cell r="G701"/>
          <cell r="H701" t="str">
            <v/>
          </cell>
          <cell r="I701"/>
          <cell r="J701"/>
          <cell r="K701"/>
          <cell r="L701"/>
          <cell r="M701"/>
        </row>
        <row r="702">
          <cell r="A702"/>
          <cell r="B702"/>
          <cell r="C702"/>
          <cell r="D702"/>
          <cell r="E702"/>
          <cell r="F702"/>
          <cell r="G702"/>
          <cell r="H702" t="str">
            <v/>
          </cell>
          <cell r="I702"/>
          <cell r="J702"/>
          <cell r="K702"/>
          <cell r="L702"/>
          <cell r="M702"/>
        </row>
        <row r="703">
          <cell r="A703"/>
          <cell r="B703"/>
          <cell r="C703"/>
          <cell r="D703"/>
          <cell r="E703"/>
          <cell r="F703"/>
          <cell r="G703"/>
          <cell r="H703" t="str">
            <v/>
          </cell>
          <cell r="I703"/>
          <cell r="J703"/>
          <cell r="K703"/>
          <cell r="L703"/>
          <cell r="M703"/>
        </row>
        <row r="704">
          <cell r="A704"/>
          <cell r="B704"/>
          <cell r="C704"/>
          <cell r="D704"/>
          <cell r="E704"/>
          <cell r="F704"/>
          <cell r="G704"/>
          <cell r="H704" t="str">
            <v/>
          </cell>
          <cell r="I704"/>
          <cell r="J704"/>
          <cell r="K704"/>
          <cell r="L704"/>
          <cell r="M704"/>
        </row>
        <row r="705">
          <cell r="A705"/>
          <cell r="B705"/>
          <cell r="C705"/>
          <cell r="D705"/>
          <cell r="E705"/>
          <cell r="F705"/>
          <cell r="G705"/>
          <cell r="H705" t="str">
            <v/>
          </cell>
          <cell r="I705"/>
          <cell r="J705"/>
          <cell r="K705"/>
          <cell r="L705"/>
          <cell r="M705"/>
        </row>
        <row r="706">
          <cell r="A706"/>
          <cell r="B706"/>
          <cell r="C706"/>
          <cell r="D706"/>
          <cell r="E706"/>
          <cell r="F706"/>
          <cell r="G706"/>
          <cell r="H706" t="str">
            <v/>
          </cell>
          <cell r="I706"/>
          <cell r="J706"/>
          <cell r="K706"/>
          <cell r="L706"/>
          <cell r="M706"/>
        </row>
        <row r="707">
          <cell r="A707"/>
          <cell r="B707"/>
          <cell r="C707"/>
          <cell r="D707"/>
          <cell r="E707"/>
          <cell r="F707"/>
          <cell r="G707"/>
          <cell r="H707" t="str">
            <v/>
          </cell>
          <cell r="I707"/>
          <cell r="J707"/>
          <cell r="K707"/>
          <cell r="L707"/>
          <cell r="M707"/>
        </row>
        <row r="708">
          <cell r="A708"/>
          <cell r="B708"/>
          <cell r="C708"/>
          <cell r="D708"/>
          <cell r="E708"/>
          <cell r="F708"/>
          <cell r="G708"/>
          <cell r="H708" t="str">
            <v/>
          </cell>
          <cell r="I708"/>
          <cell r="J708"/>
          <cell r="K708"/>
          <cell r="L708"/>
          <cell r="M708"/>
        </row>
        <row r="709">
          <cell r="A709"/>
          <cell r="B709"/>
          <cell r="C709"/>
          <cell r="D709"/>
          <cell r="E709"/>
          <cell r="F709"/>
          <cell r="G709"/>
          <cell r="H709" t="str">
            <v/>
          </cell>
          <cell r="I709"/>
          <cell r="J709"/>
          <cell r="K709"/>
          <cell r="L709"/>
          <cell r="M709"/>
        </row>
        <row r="710">
          <cell r="A710"/>
          <cell r="B710"/>
          <cell r="C710"/>
          <cell r="D710"/>
          <cell r="E710"/>
          <cell r="F710"/>
          <cell r="G710"/>
          <cell r="H710" t="str">
            <v/>
          </cell>
          <cell r="I710"/>
          <cell r="J710"/>
          <cell r="K710"/>
          <cell r="L710"/>
          <cell r="M710"/>
        </row>
        <row r="711">
          <cell r="A711"/>
          <cell r="B711"/>
          <cell r="C711"/>
          <cell r="D711"/>
          <cell r="E711"/>
          <cell r="F711"/>
          <cell r="G711"/>
          <cell r="H711" t="str">
            <v/>
          </cell>
          <cell r="I711"/>
          <cell r="J711"/>
          <cell r="K711"/>
          <cell r="L711"/>
          <cell r="M711"/>
        </row>
        <row r="712">
          <cell r="A712"/>
          <cell r="B712"/>
          <cell r="C712"/>
          <cell r="D712"/>
          <cell r="E712"/>
          <cell r="F712"/>
          <cell r="G712"/>
          <cell r="H712" t="str">
            <v/>
          </cell>
          <cell r="I712"/>
          <cell r="J712"/>
          <cell r="K712"/>
          <cell r="L712"/>
          <cell r="M712"/>
        </row>
        <row r="713">
          <cell r="A713"/>
          <cell r="B713"/>
          <cell r="C713"/>
          <cell r="D713"/>
          <cell r="E713"/>
          <cell r="F713"/>
          <cell r="G713"/>
          <cell r="H713" t="str">
            <v/>
          </cell>
          <cell r="I713"/>
          <cell r="J713"/>
          <cell r="K713"/>
          <cell r="L713"/>
          <cell r="M713"/>
        </row>
        <row r="714">
          <cell r="A714"/>
          <cell r="B714"/>
          <cell r="C714"/>
          <cell r="D714"/>
          <cell r="E714"/>
          <cell r="F714"/>
          <cell r="G714"/>
          <cell r="H714" t="str">
            <v/>
          </cell>
          <cell r="I714"/>
          <cell r="J714"/>
          <cell r="K714"/>
          <cell r="L714"/>
          <cell r="M714"/>
        </row>
        <row r="715">
          <cell r="A715"/>
          <cell r="B715"/>
          <cell r="C715"/>
          <cell r="D715"/>
          <cell r="E715"/>
          <cell r="F715"/>
          <cell r="G715"/>
          <cell r="H715" t="str">
            <v/>
          </cell>
          <cell r="I715"/>
          <cell r="J715"/>
          <cell r="K715"/>
          <cell r="L715"/>
          <cell r="M715"/>
        </row>
        <row r="716">
          <cell r="A716"/>
          <cell r="B716"/>
          <cell r="C716"/>
          <cell r="D716"/>
          <cell r="E716"/>
          <cell r="F716"/>
          <cell r="G716"/>
          <cell r="H716" t="str">
            <v/>
          </cell>
          <cell r="I716"/>
          <cell r="J716"/>
          <cell r="K716"/>
          <cell r="L716"/>
          <cell r="M716"/>
        </row>
        <row r="717">
          <cell r="A717"/>
          <cell r="B717"/>
          <cell r="C717"/>
          <cell r="D717"/>
          <cell r="E717"/>
          <cell r="F717"/>
          <cell r="G717"/>
          <cell r="H717" t="str">
            <v/>
          </cell>
          <cell r="I717"/>
          <cell r="J717"/>
          <cell r="K717"/>
          <cell r="L717"/>
          <cell r="M717"/>
        </row>
        <row r="718">
          <cell r="A718"/>
          <cell r="B718"/>
          <cell r="C718"/>
          <cell r="D718"/>
          <cell r="E718"/>
          <cell r="F718"/>
          <cell r="G718"/>
          <cell r="H718" t="str">
            <v/>
          </cell>
          <cell r="I718"/>
          <cell r="J718"/>
          <cell r="K718"/>
          <cell r="L718"/>
          <cell r="M718"/>
        </row>
        <row r="719">
          <cell r="A719"/>
          <cell r="B719"/>
          <cell r="C719"/>
          <cell r="D719"/>
          <cell r="E719"/>
          <cell r="F719"/>
          <cell r="G719"/>
          <cell r="H719" t="str">
            <v/>
          </cell>
          <cell r="I719"/>
          <cell r="J719"/>
          <cell r="K719"/>
          <cell r="L719"/>
          <cell r="M719"/>
        </row>
        <row r="720">
          <cell r="A720"/>
          <cell r="B720"/>
          <cell r="C720"/>
          <cell r="D720"/>
          <cell r="E720"/>
          <cell r="F720"/>
          <cell r="G720"/>
          <cell r="H720" t="str">
            <v/>
          </cell>
          <cell r="I720"/>
          <cell r="J720"/>
          <cell r="K720"/>
          <cell r="L720"/>
          <cell r="M720"/>
        </row>
        <row r="721">
          <cell r="A721"/>
          <cell r="B721"/>
          <cell r="C721"/>
          <cell r="D721"/>
          <cell r="E721"/>
          <cell r="F721"/>
          <cell r="G721"/>
          <cell r="H721" t="str">
            <v/>
          </cell>
          <cell r="I721"/>
          <cell r="J721"/>
          <cell r="K721"/>
          <cell r="L721"/>
          <cell r="M721"/>
        </row>
        <row r="722">
          <cell r="A722"/>
          <cell r="B722"/>
          <cell r="C722"/>
          <cell r="D722"/>
          <cell r="E722"/>
          <cell r="F722"/>
          <cell r="G722"/>
          <cell r="H722" t="str">
            <v/>
          </cell>
          <cell r="I722"/>
          <cell r="J722"/>
          <cell r="K722"/>
          <cell r="L722"/>
          <cell r="M722"/>
        </row>
        <row r="723">
          <cell r="A723"/>
          <cell r="B723"/>
          <cell r="C723"/>
          <cell r="D723"/>
          <cell r="E723"/>
          <cell r="F723"/>
          <cell r="G723"/>
          <cell r="H723" t="str">
            <v/>
          </cell>
          <cell r="I723"/>
          <cell r="J723"/>
          <cell r="K723"/>
          <cell r="L723"/>
          <cell r="M723"/>
        </row>
        <row r="724">
          <cell r="A724"/>
          <cell r="B724"/>
          <cell r="C724"/>
          <cell r="D724"/>
          <cell r="E724"/>
          <cell r="F724"/>
          <cell r="G724"/>
          <cell r="H724" t="str">
            <v/>
          </cell>
          <cell r="I724"/>
          <cell r="J724"/>
          <cell r="K724"/>
          <cell r="L724"/>
          <cell r="M724"/>
        </row>
        <row r="725">
          <cell r="A725"/>
          <cell r="B725"/>
          <cell r="C725"/>
          <cell r="D725"/>
          <cell r="E725"/>
          <cell r="F725"/>
          <cell r="G725"/>
          <cell r="H725" t="str">
            <v/>
          </cell>
          <cell r="I725"/>
          <cell r="J725"/>
          <cell r="K725"/>
          <cell r="L725"/>
          <cell r="M725"/>
        </row>
        <row r="726">
          <cell r="A726"/>
          <cell r="B726"/>
          <cell r="C726"/>
          <cell r="D726"/>
          <cell r="E726"/>
          <cell r="F726"/>
          <cell r="G726"/>
          <cell r="H726" t="str">
            <v/>
          </cell>
          <cell r="I726"/>
          <cell r="J726"/>
          <cell r="K726"/>
          <cell r="L726"/>
          <cell r="M726"/>
        </row>
        <row r="727">
          <cell r="A727"/>
          <cell r="B727"/>
          <cell r="C727"/>
          <cell r="D727"/>
          <cell r="E727"/>
          <cell r="F727"/>
          <cell r="G727"/>
          <cell r="H727" t="str">
            <v/>
          </cell>
          <cell r="I727"/>
          <cell r="J727"/>
          <cell r="K727"/>
          <cell r="L727"/>
          <cell r="M727"/>
        </row>
        <row r="728">
          <cell r="A728"/>
          <cell r="B728"/>
          <cell r="C728"/>
          <cell r="D728"/>
          <cell r="E728"/>
          <cell r="F728"/>
          <cell r="G728"/>
          <cell r="H728" t="str">
            <v/>
          </cell>
          <cell r="I728"/>
          <cell r="J728"/>
          <cell r="K728"/>
          <cell r="L728"/>
          <cell r="M728"/>
        </row>
        <row r="729">
          <cell r="A729"/>
          <cell r="B729"/>
          <cell r="C729"/>
          <cell r="D729"/>
          <cell r="E729"/>
          <cell r="F729"/>
          <cell r="G729"/>
          <cell r="H729" t="str">
            <v/>
          </cell>
          <cell r="I729"/>
          <cell r="J729"/>
          <cell r="K729"/>
          <cell r="L729"/>
          <cell r="M729"/>
        </row>
        <row r="730">
          <cell r="A730"/>
          <cell r="B730"/>
          <cell r="C730"/>
          <cell r="D730"/>
          <cell r="E730"/>
          <cell r="F730"/>
          <cell r="G730"/>
          <cell r="H730" t="str">
            <v/>
          </cell>
          <cell r="I730"/>
          <cell r="J730"/>
          <cell r="K730"/>
          <cell r="L730"/>
          <cell r="M730"/>
        </row>
        <row r="731">
          <cell r="A731"/>
          <cell r="B731"/>
          <cell r="C731"/>
          <cell r="D731"/>
          <cell r="E731"/>
          <cell r="F731"/>
          <cell r="G731"/>
          <cell r="H731" t="str">
            <v/>
          </cell>
          <cell r="I731"/>
          <cell r="J731"/>
          <cell r="K731"/>
          <cell r="L731"/>
          <cell r="M731"/>
        </row>
        <row r="732">
          <cell r="A732"/>
          <cell r="B732"/>
          <cell r="C732"/>
          <cell r="D732"/>
          <cell r="E732"/>
          <cell r="F732"/>
          <cell r="G732"/>
          <cell r="H732" t="str">
            <v/>
          </cell>
          <cell r="I732"/>
          <cell r="J732"/>
          <cell r="K732"/>
          <cell r="L732"/>
          <cell r="M732"/>
        </row>
        <row r="733">
          <cell r="A733"/>
          <cell r="B733"/>
          <cell r="C733"/>
          <cell r="D733"/>
          <cell r="E733"/>
          <cell r="F733"/>
          <cell r="G733"/>
          <cell r="H733" t="str">
            <v/>
          </cell>
          <cell r="I733"/>
          <cell r="J733"/>
          <cell r="K733"/>
          <cell r="L733"/>
          <cell r="M733"/>
        </row>
        <row r="734">
          <cell r="A734"/>
          <cell r="B734"/>
          <cell r="C734"/>
          <cell r="D734"/>
          <cell r="E734"/>
          <cell r="F734"/>
          <cell r="G734"/>
          <cell r="H734" t="str">
            <v/>
          </cell>
          <cell r="I734"/>
          <cell r="J734"/>
          <cell r="K734"/>
          <cell r="L734"/>
          <cell r="M734"/>
        </row>
        <row r="735">
          <cell r="A735"/>
          <cell r="B735"/>
          <cell r="C735"/>
          <cell r="D735"/>
          <cell r="E735"/>
          <cell r="F735"/>
          <cell r="G735"/>
          <cell r="H735" t="str">
            <v/>
          </cell>
          <cell r="I735"/>
          <cell r="J735"/>
          <cell r="K735"/>
          <cell r="L735"/>
          <cell r="M735"/>
        </row>
        <row r="736">
          <cell r="A736"/>
          <cell r="B736"/>
          <cell r="C736"/>
          <cell r="D736"/>
          <cell r="E736"/>
          <cell r="F736"/>
          <cell r="G736"/>
          <cell r="H736" t="str">
            <v/>
          </cell>
          <cell r="I736"/>
          <cell r="J736"/>
          <cell r="K736"/>
          <cell r="L736"/>
          <cell r="M736"/>
        </row>
        <row r="737">
          <cell r="A737"/>
          <cell r="B737"/>
          <cell r="C737"/>
          <cell r="D737"/>
          <cell r="E737"/>
          <cell r="F737"/>
          <cell r="G737"/>
          <cell r="H737" t="str">
            <v/>
          </cell>
          <cell r="I737"/>
          <cell r="J737"/>
          <cell r="K737"/>
          <cell r="L737"/>
          <cell r="M737"/>
        </row>
        <row r="738">
          <cell r="A738"/>
          <cell r="B738"/>
          <cell r="C738"/>
          <cell r="D738"/>
          <cell r="E738"/>
          <cell r="F738"/>
          <cell r="G738"/>
          <cell r="H738" t="str">
            <v/>
          </cell>
          <cell r="I738"/>
          <cell r="J738"/>
          <cell r="K738"/>
          <cell r="L738"/>
          <cell r="M738"/>
        </row>
        <row r="739">
          <cell r="A739"/>
          <cell r="B739"/>
          <cell r="C739"/>
          <cell r="D739"/>
          <cell r="E739"/>
          <cell r="F739"/>
          <cell r="G739"/>
          <cell r="H739" t="str">
            <v/>
          </cell>
          <cell r="I739"/>
          <cell r="J739"/>
          <cell r="K739"/>
          <cell r="L739"/>
          <cell r="M739"/>
        </row>
        <row r="740">
          <cell r="A740"/>
          <cell r="B740"/>
          <cell r="C740"/>
          <cell r="D740"/>
          <cell r="E740"/>
          <cell r="F740"/>
          <cell r="G740"/>
          <cell r="H740" t="str">
            <v/>
          </cell>
          <cell r="I740"/>
          <cell r="J740"/>
          <cell r="K740"/>
          <cell r="L740"/>
          <cell r="M740"/>
        </row>
        <row r="741">
          <cell r="A741"/>
          <cell r="B741"/>
          <cell r="C741"/>
          <cell r="D741"/>
          <cell r="E741"/>
          <cell r="F741"/>
          <cell r="G741"/>
          <cell r="H741" t="str">
            <v/>
          </cell>
          <cell r="I741"/>
          <cell r="J741"/>
          <cell r="K741"/>
          <cell r="L741"/>
          <cell r="M741"/>
        </row>
        <row r="742">
          <cell r="A742"/>
          <cell r="B742"/>
          <cell r="C742"/>
          <cell r="D742"/>
          <cell r="E742"/>
          <cell r="F742"/>
          <cell r="G742"/>
          <cell r="H742" t="str">
            <v/>
          </cell>
          <cell r="I742"/>
          <cell r="J742"/>
          <cell r="K742"/>
          <cell r="L742"/>
          <cell r="M742"/>
        </row>
        <row r="743">
          <cell r="A743"/>
          <cell r="B743"/>
          <cell r="C743"/>
          <cell r="D743"/>
          <cell r="E743"/>
          <cell r="F743"/>
          <cell r="G743"/>
          <cell r="H743" t="str">
            <v/>
          </cell>
          <cell r="I743"/>
          <cell r="J743"/>
          <cell r="K743"/>
          <cell r="L743"/>
          <cell r="M743"/>
        </row>
        <row r="744">
          <cell r="A744"/>
          <cell r="B744"/>
          <cell r="C744"/>
          <cell r="D744"/>
          <cell r="E744"/>
          <cell r="F744"/>
          <cell r="G744"/>
          <cell r="H744" t="str">
            <v/>
          </cell>
          <cell r="I744"/>
          <cell r="J744"/>
          <cell r="K744"/>
          <cell r="L744"/>
          <cell r="M744"/>
        </row>
        <row r="745">
          <cell r="A745"/>
          <cell r="B745"/>
          <cell r="C745"/>
          <cell r="D745"/>
          <cell r="E745"/>
          <cell r="F745"/>
          <cell r="G745"/>
          <cell r="H745" t="str">
            <v/>
          </cell>
          <cell r="I745"/>
          <cell r="J745"/>
          <cell r="K745"/>
          <cell r="L745"/>
          <cell r="M745"/>
        </row>
        <row r="746">
          <cell r="A746"/>
          <cell r="B746"/>
          <cell r="C746"/>
          <cell r="D746"/>
          <cell r="E746"/>
          <cell r="F746"/>
          <cell r="G746"/>
          <cell r="H746" t="str">
            <v/>
          </cell>
          <cell r="I746"/>
          <cell r="J746"/>
          <cell r="K746"/>
          <cell r="L746"/>
          <cell r="M746"/>
        </row>
        <row r="747">
          <cell r="A747"/>
          <cell r="B747"/>
          <cell r="C747"/>
          <cell r="D747"/>
          <cell r="E747"/>
          <cell r="F747"/>
          <cell r="G747"/>
          <cell r="H747" t="str">
            <v/>
          </cell>
          <cell r="I747"/>
          <cell r="J747"/>
          <cell r="K747"/>
          <cell r="L747"/>
          <cell r="M747"/>
        </row>
        <row r="748">
          <cell r="A748"/>
          <cell r="B748"/>
          <cell r="C748"/>
          <cell r="D748"/>
          <cell r="E748"/>
          <cell r="F748"/>
          <cell r="G748"/>
          <cell r="H748" t="str">
            <v/>
          </cell>
          <cell r="I748"/>
          <cell r="J748"/>
          <cell r="K748"/>
          <cell r="L748"/>
          <cell r="M748"/>
        </row>
        <row r="749">
          <cell r="A749"/>
          <cell r="B749"/>
          <cell r="C749"/>
          <cell r="D749"/>
          <cell r="E749"/>
          <cell r="F749"/>
          <cell r="G749"/>
          <cell r="H749" t="str">
            <v/>
          </cell>
          <cell r="I749"/>
          <cell r="J749"/>
          <cell r="K749"/>
          <cell r="L749"/>
          <cell r="M749"/>
        </row>
        <row r="750">
          <cell r="A750"/>
          <cell r="B750"/>
          <cell r="C750"/>
          <cell r="D750"/>
          <cell r="E750"/>
          <cell r="F750"/>
          <cell r="G750"/>
          <cell r="H750" t="str">
            <v/>
          </cell>
          <cell r="I750"/>
          <cell r="J750"/>
          <cell r="K750"/>
          <cell r="L750"/>
          <cell r="M750"/>
        </row>
        <row r="751">
          <cell r="A751"/>
          <cell r="B751"/>
          <cell r="C751"/>
          <cell r="D751"/>
          <cell r="E751"/>
          <cell r="F751"/>
          <cell r="G751"/>
          <cell r="H751" t="str">
            <v/>
          </cell>
          <cell r="I751"/>
          <cell r="J751"/>
          <cell r="K751"/>
          <cell r="L751"/>
          <cell r="M751"/>
        </row>
        <row r="752">
          <cell r="A752"/>
          <cell r="B752"/>
          <cell r="C752"/>
          <cell r="D752"/>
          <cell r="E752"/>
          <cell r="F752"/>
          <cell r="G752"/>
          <cell r="H752" t="str">
            <v/>
          </cell>
          <cell r="I752"/>
          <cell r="J752"/>
          <cell r="K752"/>
          <cell r="L752"/>
          <cell r="M752"/>
        </row>
        <row r="753">
          <cell r="A753"/>
          <cell r="B753"/>
          <cell r="C753"/>
          <cell r="D753"/>
          <cell r="E753"/>
          <cell r="F753"/>
          <cell r="G753"/>
          <cell r="H753" t="str">
            <v/>
          </cell>
          <cell r="I753"/>
          <cell r="J753"/>
          <cell r="K753"/>
          <cell r="L753"/>
          <cell r="M753"/>
        </row>
        <row r="754">
          <cell r="A754"/>
          <cell r="B754"/>
          <cell r="C754"/>
          <cell r="D754"/>
          <cell r="E754"/>
          <cell r="F754"/>
          <cell r="G754"/>
          <cell r="H754" t="str">
            <v/>
          </cell>
          <cell r="I754"/>
          <cell r="J754"/>
          <cell r="K754"/>
          <cell r="L754"/>
          <cell r="M754"/>
        </row>
        <row r="755">
          <cell r="A755"/>
          <cell r="B755"/>
          <cell r="C755"/>
          <cell r="D755"/>
          <cell r="E755"/>
          <cell r="F755"/>
          <cell r="G755"/>
          <cell r="H755" t="str">
            <v/>
          </cell>
          <cell r="I755"/>
          <cell r="J755"/>
          <cell r="K755"/>
          <cell r="L755"/>
          <cell r="M755"/>
        </row>
        <row r="756">
          <cell r="A756"/>
          <cell r="B756"/>
          <cell r="C756"/>
          <cell r="D756"/>
          <cell r="E756"/>
          <cell r="F756"/>
          <cell r="G756"/>
          <cell r="H756" t="str">
            <v/>
          </cell>
          <cell r="I756"/>
          <cell r="J756"/>
          <cell r="K756"/>
          <cell r="L756"/>
          <cell r="M756"/>
        </row>
        <row r="757">
          <cell r="A757"/>
          <cell r="B757"/>
          <cell r="C757"/>
          <cell r="D757"/>
          <cell r="E757"/>
          <cell r="F757"/>
          <cell r="G757"/>
          <cell r="H757" t="str">
            <v/>
          </cell>
          <cell r="I757"/>
          <cell r="J757"/>
          <cell r="K757"/>
          <cell r="L757"/>
          <cell r="M757"/>
        </row>
        <row r="758">
          <cell r="A758"/>
          <cell r="B758"/>
          <cell r="C758"/>
          <cell r="D758"/>
          <cell r="E758"/>
          <cell r="F758"/>
          <cell r="G758"/>
          <cell r="H758" t="str">
            <v/>
          </cell>
          <cell r="I758"/>
          <cell r="J758"/>
          <cell r="K758"/>
          <cell r="L758"/>
          <cell r="M758"/>
        </row>
        <row r="759">
          <cell r="A759"/>
          <cell r="B759"/>
          <cell r="C759"/>
          <cell r="D759"/>
          <cell r="E759"/>
          <cell r="F759"/>
          <cell r="G759"/>
          <cell r="H759" t="str">
            <v/>
          </cell>
          <cell r="I759"/>
          <cell r="J759"/>
          <cell r="K759"/>
          <cell r="L759"/>
          <cell r="M759"/>
        </row>
        <row r="760">
          <cell r="A760"/>
          <cell r="B760"/>
          <cell r="C760"/>
          <cell r="D760"/>
          <cell r="E760"/>
          <cell r="F760"/>
          <cell r="G760"/>
          <cell r="H760" t="str">
            <v/>
          </cell>
          <cell r="I760"/>
          <cell r="J760"/>
          <cell r="K760"/>
          <cell r="L760"/>
          <cell r="M760"/>
        </row>
        <row r="761">
          <cell r="A761"/>
          <cell r="B761"/>
          <cell r="C761"/>
          <cell r="D761"/>
          <cell r="E761"/>
          <cell r="F761"/>
          <cell r="G761"/>
          <cell r="H761" t="str">
            <v/>
          </cell>
          <cell r="I761"/>
          <cell r="J761"/>
          <cell r="K761"/>
          <cell r="L761"/>
          <cell r="M761"/>
        </row>
        <row r="762">
          <cell r="A762"/>
          <cell r="B762"/>
          <cell r="C762"/>
          <cell r="D762"/>
          <cell r="E762"/>
          <cell r="F762"/>
          <cell r="G762"/>
          <cell r="H762" t="str">
            <v/>
          </cell>
          <cell r="I762"/>
          <cell r="J762"/>
          <cell r="K762"/>
          <cell r="L762"/>
          <cell r="M762"/>
        </row>
        <row r="763">
          <cell r="A763"/>
          <cell r="B763"/>
          <cell r="C763"/>
          <cell r="D763"/>
          <cell r="E763"/>
          <cell r="F763"/>
          <cell r="G763"/>
          <cell r="H763" t="str">
            <v/>
          </cell>
          <cell r="I763"/>
          <cell r="J763"/>
          <cell r="K763"/>
          <cell r="L763"/>
          <cell r="M763"/>
        </row>
        <row r="764">
          <cell r="A764"/>
          <cell r="B764"/>
          <cell r="C764"/>
          <cell r="D764"/>
          <cell r="E764"/>
          <cell r="F764"/>
          <cell r="G764"/>
          <cell r="H764" t="str">
            <v/>
          </cell>
          <cell r="I764"/>
          <cell r="J764"/>
          <cell r="K764"/>
          <cell r="L764"/>
          <cell r="M764"/>
        </row>
        <row r="765">
          <cell r="A765"/>
          <cell r="B765"/>
          <cell r="C765"/>
          <cell r="D765"/>
          <cell r="E765"/>
          <cell r="F765"/>
          <cell r="G765"/>
          <cell r="H765" t="str">
            <v/>
          </cell>
          <cell r="I765"/>
          <cell r="J765"/>
          <cell r="K765"/>
          <cell r="L765"/>
          <cell r="M765"/>
        </row>
        <row r="766">
          <cell r="A766"/>
          <cell r="B766"/>
          <cell r="C766"/>
          <cell r="D766"/>
          <cell r="E766"/>
          <cell r="F766"/>
          <cell r="G766"/>
          <cell r="H766" t="str">
            <v/>
          </cell>
          <cell r="I766"/>
          <cell r="J766"/>
          <cell r="K766"/>
          <cell r="L766"/>
          <cell r="M766"/>
        </row>
        <row r="767">
          <cell r="A767"/>
          <cell r="B767"/>
          <cell r="C767"/>
          <cell r="D767"/>
          <cell r="E767"/>
          <cell r="F767"/>
          <cell r="G767"/>
          <cell r="H767" t="str">
            <v/>
          </cell>
          <cell r="I767"/>
          <cell r="J767"/>
          <cell r="K767"/>
          <cell r="L767"/>
          <cell r="M767"/>
        </row>
        <row r="768">
          <cell r="A768"/>
          <cell r="B768"/>
          <cell r="C768"/>
          <cell r="D768"/>
          <cell r="E768"/>
          <cell r="F768"/>
          <cell r="G768"/>
          <cell r="H768" t="str">
            <v/>
          </cell>
          <cell r="I768"/>
          <cell r="J768"/>
          <cell r="K768"/>
          <cell r="L768"/>
          <cell r="M768"/>
        </row>
        <row r="769">
          <cell r="A769"/>
          <cell r="B769"/>
          <cell r="C769"/>
          <cell r="D769"/>
          <cell r="E769"/>
          <cell r="F769"/>
          <cell r="G769"/>
          <cell r="H769" t="str">
            <v/>
          </cell>
          <cell r="I769"/>
          <cell r="J769"/>
          <cell r="K769"/>
          <cell r="L769"/>
          <cell r="M769"/>
        </row>
        <row r="770">
          <cell r="A770"/>
          <cell r="B770"/>
          <cell r="C770"/>
          <cell r="D770"/>
          <cell r="E770"/>
          <cell r="F770"/>
          <cell r="G770"/>
          <cell r="H770" t="str">
            <v/>
          </cell>
          <cell r="I770"/>
          <cell r="J770"/>
          <cell r="K770"/>
          <cell r="L770"/>
          <cell r="M770"/>
        </row>
        <row r="771">
          <cell r="A771"/>
          <cell r="B771"/>
          <cell r="C771"/>
          <cell r="D771"/>
          <cell r="E771"/>
          <cell r="F771"/>
          <cell r="G771"/>
          <cell r="H771" t="str">
            <v/>
          </cell>
          <cell r="I771"/>
          <cell r="J771"/>
          <cell r="K771"/>
          <cell r="L771"/>
          <cell r="M771"/>
        </row>
        <row r="772">
          <cell r="A772"/>
          <cell r="B772"/>
          <cell r="C772"/>
          <cell r="D772"/>
          <cell r="E772"/>
          <cell r="F772"/>
          <cell r="G772"/>
          <cell r="H772" t="str">
            <v/>
          </cell>
          <cell r="I772"/>
          <cell r="J772"/>
          <cell r="K772"/>
          <cell r="L772"/>
          <cell r="M772"/>
        </row>
        <row r="773">
          <cell r="A773"/>
          <cell r="B773"/>
          <cell r="C773"/>
          <cell r="D773"/>
          <cell r="E773"/>
          <cell r="F773"/>
          <cell r="G773"/>
          <cell r="H773" t="str">
            <v/>
          </cell>
          <cell r="I773"/>
          <cell r="J773"/>
          <cell r="K773"/>
          <cell r="L773"/>
          <cell r="M773"/>
        </row>
        <row r="774">
          <cell r="A774"/>
          <cell r="B774"/>
          <cell r="C774"/>
          <cell r="D774"/>
          <cell r="E774"/>
          <cell r="F774"/>
          <cell r="G774"/>
          <cell r="H774" t="str">
            <v/>
          </cell>
          <cell r="I774"/>
          <cell r="J774"/>
          <cell r="K774"/>
          <cell r="L774"/>
          <cell r="M774"/>
        </row>
        <row r="775">
          <cell r="A775"/>
          <cell r="B775"/>
          <cell r="C775"/>
          <cell r="D775"/>
          <cell r="E775"/>
          <cell r="F775"/>
          <cell r="G775"/>
          <cell r="H775" t="str">
            <v/>
          </cell>
          <cell r="I775"/>
          <cell r="J775"/>
          <cell r="K775"/>
          <cell r="L775"/>
          <cell r="M775"/>
        </row>
        <row r="776">
          <cell r="A776"/>
          <cell r="B776"/>
          <cell r="C776"/>
          <cell r="D776"/>
          <cell r="E776"/>
          <cell r="F776"/>
          <cell r="G776"/>
          <cell r="H776" t="str">
            <v/>
          </cell>
          <cell r="I776"/>
          <cell r="J776"/>
          <cell r="K776"/>
          <cell r="L776"/>
          <cell r="M776"/>
        </row>
        <row r="777">
          <cell r="A777"/>
          <cell r="B777"/>
          <cell r="C777"/>
          <cell r="D777"/>
          <cell r="E777"/>
          <cell r="F777"/>
          <cell r="G777"/>
          <cell r="H777" t="str">
            <v/>
          </cell>
          <cell r="I777"/>
          <cell r="J777"/>
          <cell r="K777"/>
          <cell r="L777"/>
          <cell r="M777"/>
        </row>
        <row r="778">
          <cell r="A778"/>
          <cell r="B778"/>
          <cell r="C778"/>
          <cell r="D778"/>
          <cell r="E778"/>
          <cell r="F778"/>
          <cell r="G778"/>
          <cell r="H778" t="str">
            <v/>
          </cell>
          <cell r="I778"/>
          <cell r="J778"/>
          <cell r="K778"/>
          <cell r="L778"/>
          <cell r="M778"/>
        </row>
        <row r="779">
          <cell r="A779"/>
          <cell r="B779"/>
          <cell r="C779"/>
          <cell r="D779"/>
          <cell r="E779"/>
          <cell r="F779"/>
          <cell r="G779"/>
          <cell r="H779" t="str">
            <v/>
          </cell>
          <cell r="I779"/>
          <cell r="J779"/>
          <cell r="K779"/>
          <cell r="L779"/>
          <cell r="M779"/>
        </row>
        <row r="780">
          <cell r="A780"/>
          <cell r="B780"/>
          <cell r="C780"/>
          <cell r="D780"/>
          <cell r="E780"/>
          <cell r="F780"/>
          <cell r="G780"/>
          <cell r="H780" t="str">
            <v/>
          </cell>
          <cell r="I780"/>
          <cell r="J780"/>
          <cell r="K780"/>
          <cell r="L780"/>
          <cell r="M780"/>
        </row>
        <row r="781">
          <cell r="A781"/>
          <cell r="B781"/>
          <cell r="C781"/>
          <cell r="D781"/>
          <cell r="E781"/>
          <cell r="F781"/>
          <cell r="G781"/>
          <cell r="H781" t="str">
            <v/>
          </cell>
          <cell r="I781"/>
          <cell r="J781"/>
          <cell r="K781"/>
          <cell r="L781"/>
          <cell r="M781"/>
        </row>
        <row r="782">
          <cell r="A782"/>
          <cell r="B782"/>
          <cell r="C782"/>
          <cell r="D782"/>
          <cell r="E782"/>
          <cell r="F782"/>
          <cell r="G782"/>
          <cell r="H782" t="str">
            <v/>
          </cell>
          <cell r="I782"/>
          <cell r="J782"/>
          <cell r="K782"/>
          <cell r="L782"/>
          <cell r="M782"/>
        </row>
        <row r="783">
          <cell r="A783"/>
          <cell r="B783"/>
          <cell r="C783"/>
          <cell r="D783"/>
          <cell r="E783"/>
          <cell r="F783"/>
          <cell r="G783"/>
          <cell r="H783" t="str">
            <v/>
          </cell>
          <cell r="I783"/>
          <cell r="J783"/>
          <cell r="K783"/>
          <cell r="L783"/>
          <cell r="M783"/>
        </row>
        <row r="784">
          <cell r="A784"/>
          <cell r="B784"/>
          <cell r="C784"/>
          <cell r="D784"/>
          <cell r="E784"/>
          <cell r="F784"/>
          <cell r="G784"/>
          <cell r="H784" t="str">
            <v/>
          </cell>
          <cell r="I784"/>
          <cell r="J784"/>
          <cell r="K784"/>
          <cell r="L784"/>
          <cell r="M784"/>
        </row>
        <row r="785">
          <cell r="A785"/>
          <cell r="B785"/>
          <cell r="C785"/>
          <cell r="D785"/>
          <cell r="E785"/>
          <cell r="F785"/>
          <cell r="G785"/>
          <cell r="H785" t="str">
            <v/>
          </cell>
          <cell r="I785"/>
          <cell r="J785"/>
          <cell r="K785"/>
          <cell r="L785"/>
          <cell r="M785"/>
        </row>
        <row r="786">
          <cell r="A786"/>
          <cell r="B786"/>
          <cell r="C786"/>
          <cell r="D786"/>
          <cell r="E786"/>
          <cell r="F786"/>
          <cell r="G786"/>
          <cell r="H786" t="str">
            <v/>
          </cell>
          <cell r="I786"/>
          <cell r="J786"/>
          <cell r="K786"/>
          <cell r="L786"/>
          <cell r="M786"/>
        </row>
        <row r="787">
          <cell r="A787"/>
          <cell r="B787"/>
          <cell r="C787"/>
          <cell r="D787"/>
          <cell r="E787"/>
          <cell r="F787"/>
          <cell r="G787"/>
          <cell r="H787" t="str">
            <v/>
          </cell>
          <cell r="I787"/>
          <cell r="J787"/>
          <cell r="K787"/>
          <cell r="L787"/>
          <cell r="M787"/>
        </row>
        <row r="788">
          <cell r="A788"/>
          <cell r="B788"/>
          <cell r="C788"/>
          <cell r="D788"/>
          <cell r="E788"/>
          <cell r="F788"/>
          <cell r="G788"/>
          <cell r="H788" t="str">
            <v/>
          </cell>
          <cell r="I788"/>
          <cell r="J788"/>
          <cell r="K788"/>
          <cell r="L788"/>
          <cell r="M788"/>
        </row>
        <row r="789">
          <cell r="A789"/>
          <cell r="B789"/>
          <cell r="C789"/>
          <cell r="D789"/>
          <cell r="E789"/>
          <cell r="F789"/>
          <cell r="G789"/>
          <cell r="H789" t="str">
            <v/>
          </cell>
          <cell r="I789"/>
          <cell r="J789"/>
          <cell r="K789"/>
          <cell r="L789"/>
          <cell r="M789"/>
        </row>
        <row r="790">
          <cell r="A790"/>
          <cell r="B790"/>
          <cell r="C790"/>
          <cell r="D790"/>
          <cell r="E790"/>
          <cell r="F790"/>
          <cell r="G790"/>
          <cell r="H790" t="str">
            <v/>
          </cell>
          <cell r="I790"/>
          <cell r="J790"/>
          <cell r="K790"/>
          <cell r="L790"/>
          <cell r="M790"/>
        </row>
        <row r="791">
          <cell r="A791"/>
          <cell r="B791"/>
          <cell r="C791"/>
          <cell r="D791"/>
          <cell r="E791"/>
          <cell r="F791"/>
          <cell r="G791"/>
          <cell r="H791" t="str">
            <v/>
          </cell>
          <cell r="I791"/>
          <cell r="J791"/>
          <cell r="K791"/>
          <cell r="L791"/>
          <cell r="M791"/>
        </row>
        <row r="792">
          <cell r="A792"/>
          <cell r="B792"/>
          <cell r="C792"/>
          <cell r="D792"/>
          <cell r="E792"/>
          <cell r="F792"/>
          <cell r="G792"/>
          <cell r="H792" t="str">
            <v/>
          </cell>
          <cell r="I792"/>
          <cell r="J792"/>
          <cell r="K792"/>
          <cell r="L792"/>
          <cell r="M792"/>
        </row>
        <row r="793">
          <cell r="A793"/>
          <cell r="B793"/>
          <cell r="C793"/>
          <cell r="D793"/>
          <cell r="E793"/>
          <cell r="F793"/>
          <cell r="G793"/>
          <cell r="H793" t="str">
            <v/>
          </cell>
          <cell r="I793"/>
          <cell r="J793"/>
          <cell r="K793"/>
          <cell r="L793"/>
          <cell r="M793"/>
        </row>
        <row r="794">
          <cell r="A794"/>
          <cell r="B794"/>
          <cell r="C794"/>
          <cell r="D794"/>
          <cell r="E794"/>
          <cell r="F794"/>
          <cell r="G794"/>
          <cell r="H794" t="str">
            <v/>
          </cell>
          <cell r="I794"/>
          <cell r="J794"/>
          <cell r="K794"/>
          <cell r="L794"/>
          <cell r="M794"/>
        </row>
        <row r="795">
          <cell r="A795"/>
          <cell r="B795"/>
          <cell r="C795"/>
          <cell r="D795"/>
          <cell r="E795"/>
          <cell r="F795"/>
          <cell r="G795"/>
          <cell r="H795" t="str">
            <v/>
          </cell>
          <cell r="I795"/>
          <cell r="J795"/>
          <cell r="K795"/>
          <cell r="L795"/>
          <cell r="M795"/>
        </row>
        <row r="796">
          <cell r="A796"/>
          <cell r="B796"/>
          <cell r="C796"/>
          <cell r="D796"/>
          <cell r="E796"/>
          <cell r="F796"/>
          <cell r="G796"/>
          <cell r="H796" t="str">
            <v/>
          </cell>
          <cell r="I796"/>
          <cell r="J796"/>
          <cell r="K796"/>
          <cell r="L796"/>
          <cell r="M796"/>
        </row>
        <row r="797">
          <cell r="A797"/>
          <cell r="B797"/>
          <cell r="C797"/>
          <cell r="D797"/>
          <cell r="E797"/>
          <cell r="F797"/>
          <cell r="G797"/>
          <cell r="H797" t="str">
            <v/>
          </cell>
          <cell r="I797"/>
          <cell r="J797"/>
          <cell r="K797"/>
          <cell r="L797"/>
          <cell r="M797"/>
        </row>
        <row r="798">
          <cell r="A798"/>
          <cell r="B798"/>
          <cell r="C798"/>
          <cell r="D798"/>
          <cell r="E798"/>
          <cell r="F798"/>
          <cell r="G798"/>
          <cell r="H798" t="str">
            <v/>
          </cell>
          <cell r="I798"/>
          <cell r="J798"/>
          <cell r="K798"/>
          <cell r="L798"/>
          <cell r="M798"/>
        </row>
        <row r="799">
          <cell r="A799"/>
          <cell r="B799"/>
          <cell r="C799"/>
          <cell r="D799"/>
          <cell r="E799"/>
          <cell r="F799"/>
          <cell r="G799"/>
          <cell r="H799" t="str">
            <v/>
          </cell>
          <cell r="I799"/>
          <cell r="J799"/>
          <cell r="K799"/>
          <cell r="L799"/>
          <cell r="M799"/>
        </row>
        <row r="800">
          <cell r="A800"/>
          <cell r="B800"/>
          <cell r="C800"/>
          <cell r="D800"/>
          <cell r="E800"/>
          <cell r="F800"/>
          <cell r="G800"/>
          <cell r="H800" t="str">
            <v/>
          </cell>
          <cell r="I800"/>
          <cell r="J800"/>
          <cell r="K800"/>
          <cell r="L800"/>
          <cell r="M800"/>
        </row>
        <row r="801">
          <cell r="A801"/>
          <cell r="B801"/>
          <cell r="C801"/>
          <cell r="D801"/>
          <cell r="E801"/>
          <cell r="F801"/>
          <cell r="G801"/>
          <cell r="H801" t="str">
            <v/>
          </cell>
          <cell r="I801"/>
          <cell r="J801"/>
          <cell r="K801"/>
          <cell r="L801"/>
          <cell r="M801"/>
        </row>
        <row r="802">
          <cell r="A802"/>
          <cell r="B802"/>
          <cell r="C802"/>
          <cell r="D802"/>
          <cell r="E802"/>
          <cell r="F802"/>
          <cell r="G802"/>
          <cell r="H802" t="str">
            <v/>
          </cell>
          <cell r="I802"/>
          <cell r="J802"/>
          <cell r="K802"/>
          <cell r="L802"/>
          <cell r="M802"/>
        </row>
        <row r="803">
          <cell r="A803"/>
          <cell r="B803"/>
          <cell r="C803"/>
          <cell r="D803"/>
          <cell r="E803"/>
          <cell r="F803"/>
          <cell r="G803"/>
          <cell r="H803" t="str">
            <v/>
          </cell>
          <cell r="I803"/>
          <cell r="J803"/>
          <cell r="K803"/>
          <cell r="L803"/>
          <cell r="M803"/>
        </row>
        <row r="804">
          <cell r="A804"/>
          <cell r="B804"/>
          <cell r="C804"/>
          <cell r="D804"/>
          <cell r="E804"/>
          <cell r="F804"/>
          <cell r="G804"/>
          <cell r="H804" t="str">
            <v/>
          </cell>
          <cell r="I804"/>
          <cell r="J804"/>
          <cell r="K804"/>
          <cell r="L804"/>
          <cell r="M804"/>
        </row>
        <row r="805">
          <cell r="A805"/>
          <cell r="B805"/>
          <cell r="C805"/>
          <cell r="D805"/>
          <cell r="E805"/>
          <cell r="F805"/>
          <cell r="G805"/>
          <cell r="H805" t="str">
            <v/>
          </cell>
          <cell r="I805"/>
          <cell r="J805"/>
          <cell r="K805"/>
          <cell r="L805"/>
          <cell r="M805"/>
        </row>
        <row r="806">
          <cell r="A806"/>
          <cell r="B806"/>
          <cell r="C806"/>
          <cell r="D806"/>
          <cell r="E806"/>
          <cell r="F806"/>
          <cell r="G806"/>
          <cell r="H806" t="str">
            <v/>
          </cell>
          <cell r="I806"/>
          <cell r="J806"/>
          <cell r="K806"/>
          <cell r="L806"/>
          <cell r="M806"/>
        </row>
        <row r="807">
          <cell r="A807"/>
          <cell r="B807"/>
          <cell r="C807"/>
          <cell r="D807"/>
          <cell r="E807"/>
          <cell r="F807"/>
          <cell r="G807"/>
          <cell r="H807" t="str">
            <v/>
          </cell>
          <cell r="I807"/>
          <cell r="J807"/>
          <cell r="K807"/>
          <cell r="L807"/>
          <cell r="M807"/>
        </row>
        <row r="808">
          <cell r="A808"/>
          <cell r="B808"/>
          <cell r="C808"/>
          <cell r="D808"/>
          <cell r="E808"/>
          <cell r="F808"/>
          <cell r="G808"/>
          <cell r="H808" t="str">
            <v/>
          </cell>
          <cell r="I808"/>
          <cell r="J808"/>
          <cell r="K808"/>
          <cell r="L808"/>
          <cell r="M808"/>
        </row>
        <row r="809">
          <cell r="A809"/>
          <cell r="B809"/>
          <cell r="C809"/>
          <cell r="D809"/>
          <cell r="E809"/>
          <cell r="F809"/>
          <cell r="G809"/>
          <cell r="H809" t="str">
            <v/>
          </cell>
          <cell r="I809"/>
          <cell r="J809"/>
          <cell r="K809"/>
          <cell r="L809"/>
          <cell r="M809"/>
        </row>
        <row r="810">
          <cell r="A810"/>
          <cell r="B810"/>
          <cell r="C810"/>
          <cell r="D810"/>
          <cell r="E810"/>
          <cell r="F810"/>
          <cell r="G810"/>
          <cell r="H810" t="str">
            <v/>
          </cell>
          <cell r="I810"/>
          <cell r="J810"/>
          <cell r="K810"/>
          <cell r="L810"/>
          <cell r="M810"/>
        </row>
        <row r="811">
          <cell r="A811"/>
          <cell r="B811"/>
          <cell r="C811"/>
          <cell r="D811"/>
          <cell r="E811"/>
          <cell r="F811"/>
          <cell r="G811"/>
          <cell r="H811" t="str">
            <v/>
          </cell>
          <cell r="I811"/>
          <cell r="J811"/>
          <cell r="K811"/>
          <cell r="L811"/>
          <cell r="M811"/>
        </row>
        <row r="812">
          <cell r="A812"/>
          <cell r="B812"/>
          <cell r="C812"/>
          <cell r="D812"/>
          <cell r="E812"/>
          <cell r="F812"/>
          <cell r="G812"/>
          <cell r="H812" t="str">
            <v/>
          </cell>
          <cell r="I812"/>
          <cell r="J812"/>
          <cell r="K812"/>
          <cell r="L812"/>
          <cell r="M812"/>
        </row>
        <row r="813">
          <cell r="A813"/>
          <cell r="B813"/>
          <cell r="C813"/>
          <cell r="D813"/>
          <cell r="E813"/>
          <cell r="F813"/>
          <cell r="G813"/>
          <cell r="H813" t="str">
            <v/>
          </cell>
          <cell r="I813"/>
          <cell r="J813"/>
          <cell r="K813"/>
          <cell r="L813"/>
          <cell r="M813"/>
        </row>
        <row r="814">
          <cell r="A814"/>
          <cell r="B814"/>
          <cell r="C814"/>
          <cell r="D814"/>
          <cell r="E814"/>
          <cell r="F814"/>
          <cell r="G814"/>
          <cell r="H814" t="str">
            <v/>
          </cell>
          <cell r="I814"/>
          <cell r="J814"/>
          <cell r="K814"/>
          <cell r="L814"/>
          <cell r="M814"/>
        </row>
        <row r="815">
          <cell r="A815"/>
          <cell r="B815"/>
          <cell r="C815"/>
          <cell r="D815"/>
          <cell r="E815"/>
          <cell r="F815"/>
          <cell r="G815"/>
          <cell r="H815" t="str">
            <v/>
          </cell>
          <cell r="I815"/>
          <cell r="J815"/>
          <cell r="K815"/>
          <cell r="L815"/>
          <cell r="M815"/>
        </row>
        <row r="816">
          <cell r="A816"/>
          <cell r="B816"/>
          <cell r="C816"/>
          <cell r="D816"/>
          <cell r="E816"/>
          <cell r="F816"/>
          <cell r="G816"/>
          <cell r="H816" t="str">
            <v/>
          </cell>
          <cell r="I816"/>
          <cell r="J816"/>
          <cell r="K816"/>
          <cell r="L816"/>
          <cell r="M816"/>
        </row>
        <row r="817">
          <cell r="A817"/>
          <cell r="B817"/>
          <cell r="C817"/>
          <cell r="D817"/>
          <cell r="E817"/>
          <cell r="F817"/>
          <cell r="G817"/>
          <cell r="H817" t="str">
            <v/>
          </cell>
          <cell r="I817"/>
          <cell r="J817"/>
          <cell r="K817"/>
          <cell r="L817"/>
          <cell r="M817"/>
        </row>
        <row r="818">
          <cell r="A818"/>
          <cell r="B818"/>
          <cell r="C818"/>
          <cell r="D818"/>
          <cell r="E818"/>
          <cell r="F818"/>
          <cell r="G818"/>
          <cell r="H818" t="str">
            <v/>
          </cell>
          <cell r="I818"/>
          <cell r="J818"/>
          <cell r="K818"/>
          <cell r="L818"/>
          <cell r="M818"/>
        </row>
        <row r="819">
          <cell r="A819"/>
          <cell r="B819"/>
          <cell r="C819"/>
          <cell r="D819"/>
          <cell r="E819"/>
          <cell r="F819"/>
          <cell r="G819"/>
          <cell r="H819" t="str">
            <v/>
          </cell>
          <cell r="I819"/>
          <cell r="J819"/>
          <cell r="K819"/>
          <cell r="L819"/>
          <cell r="M819"/>
        </row>
        <row r="820">
          <cell r="A820"/>
          <cell r="B820"/>
          <cell r="C820"/>
          <cell r="D820"/>
          <cell r="E820"/>
          <cell r="F820"/>
          <cell r="G820"/>
          <cell r="H820" t="str">
            <v/>
          </cell>
          <cell r="I820"/>
          <cell r="J820"/>
          <cell r="K820"/>
          <cell r="L820"/>
          <cell r="M820"/>
        </row>
        <row r="821">
          <cell r="A821"/>
          <cell r="B821"/>
          <cell r="C821"/>
          <cell r="D821"/>
          <cell r="E821"/>
          <cell r="F821"/>
          <cell r="G821"/>
          <cell r="H821" t="str">
            <v/>
          </cell>
          <cell r="I821"/>
          <cell r="J821"/>
          <cell r="K821"/>
          <cell r="L821"/>
          <cell r="M821"/>
        </row>
        <row r="822">
          <cell r="A822"/>
          <cell r="B822"/>
          <cell r="C822"/>
          <cell r="D822"/>
          <cell r="E822"/>
          <cell r="F822"/>
          <cell r="G822"/>
          <cell r="H822" t="str">
            <v/>
          </cell>
          <cell r="I822"/>
          <cell r="J822"/>
          <cell r="K822"/>
          <cell r="L822"/>
          <cell r="M822"/>
        </row>
        <row r="823">
          <cell r="A823"/>
          <cell r="B823"/>
          <cell r="C823"/>
          <cell r="D823"/>
          <cell r="E823"/>
          <cell r="F823"/>
          <cell r="G823"/>
          <cell r="H823" t="str">
            <v/>
          </cell>
          <cell r="I823"/>
          <cell r="J823"/>
          <cell r="K823"/>
          <cell r="L823"/>
          <cell r="M823"/>
        </row>
        <row r="824">
          <cell r="A824"/>
          <cell r="B824"/>
          <cell r="C824"/>
          <cell r="D824"/>
          <cell r="E824"/>
          <cell r="F824"/>
          <cell r="G824"/>
          <cell r="H824" t="str">
            <v/>
          </cell>
          <cell r="I824"/>
          <cell r="J824"/>
          <cell r="K824"/>
          <cell r="L824"/>
          <cell r="M824"/>
        </row>
        <row r="825">
          <cell r="A825"/>
          <cell r="B825"/>
          <cell r="C825"/>
          <cell r="D825"/>
          <cell r="E825"/>
          <cell r="F825"/>
          <cell r="G825"/>
          <cell r="H825" t="str">
            <v/>
          </cell>
          <cell r="I825"/>
          <cell r="J825"/>
          <cell r="K825"/>
          <cell r="L825"/>
          <cell r="M825"/>
        </row>
        <row r="826">
          <cell r="A826"/>
          <cell r="B826"/>
          <cell r="C826"/>
          <cell r="D826"/>
          <cell r="E826"/>
          <cell r="F826"/>
          <cell r="G826"/>
          <cell r="H826" t="str">
            <v/>
          </cell>
          <cell r="I826"/>
          <cell r="J826"/>
          <cell r="K826"/>
          <cell r="L826"/>
          <cell r="M826"/>
        </row>
        <row r="827">
          <cell r="A827"/>
          <cell r="B827"/>
          <cell r="C827"/>
          <cell r="D827"/>
          <cell r="E827"/>
          <cell r="F827"/>
          <cell r="G827"/>
          <cell r="H827" t="str">
            <v/>
          </cell>
          <cell r="I827"/>
          <cell r="J827"/>
          <cell r="K827"/>
          <cell r="L827"/>
          <cell r="M827"/>
        </row>
        <row r="828">
          <cell r="A828"/>
          <cell r="B828"/>
          <cell r="C828"/>
          <cell r="D828"/>
          <cell r="E828"/>
          <cell r="F828"/>
          <cell r="G828"/>
          <cell r="H828" t="str">
            <v/>
          </cell>
          <cell r="I828"/>
          <cell r="J828"/>
          <cell r="K828"/>
          <cell r="L828"/>
          <cell r="M828"/>
        </row>
        <row r="829">
          <cell r="A829"/>
          <cell r="B829"/>
          <cell r="C829"/>
          <cell r="D829"/>
          <cell r="E829"/>
          <cell r="F829"/>
          <cell r="G829"/>
          <cell r="H829" t="str">
            <v/>
          </cell>
          <cell r="I829"/>
          <cell r="J829"/>
          <cell r="K829"/>
          <cell r="L829"/>
          <cell r="M829"/>
        </row>
        <row r="830">
          <cell r="A830"/>
          <cell r="B830"/>
          <cell r="C830"/>
          <cell r="D830"/>
          <cell r="E830"/>
          <cell r="F830"/>
          <cell r="G830"/>
          <cell r="H830" t="str">
            <v/>
          </cell>
          <cell r="I830"/>
          <cell r="J830"/>
          <cell r="K830"/>
          <cell r="L830"/>
          <cell r="M830"/>
        </row>
        <row r="831">
          <cell r="A831"/>
          <cell r="B831"/>
          <cell r="C831"/>
          <cell r="D831"/>
          <cell r="E831"/>
          <cell r="F831"/>
          <cell r="G831"/>
          <cell r="H831" t="str">
            <v/>
          </cell>
          <cell r="I831"/>
          <cell r="J831"/>
          <cell r="K831"/>
          <cell r="L831"/>
          <cell r="M831"/>
        </row>
        <row r="832">
          <cell r="A832"/>
          <cell r="B832"/>
          <cell r="C832"/>
          <cell r="D832"/>
          <cell r="E832"/>
          <cell r="F832"/>
          <cell r="G832"/>
          <cell r="H832" t="str">
            <v/>
          </cell>
          <cell r="I832"/>
          <cell r="J832"/>
          <cell r="K832"/>
          <cell r="L832"/>
          <cell r="M832"/>
        </row>
        <row r="833">
          <cell r="A833"/>
          <cell r="B833"/>
          <cell r="C833"/>
          <cell r="D833"/>
          <cell r="E833"/>
          <cell r="F833"/>
          <cell r="G833"/>
          <cell r="H833" t="str">
            <v/>
          </cell>
          <cell r="I833"/>
          <cell r="J833"/>
          <cell r="K833"/>
          <cell r="L833"/>
          <cell r="M833"/>
        </row>
        <row r="834">
          <cell r="A834"/>
          <cell r="B834"/>
          <cell r="C834"/>
          <cell r="D834"/>
          <cell r="E834"/>
          <cell r="F834"/>
          <cell r="G834"/>
          <cell r="H834" t="str">
            <v/>
          </cell>
          <cell r="I834"/>
          <cell r="J834"/>
          <cell r="K834"/>
          <cell r="L834"/>
          <cell r="M834"/>
        </row>
        <row r="835">
          <cell r="A835"/>
          <cell r="B835"/>
          <cell r="C835"/>
          <cell r="D835"/>
          <cell r="E835"/>
          <cell r="F835"/>
          <cell r="G835"/>
          <cell r="H835" t="str">
            <v/>
          </cell>
          <cell r="I835"/>
          <cell r="J835"/>
          <cell r="K835"/>
          <cell r="L835"/>
          <cell r="M835"/>
        </row>
        <row r="836">
          <cell r="A836"/>
          <cell r="B836"/>
          <cell r="C836"/>
          <cell r="D836"/>
          <cell r="E836"/>
          <cell r="F836"/>
          <cell r="G836"/>
          <cell r="H836" t="str">
            <v/>
          </cell>
          <cell r="I836"/>
          <cell r="J836"/>
          <cell r="K836"/>
          <cell r="L836"/>
          <cell r="M836"/>
        </row>
        <row r="837">
          <cell r="A837"/>
          <cell r="B837"/>
          <cell r="C837"/>
          <cell r="D837"/>
          <cell r="E837"/>
          <cell r="F837"/>
          <cell r="G837"/>
          <cell r="H837" t="str">
            <v/>
          </cell>
          <cell r="I837"/>
          <cell r="J837"/>
          <cell r="K837"/>
          <cell r="L837"/>
          <cell r="M837"/>
        </row>
        <row r="838">
          <cell r="A838"/>
          <cell r="B838"/>
          <cell r="C838"/>
          <cell r="D838"/>
          <cell r="E838"/>
          <cell r="F838"/>
          <cell r="G838"/>
          <cell r="H838" t="str">
            <v/>
          </cell>
          <cell r="I838"/>
          <cell r="J838"/>
          <cell r="K838"/>
          <cell r="L838"/>
          <cell r="M838"/>
        </row>
        <row r="839">
          <cell r="A839"/>
          <cell r="B839"/>
          <cell r="C839"/>
          <cell r="D839"/>
          <cell r="E839"/>
          <cell r="F839"/>
          <cell r="G839"/>
          <cell r="H839" t="str">
            <v/>
          </cell>
          <cell r="I839"/>
          <cell r="J839"/>
          <cell r="K839"/>
          <cell r="L839"/>
          <cell r="M839"/>
        </row>
        <row r="840">
          <cell r="A840"/>
          <cell r="B840"/>
          <cell r="C840"/>
          <cell r="D840"/>
          <cell r="E840"/>
          <cell r="F840"/>
          <cell r="G840"/>
          <cell r="H840" t="str">
            <v/>
          </cell>
          <cell r="I840"/>
          <cell r="J840"/>
          <cell r="K840"/>
          <cell r="L840"/>
          <cell r="M840"/>
        </row>
        <row r="841">
          <cell r="A841"/>
          <cell r="B841"/>
          <cell r="C841"/>
          <cell r="D841"/>
          <cell r="E841"/>
          <cell r="F841"/>
          <cell r="G841"/>
          <cell r="H841" t="str">
            <v/>
          </cell>
          <cell r="I841"/>
          <cell r="J841"/>
          <cell r="K841"/>
          <cell r="L841"/>
          <cell r="M841"/>
        </row>
        <row r="842">
          <cell r="A842"/>
          <cell r="B842"/>
          <cell r="C842"/>
          <cell r="D842"/>
          <cell r="E842"/>
          <cell r="F842"/>
          <cell r="G842"/>
          <cell r="H842" t="str">
            <v/>
          </cell>
          <cell r="I842"/>
          <cell r="J842"/>
          <cell r="K842"/>
          <cell r="L842"/>
          <cell r="M842"/>
        </row>
        <row r="843">
          <cell r="A843"/>
          <cell r="B843"/>
          <cell r="C843"/>
          <cell r="D843"/>
          <cell r="E843"/>
          <cell r="F843"/>
          <cell r="G843"/>
          <cell r="H843" t="str">
            <v/>
          </cell>
          <cell r="I843"/>
          <cell r="J843"/>
          <cell r="K843"/>
          <cell r="L843"/>
          <cell r="M843"/>
        </row>
        <row r="844">
          <cell r="A844"/>
          <cell r="B844"/>
          <cell r="C844"/>
          <cell r="D844"/>
          <cell r="E844"/>
          <cell r="F844"/>
          <cell r="G844"/>
          <cell r="H844" t="str">
            <v/>
          </cell>
          <cell r="I844"/>
          <cell r="J844"/>
          <cell r="K844"/>
          <cell r="L844"/>
          <cell r="M844"/>
        </row>
        <row r="845">
          <cell r="A845"/>
          <cell r="B845"/>
          <cell r="C845"/>
          <cell r="D845"/>
          <cell r="E845"/>
          <cell r="F845"/>
          <cell r="G845"/>
          <cell r="H845" t="str">
            <v/>
          </cell>
          <cell r="I845"/>
          <cell r="J845"/>
          <cell r="K845"/>
          <cell r="L845"/>
          <cell r="M845"/>
        </row>
        <row r="846">
          <cell r="A846"/>
          <cell r="B846"/>
          <cell r="C846"/>
          <cell r="D846"/>
          <cell r="E846"/>
          <cell r="F846"/>
          <cell r="G846"/>
          <cell r="H846" t="str">
            <v/>
          </cell>
          <cell r="I846"/>
          <cell r="J846"/>
          <cell r="K846"/>
          <cell r="L846"/>
          <cell r="M846"/>
        </row>
        <row r="847">
          <cell r="A847"/>
          <cell r="B847"/>
          <cell r="C847"/>
          <cell r="D847"/>
          <cell r="E847"/>
          <cell r="F847"/>
          <cell r="G847"/>
          <cell r="H847" t="str">
            <v/>
          </cell>
          <cell r="I847"/>
          <cell r="J847"/>
          <cell r="K847"/>
          <cell r="L847"/>
          <cell r="M847"/>
        </row>
        <row r="848">
          <cell r="A848"/>
          <cell r="B848"/>
          <cell r="C848"/>
          <cell r="D848"/>
          <cell r="E848"/>
          <cell r="F848"/>
          <cell r="G848"/>
          <cell r="H848" t="str">
            <v/>
          </cell>
          <cell r="I848"/>
          <cell r="J848"/>
          <cell r="K848"/>
          <cell r="L848"/>
          <cell r="M848"/>
        </row>
        <row r="849">
          <cell r="A849"/>
          <cell r="B849"/>
          <cell r="C849"/>
          <cell r="D849"/>
          <cell r="E849"/>
          <cell r="F849"/>
          <cell r="G849"/>
          <cell r="H849" t="str">
            <v/>
          </cell>
          <cell r="I849"/>
          <cell r="J849"/>
          <cell r="K849"/>
          <cell r="L849"/>
          <cell r="M849"/>
        </row>
        <row r="850">
          <cell r="A850"/>
          <cell r="B850"/>
          <cell r="C850"/>
          <cell r="D850"/>
          <cell r="E850"/>
          <cell r="F850"/>
          <cell r="G850"/>
          <cell r="H850" t="str">
            <v/>
          </cell>
          <cell r="I850"/>
          <cell r="J850"/>
          <cell r="K850"/>
          <cell r="L850"/>
          <cell r="M850"/>
        </row>
        <row r="851">
          <cell r="A851"/>
          <cell r="B851"/>
          <cell r="C851"/>
          <cell r="D851"/>
          <cell r="E851"/>
          <cell r="F851"/>
          <cell r="G851"/>
          <cell r="H851" t="str">
            <v/>
          </cell>
          <cell r="I851"/>
          <cell r="J851"/>
          <cell r="K851"/>
          <cell r="L851"/>
          <cell r="M851"/>
        </row>
        <row r="852">
          <cell r="A852"/>
          <cell r="B852"/>
          <cell r="C852"/>
          <cell r="D852"/>
          <cell r="E852"/>
          <cell r="F852"/>
          <cell r="G852"/>
          <cell r="H852" t="str">
            <v/>
          </cell>
          <cell r="I852"/>
          <cell r="J852"/>
          <cell r="K852"/>
          <cell r="L852"/>
          <cell r="M852"/>
        </row>
        <row r="853">
          <cell r="A853"/>
          <cell r="B853"/>
          <cell r="C853"/>
          <cell r="D853"/>
          <cell r="E853"/>
          <cell r="F853"/>
          <cell r="G853"/>
          <cell r="H853" t="str">
            <v/>
          </cell>
          <cell r="I853"/>
          <cell r="J853"/>
          <cell r="K853"/>
          <cell r="L853"/>
          <cell r="M853"/>
        </row>
        <row r="854">
          <cell r="A854"/>
          <cell r="B854"/>
          <cell r="C854"/>
          <cell r="D854"/>
          <cell r="E854"/>
          <cell r="F854"/>
          <cell r="G854"/>
          <cell r="H854" t="str">
            <v/>
          </cell>
          <cell r="I854"/>
          <cell r="J854"/>
          <cell r="K854"/>
          <cell r="L854"/>
          <cell r="M854"/>
        </row>
        <row r="855">
          <cell r="A855"/>
          <cell r="B855"/>
          <cell r="C855"/>
          <cell r="D855"/>
          <cell r="E855"/>
          <cell r="F855"/>
          <cell r="G855"/>
          <cell r="H855" t="str">
            <v/>
          </cell>
          <cell r="I855"/>
          <cell r="J855"/>
          <cell r="K855"/>
          <cell r="L855"/>
          <cell r="M855"/>
        </row>
        <row r="856">
          <cell r="A856"/>
          <cell r="B856"/>
          <cell r="C856"/>
          <cell r="D856"/>
          <cell r="E856"/>
          <cell r="F856"/>
          <cell r="G856"/>
          <cell r="H856" t="str">
            <v/>
          </cell>
          <cell r="I856"/>
          <cell r="J856"/>
          <cell r="K856"/>
          <cell r="L856"/>
          <cell r="M856"/>
        </row>
        <row r="857">
          <cell r="A857"/>
          <cell r="B857"/>
          <cell r="C857"/>
          <cell r="D857"/>
          <cell r="E857"/>
          <cell r="F857"/>
          <cell r="G857"/>
          <cell r="H857" t="str">
            <v/>
          </cell>
          <cell r="I857"/>
          <cell r="J857"/>
          <cell r="K857"/>
          <cell r="L857"/>
          <cell r="M857"/>
        </row>
        <row r="858">
          <cell r="A858"/>
          <cell r="B858"/>
          <cell r="C858"/>
          <cell r="D858"/>
          <cell r="E858"/>
          <cell r="F858"/>
          <cell r="G858"/>
          <cell r="H858" t="str">
            <v/>
          </cell>
          <cell r="I858"/>
          <cell r="J858"/>
          <cell r="K858"/>
          <cell r="L858"/>
          <cell r="M858"/>
        </row>
        <row r="859">
          <cell r="A859"/>
          <cell r="B859"/>
          <cell r="C859"/>
          <cell r="D859"/>
          <cell r="E859"/>
          <cell r="F859"/>
          <cell r="G859"/>
          <cell r="H859" t="str">
            <v/>
          </cell>
          <cell r="I859"/>
          <cell r="J859"/>
          <cell r="K859"/>
          <cell r="L859"/>
          <cell r="M859"/>
        </row>
        <row r="860">
          <cell r="A860"/>
          <cell r="B860"/>
          <cell r="C860"/>
          <cell r="D860"/>
          <cell r="E860"/>
          <cell r="F860"/>
          <cell r="G860"/>
          <cell r="H860" t="str">
            <v/>
          </cell>
          <cell r="I860"/>
          <cell r="J860"/>
          <cell r="K860"/>
          <cell r="L860"/>
          <cell r="M860"/>
        </row>
        <row r="861">
          <cell r="A861"/>
          <cell r="B861"/>
          <cell r="C861"/>
          <cell r="D861"/>
          <cell r="E861"/>
          <cell r="F861"/>
          <cell r="G861"/>
          <cell r="H861" t="str">
            <v/>
          </cell>
          <cell r="I861"/>
          <cell r="J861"/>
          <cell r="K861"/>
          <cell r="L861"/>
          <cell r="M861"/>
        </row>
        <row r="862">
          <cell r="A862"/>
          <cell r="B862"/>
          <cell r="C862"/>
          <cell r="D862"/>
          <cell r="E862"/>
          <cell r="F862"/>
          <cell r="G862"/>
          <cell r="H862" t="str">
            <v/>
          </cell>
          <cell r="I862"/>
          <cell r="J862"/>
          <cell r="K862"/>
          <cell r="L862"/>
          <cell r="M862"/>
        </row>
        <row r="863">
          <cell r="A863"/>
          <cell r="B863"/>
          <cell r="C863"/>
          <cell r="D863"/>
          <cell r="E863"/>
          <cell r="F863"/>
          <cell r="G863"/>
          <cell r="H863" t="str">
            <v/>
          </cell>
          <cell r="I863"/>
          <cell r="J863"/>
          <cell r="K863"/>
          <cell r="L863"/>
          <cell r="M863"/>
        </row>
        <row r="864">
          <cell r="A864"/>
          <cell r="B864"/>
          <cell r="C864"/>
          <cell r="D864"/>
          <cell r="E864"/>
          <cell r="F864"/>
          <cell r="G864"/>
          <cell r="H864" t="str">
            <v/>
          </cell>
          <cell r="I864"/>
          <cell r="J864"/>
          <cell r="K864"/>
          <cell r="L864"/>
          <cell r="M864"/>
        </row>
        <row r="865">
          <cell r="A865"/>
          <cell r="B865"/>
          <cell r="C865"/>
          <cell r="D865"/>
          <cell r="E865"/>
          <cell r="F865"/>
          <cell r="G865"/>
          <cell r="H865" t="str">
            <v/>
          </cell>
          <cell r="I865"/>
          <cell r="J865"/>
          <cell r="K865"/>
          <cell r="L865"/>
          <cell r="M865"/>
        </row>
        <row r="866">
          <cell r="A866"/>
          <cell r="B866"/>
          <cell r="C866"/>
          <cell r="D866"/>
          <cell r="E866"/>
          <cell r="F866"/>
          <cell r="G866"/>
          <cell r="H866" t="str">
            <v/>
          </cell>
          <cell r="I866"/>
          <cell r="J866"/>
          <cell r="K866"/>
          <cell r="L866"/>
          <cell r="M866"/>
        </row>
        <row r="867">
          <cell r="A867"/>
          <cell r="B867"/>
          <cell r="C867"/>
          <cell r="D867"/>
          <cell r="E867"/>
          <cell r="F867"/>
          <cell r="G867"/>
          <cell r="H867" t="str">
            <v/>
          </cell>
          <cell r="I867"/>
          <cell r="J867"/>
          <cell r="K867"/>
          <cell r="L867"/>
          <cell r="M867"/>
        </row>
        <row r="868">
          <cell r="A868"/>
          <cell r="B868"/>
          <cell r="C868"/>
          <cell r="D868"/>
          <cell r="E868"/>
          <cell r="F868"/>
          <cell r="G868"/>
          <cell r="H868" t="str">
            <v/>
          </cell>
          <cell r="I868"/>
          <cell r="J868"/>
          <cell r="K868"/>
          <cell r="L868"/>
          <cell r="M868"/>
        </row>
        <row r="869">
          <cell r="A869"/>
          <cell r="B869"/>
          <cell r="C869"/>
          <cell r="D869"/>
          <cell r="E869"/>
          <cell r="F869"/>
          <cell r="G869"/>
          <cell r="H869" t="str">
            <v/>
          </cell>
          <cell r="I869"/>
          <cell r="J869"/>
          <cell r="K869"/>
          <cell r="L869"/>
          <cell r="M869"/>
        </row>
        <row r="870">
          <cell r="A870"/>
          <cell r="B870"/>
          <cell r="C870"/>
          <cell r="D870"/>
          <cell r="E870"/>
          <cell r="F870"/>
          <cell r="G870"/>
          <cell r="H870" t="str">
            <v/>
          </cell>
          <cell r="I870"/>
          <cell r="J870"/>
          <cell r="K870"/>
          <cell r="L870"/>
          <cell r="M870"/>
        </row>
        <row r="871">
          <cell r="A871"/>
          <cell r="B871"/>
          <cell r="C871"/>
          <cell r="D871"/>
          <cell r="E871"/>
          <cell r="F871"/>
          <cell r="G871"/>
          <cell r="H871" t="str">
            <v/>
          </cell>
          <cell r="I871"/>
          <cell r="J871"/>
          <cell r="K871"/>
          <cell r="L871"/>
          <cell r="M871"/>
        </row>
        <row r="872">
          <cell r="A872"/>
          <cell r="B872"/>
          <cell r="C872"/>
          <cell r="D872"/>
          <cell r="E872"/>
          <cell r="F872"/>
          <cell r="G872"/>
          <cell r="H872" t="str">
            <v/>
          </cell>
          <cell r="I872"/>
          <cell r="J872"/>
          <cell r="K872"/>
          <cell r="L872"/>
          <cell r="M872"/>
        </row>
        <row r="873">
          <cell r="A873"/>
          <cell r="B873"/>
          <cell r="C873"/>
          <cell r="D873"/>
          <cell r="E873"/>
          <cell r="F873"/>
          <cell r="G873"/>
          <cell r="H873" t="str">
            <v/>
          </cell>
          <cell r="I873"/>
          <cell r="J873"/>
          <cell r="K873"/>
          <cell r="L873"/>
          <cell r="M873"/>
        </row>
        <row r="874">
          <cell r="A874"/>
          <cell r="B874"/>
          <cell r="C874"/>
          <cell r="D874"/>
          <cell r="E874"/>
          <cell r="F874"/>
          <cell r="G874"/>
          <cell r="H874" t="str">
            <v/>
          </cell>
          <cell r="I874"/>
          <cell r="J874"/>
          <cell r="K874"/>
          <cell r="L874"/>
          <cell r="M874"/>
        </row>
        <row r="875">
          <cell r="A875"/>
          <cell r="B875"/>
          <cell r="C875"/>
          <cell r="D875"/>
          <cell r="E875"/>
          <cell r="F875"/>
          <cell r="G875"/>
          <cell r="H875" t="str">
            <v/>
          </cell>
          <cell r="I875"/>
          <cell r="J875"/>
          <cell r="K875"/>
          <cell r="L875"/>
          <cell r="M875"/>
        </row>
        <row r="876">
          <cell r="A876"/>
          <cell r="B876"/>
          <cell r="C876"/>
          <cell r="D876"/>
          <cell r="E876"/>
          <cell r="F876"/>
          <cell r="G876"/>
          <cell r="H876" t="str">
            <v/>
          </cell>
          <cell r="I876"/>
          <cell r="J876"/>
          <cell r="K876"/>
          <cell r="L876"/>
          <cell r="M876"/>
        </row>
        <row r="877">
          <cell r="A877"/>
          <cell r="B877"/>
          <cell r="C877"/>
          <cell r="D877"/>
          <cell r="E877"/>
          <cell r="F877"/>
          <cell r="G877"/>
          <cell r="H877" t="str">
            <v/>
          </cell>
          <cell r="I877"/>
          <cell r="J877"/>
          <cell r="K877"/>
          <cell r="L877"/>
          <cell r="M877"/>
        </row>
        <row r="878">
          <cell r="A878"/>
          <cell r="B878"/>
          <cell r="C878"/>
          <cell r="D878"/>
          <cell r="E878"/>
          <cell r="F878"/>
          <cell r="G878"/>
          <cell r="H878" t="str">
            <v/>
          </cell>
          <cell r="I878"/>
          <cell r="J878"/>
          <cell r="K878"/>
          <cell r="L878"/>
          <cell r="M878"/>
        </row>
        <row r="879">
          <cell r="A879"/>
          <cell r="B879"/>
          <cell r="C879"/>
          <cell r="D879"/>
          <cell r="E879"/>
          <cell r="F879"/>
          <cell r="G879"/>
          <cell r="H879" t="str">
            <v/>
          </cell>
          <cell r="I879"/>
          <cell r="J879"/>
          <cell r="K879"/>
          <cell r="L879"/>
          <cell r="M879"/>
        </row>
        <row r="880">
          <cell r="A880"/>
          <cell r="B880"/>
          <cell r="C880"/>
          <cell r="D880"/>
          <cell r="E880"/>
          <cell r="F880"/>
          <cell r="G880"/>
          <cell r="H880" t="str">
            <v/>
          </cell>
          <cell r="I880"/>
          <cell r="J880"/>
          <cell r="K880"/>
          <cell r="L880"/>
          <cell r="M880"/>
        </row>
        <row r="881">
          <cell r="A881"/>
          <cell r="B881"/>
          <cell r="C881"/>
          <cell r="D881"/>
          <cell r="E881"/>
          <cell r="F881"/>
          <cell r="G881"/>
          <cell r="H881" t="str">
            <v/>
          </cell>
          <cell r="I881"/>
          <cell r="J881"/>
          <cell r="K881"/>
          <cell r="L881"/>
          <cell r="M881"/>
        </row>
        <row r="882">
          <cell r="A882"/>
          <cell r="B882"/>
          <cell r="C882"/>
          <cell r="D882"/>
          <cell r="E882"/>
          <cell r="F882"/>
          <cell r="G882"/>
          <cell r="H882" t="str">
            <v/>
          </cell>
          <cell r="I882"/>
          <cell r="J882"/>
          <cell r="K882"/>
          <cell r="L882"/>
          <cell r="M882"/>
        </row>
        <row r="883">
          <cell r="A883"/>
          <cell r="B883"/>
          <cell r="C883"/>
          <cell r="D883"/>
          <cell r="E883"/>
          <cell r="F883"/>
          <cell r="G883"/>
          <cell r="H883" t="str">
            <v/>
          </cell>
          <cell r="I883"/>
          <cell r="J883"/>
          <cell r="K883"/>
          <cell r="L883"/>
          <cell r="M883"/>
        </row>
        <row r="884">
          <cell r="A884"/>
          <cell r="B884"/>
          <cell r="C884"/>
          <cell r="D884"/>
          <cell r="E884"/>
          <cell r="F884"/>
          <cell r="G884"/>
          <cell r="H884" t="str">
            <v/>
          </cell>
          <cell r="I884"/>
          <cell r="J884"/>
          <cell r="K884"/>
          <cell r="L884"/>
          <cell r="M884"/>
        </row>
        <row r="885">
          <cell r="A885"/>
          <cell r="B885"/>
          <cell r="C885"/>
          <cell r="D885"/>
          <cell r="E885"/>
          <cell r="F885"/>
          <cell r="G885"/>
          <cell r="H885" t="str">
            <v/>
          </cell>
          <cell r="I885"/>
          <cell r="J885"/>
          <cell r="K885"/>
          <cell r="L885"/>
          <cell r="M885"/>
        </row>
        <row r="886">
          <cell r="A886"/>
          <cell r="B886"/>
          <cell r="C886"/>
          <cell r="D886"/>
          <cell r="E886"/>
          <cell r="F886"/>
          <cell r="G886"/>
          <cell r="H886" t="str">
            <v/>
          </cell>
          <cell r="I886"/>
          <cell r="J886"/>
          <cell r="K886"/>
          <cell r="L886"/>
          <cell r="M886"/>
        </row>
        <row r="887">
          <cell r="A887"/>
          <cell r="B887"/>
          <cell r="C887"/>
          <cell r="D887"/>
          <cell r="E887"/>
          <cell r="F887"/>
          <cell r="G887"/>
          <cell r="H887" t="str">
            <v/>
          </cell>
          <cell r="I887"/>
          <cell r="J887"/>
          <cell r="K887"/>
          <cell r="L887"/>
          <cell r="M887"/>
        </row>
        <row r="888">
          <cell r="A888"/>
          <cell r="B888"/>
          <cell r="C888"/>
          <cell r="D888"/>
          <cell r="E888"/>
          <cell r="F888"/>
          <cell r="G888"/>
          <cell r="H888" t="str">
            <v/>
          </cell>
          <cell r="I888"/>
          <cell r="J888"/>
          <cell r="K888"/>
          <cell r="L888"/>
          <cell r="M888"/>
        </row>
        <row r="889">
          <cell r="A889"/>
          <cell r="B889"/>
          <cell r="C889"/>
          <cell r="D889"/>
          <cell r="E889"/>
          <cell r="F889"/>
          <cell r="G889"/>
          <cell r="H889" t="str">
            <v/>
          </cell>
          <cell r="I889"/>
          <cell r="J889"/>
          <cell r="K889"/>
          <cell r="L889"/>
          <cell r="M889"/>
        </row>
        <row r="890">
          <cell r="A890"/>
          <cell r="B890"/>
          <cell r="C890"/>
          <cell r="D890"/>
          <cell r="E890"/>
          <cell r="F890"/>
          <cell r="G890"/>
          <cell r="H890" t="str">
            <v/>
          </cell>
          <cell r="I890"/>
          <cell r="J890"/>
          <cell r="K890"/>
          <cell r="L890"/>
          <cell r="M890"/>
        </row>
        <row r="891">
          <cell r="A891"/>
          <cell r="B891"/>
          <cell r="C891"/>
          <cell r="D891"/>
          <cell r="E891"/>
          <cell r="F891"/>
          <cell r="G891"/>
          <cell r="H891" t="str">
            <v/>
          </cell>
          <cell r="I891"/>
          <cell r="J891"/>
          <cell r="K891"/>
          <cell r="L891"/>
          <cell r="M891"/>
        </row>
        <row r="892">
          <cell r="A892"/>
          <cell r="B892"/>
          <cell r="C892"/>
          <cell r="D892"/>
          <cell r="E892"/>
          <cell r="F892"/>
          <cell r="G892"/>
          <cell r="H892" t="str">
            <v/>
          </cell>
          <cell r="I892"/>
          <cell r="J892"/>
          <cell r="K892"/>
          <cell r="L892"/>
          <cell r="M892"/>
        </row>
        <row r="893">
          <cell r="A893"/>
          <cell r="B893"/>
          <cell r="C893"/>
          <cell r="D893"/>
          <cell r="E893"/>
          <cell r="F893"/>
          <cell r="G893"/>
          <cell r="H893" t="str">
            <v/>
          </cell>
          <cell r="I893"/>
          <cell r="J893"/>
          <cell r="K893"/>
          <cell r="L893"/>
          <cell r="M893"/>
        </row>
        <row r="894">
          <cell r="A894"/>
          <cell r="B894"/>
          <cell r="C894"/>
          <cell r="D894"/>
          <cell r="E894"/>
          <cell r="F894"/>
          <cell r="G894"/>
          <cell r="H894" t="str">
            <v/>
          </cell>
          <cell r="I894"/>
          <cell r="J894"/>
          <cell r="K894"/>
          <cell r="L894"/>
          <cell r="M894"/>
        </row>
        <row r="895">
          <cell r="A895"/>
          <cell r="B895"/>
          <cell r="C895"/>
          <cell r="D895"/>
          <cell r="E895"/>
          <cell r="F895"/>
          <cell r="G895"/>
          <cell r="H895" t="str">
            <v/>
          </cell>
          <cell r="I895"/>
          <cell r="J895"/>
          <cell r="K895"/>
          <cell r="L895"/>
          <cell r="M895"/>
        </row>
        <row r="896">
          <cell r="A896"/>
          <cell r="B896"/>
          <cell r="C896"/>
          <cell r="D896"/>
          <cell r="E896"/>
          <cell r="F896"/>
          <cell r="G896"/>
          <cell r="H896" t="str">
            <v/>
          </cell>
          <cell r="I896"/>
          <cell r="J896"/>
          <cell r="K896"/>
          <cell r="L896"/>
          <cell r="M896"/>
        </row>
        <row r="897">
          <cell r="A897"/>
          <cell r="B897"/>
          <cell r="C897"/>
          <cell r="D897"/>
          <cell r="E897"/>
          <cell r="F897"/>
          <cell r="G897"/>
          <cell r="H897" t="str">
            <v/>
          </cell>
          <cell r="I897"/>
          <cell r="J897"/>
          <cell r="K897"/>
          <cell r="L897"/>
          <cell r="M897"/>
        </row>
        <row r="898">
          <cell r="A898"/>
          <cell r="B898"/>
          <cell r="C898"/>
          <cell r="D898"/>
          <cell r="E898"/>
          <cell r="F898"/>
          <cell r="G898"/>
          <cell r="H898" t="str">
            <v/>
          </cell>
          <cell r="I898"/>
          <cell r="J898"/>
          <cell r="K898"/>
          <cell r="L898"/>
          <cell r="M898"/>
        </row>
        <row r="899">
          <cell r="A899"/>
          <cell r="B899"/>
          <cell r="C899"/>
          <cell r="D899"/>
          <cell r="E899"/>
          <cell r="F899"/>
          <cell r="G899"/>
          <cell r="H899" t="str">
            <v/>
          </cell>
          <cell r="I899"/>
          <cell r="J899"/>
          <cell r="K899"/>
          <cell r="L899"/>
          <cell r="M899"/>
        </row>
        <row r="900">
          <cell r="A900"/>
          <cell r="B900"/>
          <cell r="C900"/>
          <cell r="D900"/>
          <cell r="E900"/>
          <cell r="F900"/>
          <cell r="G900"/>
          <cell r="H900" t="str">
            <v/>
          </cell>
          <cell r="I900"/>
          <cell r="J900"/>
          <cell r="K900"/>
          <cell r="L900"/>
          <cell r="M900"/>
        </row>
        <row r="901">
          <cell r="A901"/>
          <cell r="B901"/>
          <cell r="C901"/>
          <cell r="D901"/>
          <cell r="E901"/>
          <cell r="F901"/>
          <cell r="G901"/>
          <cell r="H901" t="str">
            <v/>
          </cell>
          <cell r="I901"/>
          <cell r="J901"/>
          <cell r="K901"/>
          <cell r="L901"/>
          <cell r="M901"/>
        </row>
        <row r="902">
          <cell r="A902"/>
          <cell r="B902"/>
          <cell r="C902"/>
          <cell r="D902"/>
          <cell r="E902"/>
          <cell r="F902"/>
          <cell r="G902"/>
          <cell r="H902" t="str">
            <v/>
          </cell>
          <cell r="I902"/>
          <cell r="J902"/>
          <cell r="K902"/>
          <cell r="L902"/>
          <cell r="M902"/>
        </row>
        <row r="903">
          <cell r="A903"/>
          <cell r="B903"/>
          <cell r="C903"/>
          <cell r="D903"/>
          <cell r="E903"/>
          <cell r="F903"/>
          <cell r="G903"/>
          <cell r="H903" t="str">
            <v/>
          </cell>
          <cell r="I903"/>
          <cell r="J903"/>
          <cell r="K903"/>
          <cell r="L903"/>
          <cell r="M903"/>
        </row>
        <row r="904">
          <cell r="A904"/>
          <cell r="B904"/>
          <cell r="C904"/>
          <cell r="D904"/>
          <cell r="E904"/>
          <cell r="F904"/>
          <cell r="G904"/>
          <cell r="H904" t="str">
            <v/>
          </cell>
          <cell r="I904"/>
          <cell r="J904"/>
          <cell r="K904"/>
          <cell r="L904"/>
          <cell r="M904"/>
        </row>
        <row r="905">
          <cell r="A905"/>
          <cell r="B905"/>
          <cell r="C905"/>
          <cell r="D905"/>
          <cell r="E905"/>
          <cell r="F905"/>
          <cell r="G905"/>
          <cell r="H905" t="str">
            <v/>
          </cell>
          <cell r="I905"/>
          <cell r="J905"/>
          <cell r="K905"/>
          <cell r="L905"/>
          <cell r="M905"/>
        </row>
        <row r="906">
          <cell r="A906"/>
          <cell r="B906"/>
          <cell r="C906"/>
          <cell r="D906"/>
          <cell r="E906"/>
          <cell r="F906"/>
          <cell r="G906"/>
          <cell r="H906" t="str">
            <v/>
          </cell>
          <cell r="I906"/>
          <cell r="J906"/>
          <cell r="K906"/>
          <cell r="L906"/>
          <cell r="M906"/>
        </row>
        <row r="907">
          <cell r="A907"/>
          <cell r="B907"/>
          <cell r="C907"/>
          <cell r="D907"/>
          <cell r="E907"/>
          <cell r="F907"/>
          <cell r="G907"/>
          <cell r="H907" t="str">
            <v/>
          </cell>
          <cell r="I907"/>
          <cell r="J907"/>
          <cell r="K907"/>
          <cell r="L907"/>
          <cell r="M907"/>
        </row>
        <row r="908">
          <cell r="A908"/>
          <cell r="B908"/>
          <cell r="C908"/>
          <cell r="D908"/>
          <cell r="E908"/>
          <cell r="F908"/>
          <cell r="G908"/>
          <cell r="H908" t="str">
            <v/>
          </cell>
          <cell r="I908"/>
          <cell r="J908"/>
          <cell r="K908"/>
          <cell r="L908"/>
          <cell r="M908"/>
        </row>
        <row r="909">
          <cell r="A909"/>
          <cell r="B909"/>
          <cell r="C909"/>
          <cell r="D909"/>
          <cell r="E909"/>
          <cell r="F909"/>
          <cell r="G909"/>
          <cell r="H909" t="str">
            <v/>
          </cell>
          <cell r="I909"/>
          <cell r="J909"/>
          <cell r="K909"/>
          <cell r="L909"/>
          <cell r="M909"/>
        </row>
        <row r="910">
          <cell r="A910"/>
          <cell r="B910"/>
          <cell r="C910"/>
          <cell r="D910"/>
          <cell r="E910"/>
          <cell r="F910"/>
          <cell r="G910"/>
          <cell r="H910" t="str">
            <v/>
          </cell>
          <cell r="I910"/>
          <cell r="J910"/>
          <cell r="K910"/>
          <cell r="L910"/>
          <cell r="M910"/>
        </row>
        <row r="911">
          <cell r="A911"/>
          <cell r="B911"/>
          <cell r="C911"/>
          <cell r="D911"/>
          <cell r="E911"/>
          <cell r="F911"/>
          <cell r="G911"/>
          <cell r="H911" t="str">
            <v/>
          </cell>
          <cell r="I911"/>
          <cell r="J911"/>
          <cell r="K911"/>
          <cell r="L911"/>
          <cell r="M911"/>
        </row>
        <row r="912">
          <cell r="A912"/>
          <cell r="B912"/>
          <cell r="C912"/>
          <cell r="D912"/>
          <cell r="E912"/>
          <cell r="F912"/>
          <cell r="G912"/>
          <cell r="H912" t="str">
            <v/>
          </cell>
          <cell r="I912"/>
          <cell r="J912"/>
          <cell r="K912"/>
          <cell r="L912"/>
          <cell r="M912"/>
        </row>
        <row r="913">
          <cell r="A913"/>
          <cell r="B913"/>
          <cell r="C913"/>
          <cell r="D913"/>
          <cell r="E913"/>
          <cell r="F913"/>
          <cell r="G913"/>
          <cell r="H913" t="str">
            <v/>
          </cell>
          <cell r="I913"/>
          <cell r="J913"/>
          <cell r="K913"/>
          <cell r="L913"/>
          <cell r="M913"/>
        </row>
        <row r="914">
          <cell r="A914"/>
          <cell r="B914"/>
          <cell r="C914"/>
          <cell r="D914"/>
          <cell r="E914"/>
          <cell r="F914"/>
          <cell r="G914"/>
          <cell r="H914" t="str">
            <v/>
          </cell>
          <cell r="I914"/>
          <cell r="J914"/>
          <cell r="K914"/>
          <cell r="L914"/>
          <cell r="M914"/>
        </row>
        <row r="915">
          <cell r="A915"/>
          <cell r="B915"/>
          <cell r="C915"/>
          <cell r="D915"/>
          <cell r="E915"/>
          <cell r="F915"/>
          <cell r="G915"/>
          <cell r="H915" t="str">
            <v/>
          </cell>
          <cell r="I915"/>
          <cell r="J915"/>
          <cell r="K915"/>
          <cell r="L915"/>
          <cell r="M915"/>
        </row>
        <row r="916">
          <cell r="A916"/>
          <cell r="B916"/>
          <cell r="C916"/>
          <cell r="D916"/>
          <cell r="E916"/>
          <cell r="F916"/>
          <cell r="G916"/>
          <cell r="H916" t="str">
            <v/>
          </cell>
          <cell r="I916"/>
          <cell r="J916"/>
          <cell r="K916"/>
          <cell r="L916"/>
          <cell r="M916"/>
        </row>
        <row r="917">
          <cell r="A917"/>
          <cell r="B917"/>
          <cell r="C917"/>
          <cell r="D917"/>
          <cell r="E917"/>
          <cell r="F917"/>
          <cell r="G917"/>
          <cell r="H917" t="str">
            <v/>
          </cell>
          <cell r="I917"/>
          <cell r="J917"/>
          <cell r="K917"/>
          <cell r="L917"/>
          <cell r="M917"/>
        </row>
        <row r="918">
          <cell r="A918"/>
          <cell r="B918"/>
          <cell r="C918"/>
          <cell r="D918"/>
          <cell r="E918"/>
          <cell r="F918"/>
          <cell r="G918"/>
          <cell r="H918" t="str">
            <v/>
          </cell>
          <cell r="I918"/>
          <cell r="J918"/>
          <cell r="K918"/>
          <cell r="L918"/>
          <cell r="M918"/>
        </row>
        <row r="919">
          <cell r="A919"/>
          <cell r="B919"/>
          <cell r="C919"/>
          <cell r="D919"/>
          <cell r="E919"/>
          <cell r="F919"/>
          <cell r="G919"/>
          <cell r="H919" t="str">
            <v/>
          </cell>
          <cell r="I919"/>
          <cell r="J919"/>
          <cell r="K919"/>
          <cell r="L919"/>
          <cell r="M919"/>
        </row>
        <row r="920">
          <cell r="A920"/>
          <cell r="B920"/>
          <cell r="C920"/>
          <cell r="D920"/>
          <cell r="E920"/>
          <cell r="F920"/>
          <cell r="G920"/>
          <cell r="H920" t="str">
            <v/>
          </cell>
          <cell r="I920"/>
          <cell r="J920"/>
          <cell r="K920"/>
          <cell r="L920"/>
          <cell r="M920"/>
        </row>
        <row r="921">
          <cell r="A921"/>
          <cell r="B921"/>
          <cell r="C921"/>
          <cell r="D921"/>
          <cell r="E921"/>
          <cell r="F921"/>
          <cell r="G921"/>
          <cell r="H921" t="str">
            <v/>
          </cell>
          <cell r="I921"/>
          <cell r="J921"/>
          <cell r="K921"/>
          <cell r="L921"/>
          <cell r="M921"/>
        </row>
        <row r="922">
          <cell r="A922"/>
          <cell r="B922"/>
          <cell r="C922"/>
          <cell r="D922"/>
          <cell r="E922"/>
          <cell r="F922"/>
          <cell r="G922"/>
          <cell r="H922" t="str">
            <v/>
          </cell>
          <cell r="I922"/>
          <cell r="J922"/>
          <cell r="K922"/>
          <cell r="L922"/>
          <cell r="M922"/>
        </row>
        <row r="923">
          <cell r="A923"/>
          <cell r="B923"/>
          <cell r="C923"/>
          <cell r="D923"/>
          <cell r="E923"/>
          <cell r="F923"/>
          <cell r="G923"/>
          <cell r="H923" t="str">
            <v/>
          </cell>
          <cell r="I923"/>
          <cell r="J923"/>
          <cell r="K923"/>
          <cell r="L923"/>
          <cell r="M923"/>
        </row>
        <row r="924">
          <cell r="A924"/>
          <cell r="B924"/>
          <cell r="C924"/>
          <cell r="D924"/>
          <cell r="E924"/>
          <cell r="F924"/>
          <cell r="G924"/>
          <cell r="H924" t="str">
            <v/>
          </cell>
          <cell r="I924"/>
          <cell r="J924"/>
          <cell r="K924"/>
          <cell r="L924"/>
          <cell r="M924"/>
        </row>
        <row r="925">
          <cell r="A925"/>
          <cell r="B925"/>
          <cell r="C925"/>
          <cell r="D925"/>
          <cell r="E925"/>
          <cell r="F925"/>
          <cell r="G925"/>
          <cell r="H925" t="str">
            <v/>
          </cell>
          <cell r="I925"/>
          <cell r="J925"/>
          <cell r="K925"/>
          <cell r="L925"/>
          <cell r="M925"/>
        </row>
        <row r="926">
          <cell r="A926"/>
          <cell r="B926"/>
          <cell r="C926"/>
          <cell r="D926"/>
          <cell r="E926"/>
          <cell r="F926"/>
          <cell r="G926"/>
          <cell r="H926" t="str">
            <v/>
          </cell>
          <cell r="I926"/>
          <cell r="J926"/>
          <cell r="K926"/>
          <cell r="L926"/>
          <cell r="M926"/>
        </row>
        <row r="927">
          <cell r="A927"/>
          <cell r="B927"/>
          <cell r="C927"/>
          <cell r="D927"/>
          <cell r="E927"/>
          <cell r="F927"/>
          <cell r="G927"/>
          <cell r="H927" t="str">
            <v/>
          </cell>
          <cell r="I927"/>
          <cell r="J927"/>
          <cell r="K927"/>
          <cell r="L927"/>
          <cell r="M927"/>
        </row>
        <row r="928">
          <cell r="A928"/>
          <cell r="B928"/>
          <cell r="C928"/>
          <cell r="D928"/>
          <cell r="E928"/>
          <cell r="F928"/>
          <cell r="G928"/>
          <cell r="H928" t="str">
            <v/>
          </cell>
          <cell r="I928"/>
          <cell r="J928"/>
          <cell r="K928"/>
          <cell r="L928"/>
          <cell r="M928"/>
        </row>
        <row r="929">
          <cell r="A929"/>
          <cell r="B929"/>
          <cell r="C929"/>
          <cell r="D929"/>
          <cell r="E929"/>
          <cell r="F929"/>
          <cell r="G929"/>
          <cell r="H929" t="str">
            <v/>
          </cell>
          <cell r="I929"/>
          <cell r="J929"/>
          <cell r="K929"/>
          <cell r="L929"/>
          <cell r="M929"/>
        </row>
        <row r="930">
          <cell r="A930"/>
          <cell r="B930"/>
          <cell r="C930"/>
          <cell r="D930"/>
          <cell r="E930"/>
          <cell r="F930"/>
          <cell r="G930"/>
          <cell r="H930" t="str">
            <v/>
          </cell>
          <cell r="I930"/>
          <cell r="J930"/>
          <cell r="K930"/>
          <cell r="L930"/>
          <cell r="M930"/>
        </row>
        <row r="931">
          <cell r="A931"/>
          <cell r="B931"/>
          <cell r="C931"/>
          <cell r="D931"/>
          <cell r="E931"/>
          <cell r="F931"/>
          <cell r="G931"/>
          <cell r="H931" t="str">
            <v/>
          </cell>
          <cell r="I931"/>
          <cell r="J931"/>
          <cell r="K931"/>
          <cell r="L931"/>
          <cell r="M931"/>
        </row>
        <row r="932">
          <cell r="A932"/>
          <cell r="B932"/>
          <cell r="C932"/>
          <cell r="D932"/>
          <cell r="E932"/>
          <cell r="F932"/>
          <cell r="G932"/>
          <cell r="H932" t="str">
            <v/>
          </cell>
          <cell r="I932"/>
          <cell r="J932"/>
          <cell r="K932"/>
          <cell r="L932"/>
          <cell r="M932"/>
        </row>
        <row r="933">
          <cell r="A933"/>
          <cell r="B933"/>
          <cell r="C933"/>
          <cell r="D933"/>
          <cell r="E933"/>
          <cell r="F933"/>
          <cell r="G933"/>
          <cell r="H933" t="str">
            <v/>
          </cell>
          <cell r="I933"/>
          <cell r="J933"/>
          <cell r="K933"/>
          <cell r="L933"/>
          <cell r="M933"/>
        </row>
        <row r="934">
          <cell r="A934"/>
          <cell r="B934"/>
          <cell r="C934"/>
          <cell r="D934"/>
          <cell r="E934"/>
          <cell r="F934"/>
          <cell r="G934"/>
          <cell r="H934" t="str">
            <v/>
          </cell>
          <cell r="I934"/>
          <cell r="J934"/>
          <cell r="K934"/>
          <cell r="L934"/>
          <cell r="M934"/>
        </row>
        <row r="935">
          <cell r="A935"/>
          <cell r="B935"/>
          <cell r="C935"/>
          <cell r="D935"/>
          <cell r="E935"/>
          <cell r="F935"/>
          <cell r="G935"/>
          <cell r="H935" t="str">
            <v/>
          </cell>
          <cell r="I935"/>
          <cell r="J935"/>
          <cell r="K935"/>
          <cell r="L935"/>
          <cell r="M935"/>
        </row>
        <row r="936">
          <cell r="A936"/>
          <cell r="B936"/>
          <cell r="C936"/>
          <cell r="D936"/>
          <cell r="E936"/>
          <cell r="F936"/>
          <cell r="G936"/>
          <cell r="H936" t="str">
            <v/>
          </cell>
          <cell r="I936"/>
          <cell r="J936"/>
          <cell r="K936"/>
          <cell r="L936"/>
          <cell r="M936"/>
        </row>
        <row r="937">
          <cell r="A937"/>
          <cell r="B937"/>
          <cell r="C937"/>
          <cell r="D937"/>
          <cell r="E937"/>
          <cell r="F937"/>
          <cell r="G937"/>
          <cell r="H937" t="str">
            <v/>
          </cell>
          <cell r="I937"/>
          <cell r="J937"/>
          <cell r="K937"/>
          <cell r="L937"/>
          <cell r="M937"/>
        </row>
        <row r="938">
          <cell r="A938"/>
          <cell r="B938"/>
          <cell r="C938"/>
          <cell r="D938"/>
          <cell r="E938"/>
          <cell r="F938"/>
          <cell r="G938"/>
          <cell r="H938" t="str">
            <v/>
          </cell>
          <cell r="I938"/>
          <cell r="J938"/>
          <cell r="K938"/>
          <cell r="L938"/>
          <cell r="M938"/>
        </row>
        <row r="939">
          <cell r="A939"/>
          <cell r="B939"/>
          <cell r="C939"/>
          <cell r="D939"/>
          <cell r="E939"/>
          <cell r="F939"/>
          <cell r="G939"/>
          <cell r="H939" t="str">
            <v/>
          </cell>
          <cell r="I939"/>
          <cell r="J939"/>
          <cell r="K939"/>
          <cell r="L939"/>
          <cell r="M939"/>
        </row>
        <row r="940">
          <cell r="A940"/>
          <cell r="B940"/>
          <cell r="C940"/>
          <cell r="D940"/>
          <cell r="E940"/>
          <cell r="F940"/>
          <cell r="G940"/>
          <cell r="H940" t="str">
            <v/>
          </cell>
          <cell r="I940"/>
          <cell r="J940"/>
          <cell r="K940"/>
          <cell r="L940"/>
          <cell r="M940"/>
        </row>
        <row r="941">
          <cell r="A941"/>
          <cell r="B941"/>
          <cell r="C941"/>
          <cell r="D941"/>
          <cell r="E941"/>
          <cell r="F941"/>
          <cell r="G941"/>
          <cell r="H941" t="str">
            <v/>
          </cell>
          <cell r="I941"/>
          <cell r="J941"/>
          <cell r="K941"/>
          <cell r="L941"/>
          <cell r="M941"/>
        </row>
        <row r="942">
          <cell r="A942"/>
          <cell r="B942"/>
          <cell r="C942"/>
          <cell r="D942"/>
          <cell r="E942"/>
          <cell r="F942"/>
          <cell r="G942"/>
          <cell r="H942" t="str">
            <v/>
          </cell>
          <cell r="I942"/>
          <cell r="J942"/>
          <cell r="K942"/>
          <cell r="L942"/>
          <cell r="M942"/>
        </row>
        <row r="943">
          <cell r="A943"/>
          <cell r="B943"/>
          <cell r="C943"/>
          <cell r="D943"/>
          <cell r="E943"/>
          <cell r="F943"/>
          <cell r="G943"/>
          <cell r="H943" t="str">
            <v/>
          </cell>
          <cell r="I943"/>
          <cell r="J943"/>
          <cell r="K943"/>
          <cell r="L943"/>
          <cell r="M943"/>
        </row>
        <row r="944">
          <cell r="A944"/>
          <cell r="B944"/>
          <cell r="C944"/>
          <cell r="D944"/>
          <cell r="E944"/>
          <cell r="F944"/>
          <cell r="G944"/>
          <cell r="H944" t="str">
            <v/>
          </cell>
          <cell r="I944"/>
          <cell r="J944"/>
          <cell r="K944"/>
          <cell r="L944"/>
          <cell r="M944"/>
        </row>
        <row r="945">
          <cell r="A945"/>
          <cell r="B945"/>
          <cell r="C945"/>
          <cell r="D945"/>
          <cell r="E945"/>
          <cell r="F945"/>
          <cell r="G945"/>
          <cell r="H945" t="str">
            <v/>
          </cell>
          <cell r="I945"/>
          <cell r="J945"/>
          <cell r="K945"/>
          <cell r="L945"/>
          <cell r="M945"/>
        </row>
        <row r="946">
          <cell r="A946"/>
          <cell r="B946"/>
          <cell r="C946"/>
          <cell r="D946"/>
          <cell r="E946"/>
          <cell r="F946"/>
          <cell r="G946"/>
          <cell r="H946" t="str">
            <v/>
          </cell>
          <cell r="I946"/>
          <cell r="J946"/>
          <cell r="K946"/>
          <cell r="L946"/>
          <cell r="M946"/>
        </row>
        <row r="947">
          <cell r="A947"/>
          <cell r="B947"/>
          <cell r="C947"/>
          <cell r="D947"/>
          <cell r="E947"/>
          <cell r="F947"/>
          <cell r="G947"/>
          <cell r="H947" t="str">
            <v/>
          </cell>
          <cell r="I947"/>
          <cell r="J947"/>
          <cell r="K947"/>
          <cell r="L947"/>
          <cell r="M947"/>
        </row>
        <row r="948">
          <cell r="A948"/>
          <cell r="B948"/>
          <cell r="C948"/>
          <cell r="D948"/>
          <cell r="E948"/>
          <cell r="F948"/>
          <cell r="G948"/>
          <cell r="H948" t="str">
            <v/>
          </cell>
          <cell r="I948"/>
          <cell r="J948"/>
          <cell r="K948"/>
          <cell r="L948"/>
          <cell r="M948"/>
        </row>
        <row r="949">
          <cell r="A949"/>
          <cell r="B949"/>
          <cell r="C949"/>
          <cell r="D949"/>
          <cell r="E949"/>
          <cell r="F949"/>
          <cell r="G949"/>
          <cell r="H949" t="str">
            <v/>
          </cell>
          <cell r="I949"/>
          <cell r="J949"/>
          <cell r="K949"/>
          <cell r="L949"/>
          <cell r="M949"/>
        </row>
        <row r="950">
          <cell r="A950"/>
          <cell r="B950"/>
          <cell r="C950"/>
          <cell r="D950"/>
          <cell r="E950"/>
          <cell r="F950"/>
          <cell r="G950"/>
          <cell r="H950" t="str">
            <v/>
          </cell>
          <cell r="I950"/>
          <cell r="J950"/>
          <cell r="K950"/>
          <cell r="L950"/>
          <cell r="M950"/>
        </row>
        <row r="951">
          <cell r="A951"/>
          <cell r="B951"/>
          <cell r="C951"/>
          <cell r="D951"/>
          <cell r="E951"/>
          <cell r="F951"/>
          <cell r="G951"/>
          <cell r="H951" t="str">
            <v/>
          </cell>
          <cell r="I951"/>
          <cell r="J951"/>
          <cell r="K951"/>
          <cell r="L951"/>
          <cell r="M951"/>
        </row>
        <row r="952">
          <cell r="A952"/>
          <cell r="B952"/>
          <cell r="C952"/>
          <cell r="D952"/>
          <cell r="E952"/>
          <cell r="F952"/>
          <cell r="G952"/>
          <cell r="H952" t="str">
            <v/>
          </cell>
          <cell r="I952"/>
          <cell r="J952"/>
          <cell r="K952"/>
          <cell r="L952"/>
          <cell r="M952"/>
        </row>
        <row r="953">
          <cell r="A953"/>
          <cell r="B953"/>
          <cell r="C953"/>
          <cell r="D953"/>
          <cell r="E953"/>
          <cell r="F953"/>
          <cell r="G953"/>
          <cell r="H953" t="str">
            <v/>
          </cell>
          <cell r="I953"/>
          <cell r="J953"/>
          <cell r="K953"/>
          <cell r="L953"/>
          <cell r="M953"/>
        </row>
        <row r="954">
          <cell r="A954"/>
          <cell r="B954"/>
          <cell r="C954"/>
          <cell r="D954"/>
          <cell r="E954"/>
          <cell r="F954"/>
          <cell r="G954"/>
          <cell r="H954" t="str">
            <v/>
          </cell>
          <cell r="I954"/>
          <cell r="J954"/>
          <cell r="K954"/>
          <cell r="L954"/>
          <cell r="M954"/>
        </row>
        <row r="955">
          <cell r="A955"/>
          <cell r="B955"/>
          <cell r="C955"/>
          <cell r="D955"/>
          <cell r="E955"/>
          <cell r="F955"/>
          <cell r="G955"/>
          <cell r="H955" t="str">
            <v/>
          </cell>
          <cell r="I955"/>
          <cell r="J955"/>
          <cell r="K955"/>
          <cell r="L955"/>
          <cell r="M955"/>
        </row>
        <row r="956">
          <cell r="A956"/>
          <cell r="B956"/>
          <cell r="C956"/>
          <cell r="D956"/>
          <cell r="E956"/>
          <cell r="F956"/>
          <cell r="G956"/>
          <cell r="H956" t="str">
            <v/>
          </cell>
          <cell r="I956"/>
          <cell r="J956"/>
          <cell r="K956"/>
          <cell r="L956"/>
          <cell r="M956"/>
        </row>
        <row r="957">
          <cell r="A957"/>
          <cell r="B957"/>
          <cell r="C957"/>
          <cell r="D957"/>
          <cell r="E957"/>
          <cell r="F957"/>
          <cell r="G957"/>
          <cell r="H957" t="str">
            <v/>
          </cell>
          <cell r="I957"/>
          <cell r="J957"/>
          <cell r="K957"/>
          <cell r="L957"/>
          <cell r="M957"/>
        </row>
        <row r="958">
          <cell r="A958"/>
          <cell r="B958"/>
          <cell r="C958"/>
          <cell r="D958"/>
          <cell r="E958"/>
          <cell r="F958"/>
          <cell r="G958"/>
          <cell r="H958" t="str">
            <v/>
          </cell>
          <cell r="I958"/>
          <cell r="J958"/>
          <cell r="K958"/>
          <cell r="L958"/>
          <cell r="M958"/>
        </row>
        <row r="959">
          <cell r="A959"/>
          <cell r="B959"/>
          <cell r="C959"/>
          <cell r="D959"/>
          <cell r="E959"/>
          <cell r="F959"/>
          <cell r="G959"/>
          <cell r="H959" t="str">
            <v/>
          </cell>
          <cell r="I959"/>
          <cell r="J959"/>
          <cell r="K959"/>
          <cell r="L959"/>
          <cell r="M959"/>
        </row>
        <row r="960">
          <cell r="A960"/>
          <cell r="B960"/>
          <cell r="C960"/>
          <cell r="D960"/>
          <cell r="E960"/>
          <cell r="F960"/>
          <cell r="G960"/>
          <cell r="H960" t="str">
            <v/>
          </cell>
          <cell r="I960"/>
          <cell r="J960"/>
          <cell r="K960"/>
          <cell r="L960"/>
          <cell r="M960"/>
        </row>
        <row r="961">
          <cell r="A961"/>
          <cell r="B961"/>
          <cell r="C961"/>
          <cell r="D961"/>
          <cell r="E961"/>
          <cell r="F961"/>
          <cell r="G961"/>
          <cell r="H961" t="str">
            <v/>
          </cell>
          <cell r="I961"/>
          <cell r="J961"/>
          <cell r="K961"/>
          <cell r="L961"/>
          <cell r="M961"/>
        </row>
        <row r="962">
          <cell r="A962"/>
          <cell r="B962"/>
          <cell r="C962"/>
          <cell r="D962"/>
          <cell r="E962"/>
          <cell r="F962"/>
          <cell r="G962"/>
          <cell r="H962" t="str">
            <v/>
          </cell>
          <cell r="I962"/>
          <cell r="J962"/>
          <cell r="K962"/>
          <cell r="L962"/>
          <cell r="M962"/>
        </row>
        <row r="963">
          <cell r="A963"/>
          <cell r="B963"/>
          <cell r="C963"/>
          <cell r="D963"/>
          <cell r="E963"/>
          <cell r="F963"/>
          <cell r="G963"/>
          <cell r="H963" t="str">
            <v/>
          </cell>
          <cell r="I963"/>
          <cell r="J963"/>
          <cell r="K963"/>
          <cell r="L963"/>
          <cell r="M963"/>
        </row>
        <row r="964">
          <cell r="A964"/>
          <cell r="B964"/>
          <cell r="C964"/>
          <cell r="D964"/>
          <cell r="E964"/>
          <cell r="F964"/>
          <cell r="G964"/>
          <cell r="H964" t="str">
            <v/>
          </cell>
          <cell r="I964"/>
          <cell r="J964"/>
          <cell r="K964"/>
          <cell r="L964"/>
          <cell r="M964"/>
        </row>
        <row r="965">
          <cell r="A965"/>
          <cell r="B965"/>
          <cell r="C965"/>
          <cell r="D965"/>
          <cell r="E965"/>
          <cell r="F965"/>
          <cell r="G965"/>
          <cell r="H965" t="str">
            <v/>
          </cell>
          <cell r="I965"/>
          <cell r="J965"/>
          <cell r="K965"/>
          <cell r="L965"/>
          <cell r="M965"/>
        </row>
        <row r="966">
          <cell r="A966"/>
          <cell r="B966"/>
          <cell r="C966"/>
          <cell r="D966"/>
          <cell r="E966"/>
          <cell r="F966"/>
          <cell r="G966"/>
          <cell r="H966" t="str">
            <v/>
          </cell>
          <cell r="I966"/>
          <cell r="J966"/>
          <cell r="K966"/>
          <cell r="L966"/>
          <cell r="M966"/>
        </row>
        <row r="967">
          <cell r="A967"/>
          <cell r="B967"/>
          <cell r="C967"/>
          <cell r="D967"/>
          <cell r="E967"/>
          <cell r="F967"/>
          <cell r="G967"/>
          <cell r="H967" t="str">
            <v/>
          </cell>
          <cell r="I967"/>
          <cell r="J967"/>
          <cell r="K967"/>
          <cell r="L967"/>
          <cell r="M967"/>
        </row>
        <row r="968">
          <cell r="A968"/>
          <cell r="B968"/>
          <cell r="C968"/>
          <cell r="D968"/>
          <cell r="E968"/>
          <cell r="F968"/>
          <cell r="G968"/>
          <cell r="H968" t="str">
            <v/>
          </cell>
          <cell r="I968"/>
          <cell r="J968"/>
          <cell r="K968"/>
          <cell r="L968"/>
          <cell r="M968"/>
        </row>
        <row r="969">
          <cell r="A969"/>
          <cell r="B969"/>
          <cell r="C969"/>
          <cell r="D969"/>
          <cell r="E969"/>
          <cell r="F969"/>
          <cell r="G969"/>
          <cell r="H969" t="str">
            <v/>
          </cell>
          <cell r="I969"/>
          <cell r="J969"/>
          <cell r="K969"/>
          <cell r="L969"/>
          <cell r="M969"/>
        </row>
        <row r="970">
          <cell r="A970"/>
          <cell r="B970"/>
          <cell r="C970"/>
          <cell r="D970"/>
          <cell r="E970"/>
          <cell r="F970"/>
          <cell r="G970"/>
          <cell r="H970" t="str">
            <v/>
          </cell>
          <cell r="I970"/>
          <cell r="J970"/>
          <cell r="K970"/>
          <cell r="L970"/>
          <cell r="M970"/>
        </row>
        <row r="971">
          <cell r="A971"/>
          <cell r="B971"/>
          <cell r="C971"/>
          <cell r="D971"/>
          <cell r="E971"/>
          <cell r="F971"/>
          <cell r="G971"/>
          <cell r="H971" t="str">
            <v/>
          </cell>
          <cell r="I971"/>
          <cell r="J971"/>
          <cell r="K971"/>
          <cell r="L971"/>
          <cell r="M971"/>
        </row>
        <row r="972">
          <cell r="A972"/>
          <cell r="B972"/>
          <cell r="C972"/>
          <cell r="D972"/>
          <cell r="E972"/>
          <cell r="F972"/>
          <cell r="G972"/>
          <cell r="H972" t="str">
            <v/>
          </cell>
          <cell r="I972"/>
          <cell r="J972"/>
          <cell r="K972"/>
          <cell r="L972"/>
          <cell r="M972"/>
        </row>
        <row r="973">
          <cell r="A973"/>
          <cell r="B973"/>
          <cell r="C973"/>
          <cell r="D973"/>
          <cell r="E973"/>
          <cell r="F973"/>
          <cell r="G973"/>
          <cell r="H973" t="str">
            <v/>
          </cell>
          <cell r="I973"/>
          <cell r="J973"/>
          <cell r="K973"/>
          <cell r="L973"/>
          <cell r="M973"/>
        </row>
        <row r="974">
          <cell r="A974"/>
          <cell r="B974"/>
          <cell r="C974"/>
          <cell r="D974"/>
          <cell r="E974"/>
          <cell r="F974"/>
          <cell r="G974"/>
          <cell r="H974" t="str">
            <v/>
          </cell>
          <cell r="I974"/>
          <cell r="J974"/>
          <cell r="K974"/>
          <cell r="L974"/>
          <cell r="M974"/>
        </row>
        <row r="975">
          <cell r="A975"/>
          <cell r="B975"/>
          <cell r="C975"/>
          <cell r="D975"/>
          <cell r="E975"/>
          <cell r="F975"/>
          <cell r="G975"/>
          <cell r="H975" t="str">
            <v/>
          </cell>
          <cell r="I975"/>
          <cell r="J975"/>
          <cell r="K975"/>
          <cell r="L975"/>
          <cell r="M975"/>
        </row>
        <row r="976">
          <cell r="A976"/>
          <cell r="B976"/>
          <cell r="C976"/>
          <cell r="D976"/>
          <cell r="E976"/>
          <cell r="F976"/>
          <cell r="G976"/>
          <cell r="H976" t="str">
            <v/>
          </cell>
          <cell r="I976"/>
          <cell r="J976"/>
          <cell r="K976"/>
          <cell r="L976"/>
          <cell r="M976"/>
        </row>
        <row r="977">
          <cell r="A977"/>
          <cell r="B977"/>
          <cell r="C977"/>
          <cell r="D977"/>
          <cell r="E977"/>
          <cell r="F977"/>
          <cell r="G977"/>
          <cell r="H977" t="str">
            <v/>
          </cell>
          <cell r="I977"/>
          <cell r="J977"/>
          <cell r="K977"/>
          <cell r="L977"/>
          <cell r="M977"/>
        </row>
        <row r="978">
          <cell r="A978"/>
          <cell r="B978"/>
          <cell r="C978"/>
          <cell r="D978"/>
          <cell r="E978"/>
          <cell r="F978"/>
          <cell r="G978"/>
          <cell r="H978" t="str">
            <v/>
          </cell>
          <cell r="I978"/>
          <cell r="J978"/>
          <cell r="K978"/>
          <cell r="L978"/>
          <cell r="M978"/>
        </row>
        <row r="979">
          <cell r="A979"/>
          <cell r="B979"/>
          <cell r="C979"/>
          <cell r="D979"/>
          <cell r="E979"/>
          <cell r="F979"/>
          <cell r="G979"/>
          <cell r="H979" t="str">
            <v/>
          </cell>
          <cell r="I979"/>
          <cell r="J979"/>
          <cell r="K979"/>
          <cell r="L979"/>
          <cell r="M979"/>
        </row>
        <row r="980">
          <cell r="A980"/>
          <cell r="B980"/>
          <cell r="C980"/>
          <cell r="D980"/>
          <cell r="E980"/>
          <cell r="F980"/>
          <cell r="G980"/>
          <cell r="H980" t="str">
            <v/>
          </cell>
          <cell r="I980"/>
          <cell r="J980"/>
          <cell r="K980"/>
          <cell r="L980"/>
          <cell r="M980"/>
        </row>
        <row r="981">
          <cell r="A981"/>
          <cell r="B981"/>
          <cell r="C981"/>
          <cell r="D981"/>
          <cell r="E981"/>
          <cell r="F981"/>
          <cell r="G981"/>
          <cell r="H981" t="str">
            <v/>
          </cell>
          <cell r="I981"/>
          <cell r="J981"/>
          <cell r="K981"/>
          <cell r="L981"/>
          <cell r="M981"/>
        </row>
        <row r="982">
          <cell r="A982"/>
          <cell r="B982"/>
          <cell r="C982"/>
          <cell r="D982"/>
          <cell r="E982"/>
          <cell r="F982"/>
          <cell r="G982"/>
          <cell r="H982" t="str">
            <v/>
          </cell>
          <cell r="I982"/>
          <cell r="J982"/>
          <cell r="K982"/>
          <cell r="L982"/>
          <cell r="M982"/>
        </row>
        <row r="983">
          <cell r="A983"/>
          <cell r="B983"/>
          <cell r="C983"/>
          <cell r="D983"/>
          <cell r="E983"/>
          <cell r="F983"/>
          <cell r="G983"/>
          <cell r="H983" t="str">
            <v/>
          </cell>
          <cell r="I983"/>
          <cell r="J983"/>
          <cell r="K983"/>
          <cell r="L983"/>
          <cell r="M983"/>
        </row>
        <row r="984">
          <cell r="A984"/>
          <cell r="B984"/>
          <cell r="C984"/>
          <cell r="D984"/>
          <cell r="E984"/>
          <cell r="F984"/>
          <cell r="G984"/>
          <cell r="H984" t="str">
            <v/>
          </cell>
          <cell r="I984"/>
          <cell r="J984"/>
          <cell r="K984"/>
          <cell r="L984"/>
          <cell r="M984"/>
        </row>
        <row r="985">
          <cell r="A985"/>
          <cell r="B985"/>
          <cell r="C985"/>
          <cell r="D985"/>
          <cell r="E985"/>
          <cell r="F985"/>
          <cell r="G985"/>
          <cell r="H985" t="str">
            <v/>
          </cell>
          <cell r="I985"/>
          <cell r="J985"/>
          <cell r="K985"/>
          <cell r="L985"/>
          <cell r="M985"/>
        </row>
        <row r="986">
          <cell r="A986"/>
          <cell r="B986"/>
          <cell r="C986"/>
          <cell r="D986"/>
          <cell r="E986"/>
          <cell r="F986"/>
          <cell r="G986"/>
          <cell r="H986" t="str">
            <v/>
          </cell>
          <cell r="I986"/>
          <cell r="J986"/>
          <cell r="K986"/>
          <cell r="L986"/>
          <cell r="M986"/>
        </row>
        <row r="987">
          <cell r="A987"/>
          <cell r="B987"/>
          <cell r="C987"/>
          <cell r="D987"/>
          <cell r="E987"/>
          <cell r="F987"/>
          <cell r="G987"/>
          <cell r="H987" t="str">
            <v/>
          </cell>
          <cell r="I987"/>
          <cell r="J987"/>
          <cell r="K987"/>
          <cell r="L987"/>
          <cell r="M987"/>
        </row>
        <row r="988">
          <cell r="A988"/>
          <cell r="B988"/>
          <cell r="C988"/>
          <cell r="D988"/>
          <cell r="E988"/>
          <cell r="F988"/>
          <cell r="G988"/>
          <cell r="H988" t="str">
            <v/>
          </cell>
          <cell r="I988"/>
          <cell r="J988"/>
          <cell r="K988"/>
          <cell r="L988"/>
          <cell r="M988"/>
        </row>
        <row r="989">
          <cell r="A989"/>
          <cell r="B989"/>
          <cell r="C989"/>
          <cell r="D989"/>
          <cell r="E989"/>
          <cell r="F989"/>
          <cell r="G989"/>
          <cell r="H989" t="str">
            <v/>
          </cell>
          <cell r="I989"/>
          <cell r="J989"/>
          <cell r="K989"/>
          <cell r="L989"/>
          <cell r="M989"/>
        </row>
        <row r="990">
          <cell r="A990"/>
          <cell r="B990"/>
          <cell r="C990"/>
          <cell r="D990"/>
          <cell r="E990"/>
          <cell r="F990"/>
          <cell r="G990"/>
          <cell r="H990" t="str">
            <v/>
          </cell>
          <cell r="I990"/>
          <cell r="J990"/>
          <cell r="K990"/>
          <cell r="L990"/>
          <cell r="M990"/>
        </row>
        <row r="991">
          <cell r="A991"/>
          <cell r="B991"/>
          <cell r="C991"/>
          <cell r="D991"/>
          <cell r="E991"/>
          <cell r="F991"/>
          <cell r="G991"/>
          <cell r="H991" t="str">
            <v/>
          </cell>
          <cell r="I991"/>
          <cell r="J991"/>
          <cell r="K991"/>
          <cell r="L991"/>
          <cell r="M991"/>
        </row>
        <row r="992">
          <cell r="A992"/>
          <cell r="B992"/>
          <cell r="C992"/>
          <cell r="D992"/>
          <cell r="E992"/>
          <cell r="F992"/>
          <cell r="G992"/>
          <cell r="H992" t="str">
            <v/>
          </cell>
          <cell r="I992"/>
          <cell r="J992"/>
          <cell r="K992"/>
          <cell r="L992"/>
          <cell r="M992"/>
        </row>
        <row r="993">
          <cell r="A993"/>
          <cell r="B993"/>
          <cell r="C993"/>
          <cell r="D993"/>
          <cell r="E993"/>
          <cell r="F993"/>
          <cell r="G993"/>
          <cell r="H993" t="str">
            <v/>
          </cell>
          <cell r="I993"/>
          <cell r="J993"/>
          <cell r="K993"/>
          <cell r="L993"/>
          <cell r="M993"/>
        </row>
        <row r="994">
          <cell r="A994"/>
          <cell r="B994"/>
          <cell r="C994"/>
          <cell r="D994"/>
          <cell r="E994"/>
          <cell r="F994"/>
          <cell r="G994"/>
          <cell r="H994" t="str">
            <v/>
          </cell>
          <cell r="I994"/>
          <cell r="J994"/>
          <cell r="K994"/>
          <cell r="L994"/>
          <cell r="M994"/>
        </row>
        <row r="995">
          <cell r="A995"/>
          <cell r="B995"/>
          <cell r="C995"/>
          <cell r="D995"/>
          <cell r="E995"/>
          <cell r="F995"/>
          <cell r="G995"/>
          <cell r="H995" t="str">
            <v/>
          </cell>
          <cell r="I995"/>
          <cell r="J995"/>
          <cell r="K995"/>
          <cell r="L995"/>
          <cell r="M995"/>
        </row>
        <row r="996">
          <cell r="A996"/>
          <cell r="B996"/>
          <cell r="C996"/>
          <cell r="D996"/>
          <cell r="E996"/>
          <cell r="F996"/>
          <cell r="G996"/>
          <cell r="H996" t="str">
            <v/>
          </cell>
          <cell r="I996"/>
          <cell r="J996"/>
          <cell r="K996"/>
          <cell r="L996"/>
          <cell r="M996"/>
        </row>
        <row r="997">
          <cell r="A997"/>
          <cell r="B997"/>
          <cell r="C997"/>
          <cell r="D997"/>
          <cell r="E997"/>
          <cell r="F997"/>
          <cell r="G997"/>
          <cell r="H997" t="str">
            <v/>
          </cell>
          <cell r="I997"/>
          <cell r="J997"/>
          <cell r="K997"/>
          <cell r="L997"/>
          <cell r="M997"/>
        </row>
        <row r="998">
          <cell r="A998"/>
          <cell r="B998"/>
          <cell r="C998"/>
          <cell r="D998"/>
          <cell r="E998"/>
          <cell r="F998"/>
          <cell r="G998"/>
          <cell r="H998" t="str">
            <v/>
          </cell>
          <cell r="I998"/>
          <cell r="J998"/>
          <cell r="K998"/>
          <cell r="L998"/>
          <cell r="M998"/>
        </row>
        <row r="999">
          <cell r="A999"/>
          <cell r="B999"/>
          <cell r="C999"/>
          <cell r="D999"/>
          <cell r="E999"/>
          <cell r="F999"/>
          <cell r="G999"/>
          <cell r="H999" t="str">
            <v/>
          </cell>
          <cell r="I999"/>
          <cell r="J999"/>
          <cell r="K999"/>
          <cell r="L999"/>
          <cell r="M999"/>
        </row>
        <row r="1000">
          <cell r="A1000"/>
          <cell r="B1000"/>
          <cell r="C1000"/>
          <cell r="D1000"/>
          <cell r="E1000"/>
          <cell r="F1000"/>
          <cell r="G1000"/>
          <cell r="H1000" t="str">
            <v/>
          </cell>
          <cell r="I1000"/>
          <cell r="J1000"/>
          <cell r="K1000"/>
          <cell r="L1000"/>
          <cell r="M1000"/>
        </row>
        <row r="1001">
          <cell r="A1001"/>
          <cell r="B1001"/>
          <cell r="C1001"/>
          <cell r="D1001"/>
          <cell r="E1001"/>
          <cell r="F1001"/>
          <cell r="G1001"/>
          <cell r="H1001" t="str">
            <v/>
          </cell>
          <cell r="I1001"/>
          <cell r="J1001"/>
          <cell r="K1001"/>
          <cell r="L1001"/>
          <cell r="M1001"/>
        </row>
        <row r="1002">
          <cell r="A1002"/>
          <cell r="B1002"/>
          <cell r="C1002"/>
          <cell r="D1002"/>
          <cell r="E1002"/>
          <cell r="F1002"/>
          <cell r="G1002"/>
          <cell r="H1002" t="str">
            <v/>
          </cell>
          <cell r="I1002"/>
          <cell r="J1002"/>
          <cell r="K1002"/>
          <cell r="L1002"/>
          <cell r="M1002"/>
        </row>
        <row r="1003">
          <cell r="A1003"/>
          <cell r="B1003"/>
          <cell r="C1003"/>
          <cell r="D1003"/>
          <cell r="E1003"/>
          <cell r="F1003"/>
          <cell r="G1003"/>
          <cell r="H1003" t="str">
            <v/>
          </cell>
          <cell r="I1003"/>
          <cell r="J1003"/>
          <cell r="K1003"/>
          <cell r="L1003"/>
          <cell r="M1003"/>
        </row>
        <row r="1004">
          <cell r="A1004"/>
          <cell r="B1004"/>
          <cell r="C1004"/>
          <cell r="D1004"/>
          <cell r="E1004"/>
          <cell r="F1004"/>
          <cell r="G1004"/>
          <cell r="H1004" t="str">
            <v/>
          </cell>
          <cell r="I1004"/>
          <cell r="J1004"/>
          <cell r="K1004"/>
          <cell r="L1004"/>
          <cell r="M1004"/>
        </row>
        <row r="1005">
          <cell r="A1005"/>
          <cell r="B1005"/>
          <cell r="C1005"/>
          <cell r="D1005"/>
          <cell r="E1005"/>
          <cell r="F1005"/>
          <cell r="G1005"/>
          <cell r="H1005" t="str">
            <v/>
          </cell>
          <cell r="I1005"/>
          <cell r="J1005"/>
          <cell r="K1005"/>
          <cell r="L1005"/>
          <cell r="M1005"/>
        </row>
        <row r="1006">
          <cell r="A1006"/>
          <cell r="B1006"/>
          <cell r="C1006"/>
          <cell r="D1006"/>
          <cell r="E1006"/>
          <cell r="F1006"/>
          <cell r="G1006"/>
          <cell r="H1006" t="str">
            <v/>
          </cell>
          <cell r="I1006"/>
          <cell r="J1006"/>
          <cell r="K1006"/>
          <cell r="L1006"/>
          <cell r="M1006"/>
        </row>
        <row r="1007">
          <cell r="A1007"/>
          <cell r="B1007"/>
          <cell r="C1007"/>
          <cell r="D1007"/>
          <cell r="E1007"/>
          <cell r="F1007"/>
          <cell r="G1007"/>
          <cell r="H1007" t="str">
            <v/>
          </cell>
          <cell r="I1007"/>
          <cell r="J1007"/>
          <cell r="K1007"/>
          <cell r="L1007"/>
          <cell r="M1007"/>
        </row>
        <row r="1008">
          <cell r="A1008"/>
          <cell r="B1008"/>
          <cell r="C1008"/>
          <cell r="D1008"/>
          <cell r="E1008"/>
          <cell r="F1008"/>
          <cell r="G1008"/>
          <cell r="H1008" t="str">
            <v/>
          </cell>
          <cell r="I1008"/>
          <cell r="J1008"/>
          <cell r="K1008"/>
          <cell r="L1008"/>
          <cell r="M1008"/>
        </row>
        <row r="1009">
          <cell r="A1009"/>
          <cell r="B1009"/>
          <cell r="C1009"/>
          <cell r="D1009"/>
          <cell r="E1009"/>
          <cell r="F1009"/>
          <cell r="G1009"/>
          <cell r="H1009" t="str">
            <v/>
          </cell>
          <cell r="I1009"/>
          <cell r="J1009"/>
          <cell r="K1009"/>
          <cell r="L1009"/>
          <cell r="M1009"/>
        </row>
        <row r="1010">
          <cell r="A1010"/>
          <cell r="B1010"/>
          <cell r="C1010"/>
          <cell r="D1010"/>
          <cell r="E1010"/>
          <cell r="F1010"/>
          <cell r="G1010"/>
          <cell r="H1010" t="str">
            <v/>
          </cell>
          <cell r="I1010"/>
          <cell r="J1010"/>
          <cell r="K1010"/>
          <cell r="L1010"/>
          <cell r="M1010"/>
        </row>
        <row r="1011">
          <cell r="A1011"/>
          <cell r="B1011"/>
          <cell r="C1011"/>
          <cell r="D1011"/>
          <cell r="E1011"/>
          <cell r="F1011"/>
          <cell r="G1011"/>
          <cell r="H1011" t="str">
            <v/>
          </cell>
          <cell r="I1011"/>
          <cell r="J1011"/>
          <cell r="K1011"/>
          <cell r="L1011"/>
          <cell r="M1011"/>
        </row>
        <row r="1012">
          <cell r="A1012"/>
          <cell r="B1012"/>
          <cell r="C1012"/>
          <cell r="D1012"/>
          <cell r="E1012"/>
          <cell r="F1012"/>
          <cell r="G1012"/>
          <cell r="H1012" t="str">
            <v/>
          </cell>
          <cell r="I1012"/>
          <cell r="J1012"/>
          <cell r="K1012"/>
          <cell r="L1012"/>
          <cell r="M1012"/>
        </row>
        <row r="1013">
          <cell r="A1013"/>
          <cell r="B1013"/>
          <cell r="C1013"/>
          <cell r="D1013"/>
          <cell r="E1013"/>
          <cell r="F1013"/>
          <cell r="G1013"/>
          <cell r="H1013" t="str">
            <v/>
          </cell>
          <cell r="I1013"/>
          <cell r="J1013"/>
          <cell r="K1013"/>
          <cell r="L1013"/>
          <cell r="M1013"/>
        </row>
        <row r="1014">
          <cell r="A1014"/>
          <cell r="B1014"/>
          <cell r="C1014"/>
          <cell r="D1014"/>
          <cell r="E1014"/>
          <cell r="F1014"/>
          <cell r="G1014"/>
          <cell r="H1014" t="str">
            <v/>
          </cell>
          <cell r="I1014"/>
          <cell r="J1014"/>
          <cell r="K1014"/>
          <cell r="L1014"/>
          <cell r="M1014"/>
        </row>
        <row r="1015">
          <cell r="A1015"/>
          <cell r="B1015"/>
          <cell r="C1015"/>
          <cell r="D1015"/>
          <cell r="E1015"/>
          <cell r="F1015"/>
          <cell r="G1015"/>
          <cell r="H1015" t="str">
            <v/>
          </cell>
          <cell r="I1015"/>
          <cell r="J1015"/>
          <cell r="K1015"/>
          <cell r="L1015"/>
          <cell r="M1015"/>
        </row>
        <row r="1016">
          <cell r="A1016"/>
          <cell r="B1016"/>
          <cell r="C1016"/>
          <cell r="D1016"/>
          <cell r="E1016"/>
          <cell r="F1016"/>
          <cell r="G1016"/>
          <cell r="H1016" t="str">
            <v/>
          </cell>
          <cell r="I1016"/>
          <cell r="J1016"/>
          <cell r="K1016"/>
          <cell r="L1016"/>
          <cell r="M1016"/>
        </row>
        <row r="1017">
          <cell r="A1017"/>
          <cell r="B1017"/>
          <cell r="C1017"/>
          <cell r="D1017"/>
          <cell r="E1017"/>
          <cell r="F1017"/>
          <cell r="G1017"/>
          <cell r="H1017" t="str">
            <v/>
          </cell>
          <cell r="I1017"/>
          <cell r="J1017"/>
          <cell r="K1017"/>
          <cell r="L1017"/>
          <cell r="M1017"/>
        </row>
        <row r="1018">
          <cell r="A1018"/>
          <cell r="B1018"/>
          <cell r="C1018"/>
          <cell r="D1018"/>
          <cell r="E1018"/>
          <cell r="F1018"/>
          <cell r="G1018"/>
          <cell r="H1018" t="str">
            <v/>
          </cell>
          <cell r="I1018"/>
          <cell r="J1018"/>
          <cell r="K1018"/>
          <cell r="L1018"/>
          <cell r="M1018"/>
        </row>
        <row r="1019">
          <cell r="A1019"/>
          <cell r="B1019"/>
          <cell r="C1019"/>
          <cell r="D1019"/>
          <cell r="E1019"/>
          <cell r="F1019"/>
          <cell r="G1019"/>
          <cell r="H1019" t="str">
            <v/>
          </cell>
          <cell r="I1019"/>
          <cell r="J1019"/>
          <cell r="K1019"/>
          <cell r="L1019"/>
          <cell r="M1019"/>
        </row>
        <row r="1020">
          <cell r="A1020"/>
          <cell r="B1020"/>
          <cell r="C1020"/>
          <cell r="D1020"/>
          <cell r="E1020"/>
          <cell r="F1020"/>
          <cell r="G1020"/>
          <cell r="H1020" t="str">
            <v/>
          </cell>
          <cell r="I1020"/>
          <cell r="J1020"/>
          <cell r="K1020"/>
          <cell r="L1020"/>
          <cell r="M1020"/>
        </row>
        <row r="1021">
          <cell r="A1021"/>
          <cell r="B1021"/>
          <cell r="C1021"/>
          <cell r="D1021"/>
          <cell r="E1021"/>
          <cell r="F1021"/>
          <cell r="G1021"/>
          <cell r="H1021" t="str">
            <v/>
          </cell>
          <cell r="I1021"/>
          <cell r="J1021"/>
          <cell r="K1021"/>
          <cell r="L1021"/>
          <cell r="M1021"/>
        </row>
        <row r="1022">
          <cell r="A1022"/>
          <cell r="B1022"/>
          <cell r="C1022"/>
          <cell r="D1022"/>
          <cell r="E1022"/>
          <cell r="F1022"/>
          <cell r="G1022"/>
          <cell r="H1022" t="str">
            <v/>
          </cell>
          <cell r="I1022"/>
          <cell r="J1022"/>
          <cell r="K1022"/>
          <cell r="L1022"/>
          <cell r="M1022"/>
        </row>
        <row r="1023">
          <cell r="A1023"/>
          <cell r="B1023"/>
          <cell r="C1023"/>
          <cell r="D1023"/>
          <cell r="E1023"/>
          <cell r="F1023"/>
          <cell r="G1023"/>
          <cell r="H1023" t="str">
            <v/>
          </cell>
          <cell r="I1023"/>
          <cell r="J1023"/>
          <cell r="K1023"/>
          <cell r="L1023"/>
          <cell r="M1023"/>
        </row>
        <row r="1024">
          <cell r="A1024"/>
          <cell r="B1024"/>
          <cell r="C1024"/>
          <cell r="D1024"/>
          <cell r="E1024"/>
          <cell r="F1024"/>
          <cell r="G1024"/>
          <cell r="H1024" t="str">
            <v/>
          </cell>
          <cell r="I1024"/>
          <cell r="J1024"/>
          <cell r="K1024"/>
          <cell r="L1024"/>
          <cell r="M1024"/>
        </row>
        <row r="1025">
          <cell r="A1025"/>
          <cell r="B1025"/>
          <cell r="C1025"/>
          <cell r="D1025"/>
          <cell r="E1025"/>
          <cell r="F1025"/>
          <cell r="G1025"/>
          <cell r="H1025" t="str">
            <v/>
          </cell>
          <cell r="I1025"/>
          <cell r="J1025"/>
          <cell r="K1025"/>
          <cell r="L1025"/>
          <cell r="M1025"/>
        </row>
        <row r="1026">
          <cell r="A1026"/>
          <cell r="B1026"/>
          <cell r="C1026"/>
          <cell r="D1026"/>
          <cell r="E1026"/>
          <cell r="F1026"/>
          <cell r="G1026"/>
          <cell r="H1026" t="str">
            <v/>
          </cell>
          <cell r="I1026"/>
          <cell r="J1026"/>
          <cell r="K1026"/>
          <cell r="L1026"/>
          <cell r="M1026"/>
        </row>
        <row r="1027">
          <cell r="A1027"/>
          <cell r="B1027"/>
          <cell r="C1027"/>
          <cell r="D1027"/>
          <cell r="E1027"/>
          <cell r="F1027"/>
          <cell r="G1027"/>
          <cell r="H1027" t="str">
            <v/>
          </cell>
          <cell r="I1027"/>
          <cell r="J1027"/>
          <cell r="K1027"/>
          <cell r="L1027"/>
          <cell r="M1027"/>
        </row>
        <row r="1028">
          <cell r="A1028"/>
          <cell r="B1028"/>
          <cell r="C1028"/>
          <cell r="D1028"/>
          <cell r="E1028"/>
          <cell r="F1028"/>
          <cell r="G1028"/>
          <cell r="H1028" t="str">
            <v/>
          </cell>
          <cell r="I1028"/>
          <cell r="J1028"/>
          <cell r="K1028"/>
          <cell r="L1028"/>
          <cell r="M1028"/>
        </row>
        <row r="1029">
          <cell r="A1029"/>
          <cell r="B1029"/>
          <cell r="C1029"/>
          <cell r="D1029"/>
          <cell r="E1029"/>
          <cell r="F1029"/>
          <cell r="G1029"/>
          <cell r="H1029" t="str">
            <v/>
          </cell>
          <cell r="I1029"/>
          <cell r="J1029"/>
          <cell r="K1029"/>
          <cell r="L1029"/>
          <cell r="M1029"/>
        </row>
        <row r="1030">
          <cell r="A1030"/>
          <cell r="B1030"/>
          <cell r="C1030"/>
          <cell r="D1030"/>
          <cell r="E1030"/>
          <cell r="F1030"/>
          <cell r="G1030"/>
          <cell r="H1030" t="str">
            <v/>
          </cell>
          <cell r="I1030"/>
          <cell r="J1030"/>
          <cell r="K1030"/>
          <cell r="L1030"/>
          <cell r="M1030"/>
        </row>
        <row r="1031">
          <cell r="A1031"/>
          <cell r="B1031"/>
          <cell r="C1031"/>
          <cell r="D1031"/>
          <cell r="E1031"/>
          <cell r="F1031"/>
          <cell r="G1031"/>
          <cell r="H1031" t="str">
            <v/>
          </cell>
          <cell r="I1031"/>
          <cell r="J1031"/>
          <cell r="K1031"/>
          <cell r="L1031"/>
          <cell r="M1031"/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fiscal@truckpag.com.br" TargetMode="External"/><Relationship Id="rId2" Type="http://schemas.openxmlformats.org/officeDocument/2006/relationships/hyperlink" Target="mailto:sergiosilvaferreira99@gmail.com" TargetMode="External"/><Relationship Id="rId1" Type="http://schemas.openxmlformats.org/officeDocument/2006/relationships/hyperlink" Target="mailto:contapedagio@nstechfin.com.br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blvesmvn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pedagio@nstechfin.com.br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036E-E9D4-423B-A86B-4C2D2C788658}">
  <sheetPr filterMode="1">
    <pageSetUpPr fitToPage="1"/>
  </sheetPr>
  <dimension ref="A1:R188"/>
  <sheetViews>
    <sheetView zoomScale="85" zoomScaleNormal="85" workbookViewId="0">
      <pane ySplit="4" topLeftCell="A67" activePane="bottomLeft" state="frozen"/>
      <selection pane="bottomLeft" activeCell="B69" sqref="B69:E171"/>
      <selection activeCell="B1" sqref="B1"/>
    </sheetView>
  </sheetViews>
  <sheetFormatPr defaultRowHeight="15"/>
  <cols>
    <col min="1" max="1" width="10" style="4" hidden="1" customWidth="1"/>
    <col min="2" max="2" width="103.7109375" customWidth="1"/>
    <col min="3" max="3" width="12.7109375" style="4" customWidth="1"/>
    <col min="4" max="4" width="22.85546875" style="35" customWidth="1"/>
    <col min="5" max="6" width="12.7109375" style="2" customWidth="1"/>
    <col min="7" max="7" width="13.42578125" bestFit="1" customWidth="1"/>
    <col min="8" max="8" width="2.42578125" customWidth="1"/>
    <col min="9" max="9" width="18.7109375" customWidth="1"/>
    <col min="10" max="10" width="14.7109375" customWidth="1"/>
    <col min="11" max="11" width="2.7109375" customWidth="1"/>
    <col min="12" max="12" width="104" style="26" customWidth="1"/>
    <col min="13" max="13" width="75.85546875" style="2" customWidth="1"/>
    <col min="14" max="14" width="10.5703125" style="2" customWidth="1"/>
    <col min="15" max="15" width="12.42578125" style="2" bestFit="1" customWidth="1"/>
    <col min="16" max="16" width="8.7109375" bestFit="1" customWidth="1"/>
    <col min="17" max="18" width="12.7109375" style="1" customWidth="1"/>
  </cols>
  <sheetData>
    <row r="1" spans="1:18" ht="31.5" customHeight="1" thickBot="1">
      <c r="A1" s="591" t="s">
        <v>0</v>
      </c>
      <c r="B1" s="592"/>
      <c r="C1" s="592"/>
      <c r="D1" s="592"/>
      <c r="E1" s="593"/>
      <c r="F1" s="12" t="s">
        <v>1</v>
      </c>
      <c r="G1" s="13">
        <f ca="1">TODAY()</f>
        <v>46318</v>
      </c>
      <c r="H1" s="7"/>
      <c r="I1" s="594" t="s">
        <v>2</v>
      </c>
      <c r="J1" s="595"/>
      <c r="L1" s="594"/>
      <c r="M1" s="595"/>
    </row>
    <row r="2" spans="1:18" ht="15.75" thickBot="1">
      <c r="A2" s="8" t="s">
        <v>3</v>
      </c>
      <c r="B2" s="9" t="s">
        <v>4</v>
      </c>
      <c r="C2" s="9" t="s">
        <v>5</v>
      </c>
      <c r="D2" s="30" t="s">
        <v>6</v>
      </c>
      <c r="E2" s="10" t="s">
        <v>7</v>
      </c>
      <c r="F2" s="10" t="s">
        <v>8</v>
      </c>
      <c r="G2" s="11" t="s">
        <v>9</v>
      </c>
      <c r="H2" s="6"/>
      <c r="I2" s="596" t="s">
        <v>10</v>
      </c>
      <c r="J2" s="597"/>
      <c r="L2" s="598" t="s">
        <v>11</v>
      </c>
      <c r="M2" s="599"/>
      <c r="N2" s="5"/>
      <c r="O2" s="5"/>
      <c r="Q2" s="5"/>
      <c r="R2" s="5"/>
    </row>
    <row r="3" spans="1:18" ht="15" hidden="1" customHeight="1">
      <c r="A3" s="447">
        <v>46093</v>
      </c>
      <c r="B3" s="448" t="s">
        <v>12</v>
      </c>
      <c r="C3" s="138" t="s">
        <v>13</v>
      </c>
      <c r="D3" s="139">
        <v>2091.67</v>
      </c>
      <c r="E3" s="447">
        <v>46204</v>
      </c>
      <c r="F3" s="447">
        <v>46205</v>
      </c>
      <c r="G3" s="449">
        <f>IF(F3&gt;0,0,D3)</f>
        <v>0</v>
      </c>
      <c r="H3" s="14"/>
      <c r="I3" s="15" t="s">
        <v>14</v>
      </c>
      <c r="J3" s="16">
        <f>G168-J168</f>
        <v>0</v>
      </c>
      <c r="K3" s="14"/>
      <c r="L3" s="600" t="s">
        <v>15</v>
      </c>
      <c r="M3" s="601"/>
      <c r="Q3" s="3"/>
      <c r="R3" s="3"/>
    </row>
    <row r="4" spans="1:18" ht="15" hidden="1" customHeight="1">
      <c r="A4" s="447">
        <v>46093</v>
      </c>
      <c r="B4" s="18" t="s">
        <v>16</v>
      </c>
      <c r="C4" s="138" t="s">
        <v>13</v>
      </c>
      <c r="D4" s="139">
        <v>6000</v>
      </c>
      <c r="E4" s="447">
        <v>46205</v>
      </c>
      <c r="F4" s="447">
        <v>46205</v>
      </c>
      <c r="G4" s="449">
        <f>IF(F4&gt;0,0,D4)</f>
        <v>0</v>
      </c>
      <c r="H4" s="14"/>
      <c r="I4" s="450">
        <v>46143</v>
      </c>
      <c r="J4" s="451">
        <f>SUMIF($E$3:$E$166,I4,$G$3:$G$166)</f>
        <v>0</v>
      </c>
      <c r="K4" s="14"/>
      <c r="L4" s="602" t="s">
        <v>17</v>
      </c>
      <c r="M4" s="602"/>
    </row>
    <row r="5" spans="1:18" ht="15" hidden="1" customHeight="1">
      <c r="A5" s="447"/>
      <c r="B5" s="448" t="s">
        <v>18</v>
      </c>
      <c r="C5" s="138" t="s">
        <v>19</v>
      </c>
      <c r="D5" s="139">
        <v>1200</v>
      </c>
      <c r="E5" s="447">
        <v>46209</v>
      </c>
      <c r="F5" s="447">
        <v>46209</v>
      </c>
      <c r="G5" s="449">
        <f>IF(F5&gt;0,0,D5)</f>
        <v>0</v>
      </c>
      <c r="H5" s="14"/>
      <c r="I5" s="450">
        <v>46146</v>
      </c>
      <c r="J5" s="451"/>
      <c r="K5" s="14"/>
      <c r="L5" s="542"/>
      <c r="M5" s="543"/>
    </row>
    <row r="6" spans="1:18" ht="15" hidden="1" customHeight="1">
      <c r="A6" s="447"/>
      <c r="B6" s="448" t="s">
        <v>20</v>
      </c>
      <c r="C6" s="138" t="s">
        <v>19</v>
      </c>
      <c r="D6" s="139">
        <v>2100</v>
      </c>
      <c r="E6" s="447">
        <v>46209</v>
      </c>
      <c r="F6" s="447">
        <v>46209</v>
      </c>
      <c r="G6" s="449"/>
      <c r="H6" s="14"/>
      <c r="I6" s="450"/>
      <c r="J6" s="451"/>
      <c r="K6" s="14"/>
      <c r="L6" s="542"/>
      <c r="M6" s="543"/>
    </row>
    <row r="7" spans="1:18" ht="15" hidden="1" customHeight="1">
      <c r="A7" s="447"/>
      <c r="B7" s="448" t="s">
        <v>21</v>
      </c>
      <c r="C7" s="138" t="s">
        <v>19</v>
      </c>
      <c r="D7" s="139">
        <v>1250</v>
      </c>
      <c r="E7" s="447">
        <v>46209</v>
      </c>
      <c r="F7" s="447">
        <v>46209</v>
      </c>
      <c r="G7" s="449"/>
      <c r="H7" s="14"/>
      <c r="I7" s="450"/>
      <c r="J7" s="451"/>
      <c r="K7" s="14"/>
      <c r="L7" s="542" t="s">
        <v>22</v>
      </c>
      <c r="M7" s="543"/>
      <c r="R7"/>
    </row>
    <row r="8" spans="1:18" ht="15" hidden="1" customHeight="1">
      <c r="A8" s="447"/>
      <c r="B8" s="448" t="s">
        <v>23</v>
      </c>
      <c r="C8" s="138" t="s">
        <v>19</v>
      </c>
      <c r="D8" s="139">
        <v>3990</v>
      </c>
      <c r="E8" s="447">
        <v>46209</v>
      </c>
      <c r="F8" s="447">
        <v>46209</v>
      </c>
      <c r="G8" s="449"/>
      <c r="H8" s="14"/>
      <c r="I8" s="450"/>
      <c r="J8" s="451"/>
      <c r="K8" s="14"/>
      <c r="L8" s="542" t="s">
        <v>24</v>
      </c>
      <c r="M8" s="543"/>
      <c r="R8"/>
    </row>
    <row r="9" spans="1:18" ht="15" hidden="1" customHeight="1">
      <c r="A9" s="447"/>
      <c r="B9" s="448" t="s">
        <v>25</v>
      </c>
      <c r="C9" s="138" t="s">
        <v>19</v>
      </c>
      <c r="D9" s="139">
        <v>957.49</v>
      </c>
      <c r="E9" s="447">
        <v>46209</v>
      </c>
      <c r="F9" s="447">
        <v>46209</v>
      </c>
      <c r="G9" s="449"/>
      <c r="H9" s="14"/>
      <c r="I9" s="450"/>
      <c r="J9" s="451"/>
      <c r="K9" s="14"/>
      <c r="L9" s="542"/>
      <c r="M9" s="543"/>
      <c r="R9"/>
    </row>
    <row r="10" spans="1:18" ht="15" hidden="1" customHeight="1">
      <c r="A10" s="447"/>
      <c r="B10" s="448" t="s">
        <v>26</v>
      </c>
      <c r="C10" s="138" t="s">
        <v>19</v>
      </c>
      <c r="D10" s="139">
        <v>4545</v>
      </c>
      <c r="E10" s="447">
        <v>46209</v>
      </c>
      <c r="F10" s="447">
        <v>46209</v>
      </c>
      <c r="G10" s="449"/>
      <c r="H10" s="14"/>
      <c r="I10" s="450"/>
      <c r="J10" s="451"/>
      <c r="K10" s="14"/>
      <c r="L10" s="542"/>
      <c r="M10" s="543"/>
      <c r="R10"/>
    </row>
    <row r="11" spans="1:18" ht="15" hidden="1" customHeight="1">
      <c r="A11" s="447"/>
      <c r="B11" s="448" t="s">
        <v>27</v>
      </c>
      <c r="C11" s="138" t="s">
        <v>19</v>
      </c>
      <c r="D11" s="139">
        <v>3800</v>
      </c>
      <c r="E11" s="447">
        <v>46209</v>
      </c>
      <c r="F11" s="447">
        <v>46209</v>
      </c>
      <c r="G11" s="449"/>
      <c r="H11" s="14"/>
      <c r="I11" s="450"/>
      <c r="J11" s="451"/>
      <c r="K11" s="14"/>
      <c r="L11" s="542" t="s">
        <v>28</v>
      </c>
      <c r="M11" s="543"/>
      <c r="R11"/>
    </row>
    <row r="12" spans="1:18" ht="15" hidden="1" customHeight="1">
      <c r="A12" s="447"/>
      <c r="B12" s="448" t="s">
        <v>29</v>
      </c>
      <c r="C12" s="138" t="s">
        <v>19</v>
      </c>
      <c r="D12" s="139">
        <v>7285.5</v>
      </c>
      <c r="E12" s="447">
        <v>46209</v>
      </c>
      <c r="F12" s="447">
        <v>46209</v>
      </c>
      <c r="G12" s="449"/>
      <c r="H12" s="14"/>
      <c r="I12" s="450"/>
      <c r="J12" s="451"/>
      <c r="K12" s="14"/>
      <c r="L12" s="542"/>
      <c r="M12" s="543"/>
      <c r="R12"/>
    </row>
    <row r="13" spans="1:18" ht="15" hidden="1" customHeight="1">
      <c r="A13" s="447"/>
      <c r="B13" s="448" t="s">
        <v>30</v>
      </c>
      <c r="C13" s="138" t="s">
        <v>19</v>
      </c>
      <c r="D13" s="139">
        <v>1500</v>
      </c>
      <c r="E13" s="447">
        <v>46209</v>
      </c>
      <c r="F13" s="447">
        <v>46209</v>
      </c>
      <c r="G13" s="449"/>
      <c r="H13" s="14"/>
      <c r="I13" s="450"/>
      <c r="J13" s="451"/>
      <c r="K13" s="14"/>
      <c r="L13" s="542"/>
      <c r="M13" s="543"/>
      <c r="R13"/>
    </row>
    <row r="14" spans="1:18" ht="15" hidden="1" customHeight="1">
      <c r="A14" s="447"/>
      <c r="B14" s="448" t="s">
        <v>30</v>
      </c>
      <c r="C14" s="138" t="s">
        <v>19</v>
      </c>
      <c r="D14" s="139">
        <v>1500</v>
      </c>
      <c r="E14" s="447">
        <v>46209</v>
      </c>
      <c r="F14" s="447">
        <v>46209</v>
      </c>
      <c r="G14" s="449"/>
      <c r="H14" s="14"/>
      <c r="I14" s="450"/>
      <c r="J14" s="451"/>
      <c r="K14" s="14"/>
      <c r="L14" s="542"/>
      <c r="M14" s="543"/>
      <c r="R14"/>
    </row>
    <row r="15" spans="1:18" ht="15" hidden="1" customHeight="1">
      <c r="A15" s="447"/>
      <c r="B15" s="452" t="s">
        <v>31</v>
      </c>
      <c r="C15" s="138" t="s">
        <v>32</v>
      </c>
      <c r="D15" s="139">
        <v>190</v>
      </c>
      <c r="E15" s="447">
        <v>46209</v>
      </c>
      <c r="F15" s="447">
        <v>46209</v>
      </c>
      <c r="G15" s="449"/>
      <c r="H15" s="14"/>
      <c r="I15" s="450"/>
      <c r="J15" s="451"/>
      <c r="K15" s="14"/>
      <c r="L15" s="542"/>
      <c r="M15" s="543"/>
      <c r="R15"/>
    </row>
    <row r="16" spans="1:18" ht="15" hidden="1" customHeight="1">
      <c r="A16" s="447"/>
      <c r="B16" s="452" t="s">
        <v>33</v>
      </c>
      <c r="C16" s="138" t="s">
        <v>32</v>
      </c>
      <c r="D16" s="139">
        <v>4802</v>
      </c>
      <c r="E16" s="447">
        <v>46209</v>
      </c>
      <c r="F16" s="447">
        <v>46209</v>
      </c>
      <c r="G16" s="449"/>
      <c r="H16" s="14"/>
      <c r="I16" s="450"/>
      <c r="J16" s="451"/>
      <c r="K16" s="14"/>
      <c r="L16" s="542"/>
      <c r="M16" s="543"/>
      <c r="R16"/>
    </row>
    <row r="17" spans="1:18" ht="15" hidden="1" customHeight="1">
      <c r="A17" s="447"/>
      <c r="B17" s="452" t="s">
        <v>34</v>
      </c>
      <c r="C17" s="138" t="s">
        <v>32</v>
      </c>
      <c r="D17" s="453">
        <v>1100</v>
      </c>
      <c r="E17" s="447">
        <v>46210</v>
      </c>
      <c r="F17" s="447">
        <v>46210</v>
      </c>
      <c r="G17" s="449"/>
      <c r="H17" s="14"/>
      <c r="I17" s="450"/>
      <c r="J17" s="451"/>
      <c r="K17" s="14"/>
      <c r="L17" s="542"/>
      <c r="M17" s="543"/>
      <c r="R17"/>
    </row>
    <row r="18" spans="1:18" ht="15" hidden="1" customHeight="1">
      <c r="A18" s="447"/>
      <c r="B18" s="452" t="s">
        <v>35</v>
      </c>
      <c r="C18" s="138" t="s">
        <v>32</v>
      </c>
      <c r="D18" s="139">
        <v>350</v>
      </c>
      <c r="E18" s="447">
        <v>46209</v>
      </c>
      <c r="F18" s="447">
        <v>46209</v>
      </c>
      <c r="G18" s="449"/>
      <c r="H18" s="14"/>
      <c r="I18" s="450"/>
      <c r="J18" s="451"/>
      <c r="K18" s="14"/>
      <c r="L18" s="542"/>
      <c r="M18" s="543"/>
      <c r="R18"/>
    </row>
    <row r="19" spans="1:18" ht="15" hidden="1" customHeight="1">
      <c r="A19" s="447"/>
      <c r="B19" s="452" t="s">
        <v>36</v>
      </c>
      <c r="C19" s="138" t="s">
        <v>32</v>
      </c>
      <c r="D19" s="139">
        <v>195</v>
      </c>
      <c r="E19" s="447">
        <v>46212</v>
      </c>
      <c r="F19" s="447">
        <v>46212</v>
      </c>
      <c r="G19" s="449"/>
      <c r="H19" s="14"/>
      <c r="I19" s="450"/>
      <c r="J19" s="451"/>
      <c r="K19" s="14"/>
      <c r="L19" s="542"/>
      <c r="M19" s="543"/>
      <c r="R19"/>
    </row>
    <row r="20" spans="1:18" ht="15" hidden="1" customHeight="1">
      <c r="A20" s="447"/>
      <c r="B20" s="452" t="s">
        <v>37</v>
      </c>
      <c r="C20" s="138" t="s">
        <v>32</v>
      </c>
      <c r="D20" s="139">
        <v>578</v>
      </c>
      <c r="E20" s="447">
        <v>46209</v>
      </c>
      <c r="F20" s="447">
        <v>46209</v>
      </c>
      <c r="G20" s="449"/>
      <c r="H20" s="14"/>
      <c r="I20" s="450"/>
      <c r="J20" s="451"/>
      <c r="K20" s="14"/>
      <c r="L20" s="542"/>
      <c r="M20" s="543"/>
      <c r="R20"/>
    </row>
    <row r="21" spans="1:18" ht="15" hidden="1" customHeight="1">
      <c r="A21" s="447"/>
      <c r="B21" s="452" t="s">
        <v>38</v>
      </c>
      <c r="C21" s="138" t="s">
        <v>32</v>
      </c>
      <c r="D21" s="139">
        <v>9000</v>
      </c>
      <c r="E21" s="447">
        <v>46213</v>
      </c>
      <c r="F21" s="447">
        <v>46213</v>
      </c>
      <c r="G21" s="449"/>
      <c r="H21" s="14"/>
      <c r="I21" s="450"/>
      <c r="J21" s="451"/>
      <c r="K21" s="14"/>
      <c r="L21" s="542"/>
      <c r="M21" s="543"/>
      <c r="R21"/>
    </row>
    <row r="22" spans="1:18" ht="15" hidden="1" customHeight="1">
      <c r="A22" s="447"/>
      <c r="B22" s="452" t="s">
        <v>39</v>
      </c>
      <c r="C22" s="138" t="s">
        <v>32</v>
      </c>
      <c r="D22" s="139">
        <v>17.899999999999999</v>
      </c>
      <c r="E22" s="447">
        <v>46213</v>
      </c>
      <c r="F22" s="447">
        <v>46213</v>
      </c>
      <c r="G22" s="449"/>
      <c r="H22" s="14"/>
      <c r="I22" s="450"/>
      <c r="J22" s="451"/>
      <c r="K22" s="14"/>
      <c r="L22" s="542"/>
      <c r="M22" s="543"/>
      <c r="R22"/>
    </row>
    <row r="23" spans="1:18" ht="15" hidden="1" customHeight="1">
      <c r="A23" s="447"/>
      <c r="B23" s="452" t="s">
        <v>40</v>
      </c>
      <c r="C23" s="138" t="s">
        <v>32</v>
      </c>
      <c r="D23" s="139">
        <v>500</v>
      </c>
      <c r="E23" s="447">
        <v>46216</v>
      </c>
      <c r="F23" s="447">
        <v>46216</v>
      </c>
      <c r="G23" s="449"/>
      <c r="H23" s="14"/>
      <c r="I23" s="450"/>
      <c r="J23" s="451"/>
      <c r="K23" s="14"/>
      <c r="L23" s="542"/>
      <c r="M23" s="543"/>
      <c r="R23"/>
    </row>
    <row r="24" spans="1:18" ht="15" hidden="1" customHeight="1">
      <c r="A24" s="447"/>
      <c r="B24" s="452" t="s">
        <v>41</v>
      </c>
      <c r="C24" s="138" t="s">
        <v>32</v>
      </c>
      <c r="D24" s="139">
        <v>33.229999999999997</v>
      </c>
      <c r="E24" s="447">
        <v>46218</v>
      </c>
      <c r="F24" s="447">
        <v>46218</v>
      </c>
      <c r="G24" s="449"/>
      <c r="H24" s="14"/>
      <c r="I24" s="450"/>
      <c r="J24" s="451"/>
      <c r="K24" s="14"/>
      <c r="L24" s="542"/>
      <c r="M24" s="543"/>
      <c r="R24"/>
    </row>
    <row r="25" spans="1:18" ht="15" hidden="1" customHeight="1">
      <c r="A25" s="447"/>
      <c r="B25" s="452" t="s">
        <v>42</v>
      </c>
      <c r="C25" s="138" t="s">
        <v>32</v>
      </c>
      <c r="D25" s="139">
        <v>14.6</v>
      </c>
      <c r="E25" s="447">
        <v>46218</v>
      </c>
      <c r="F25" s="447">
        <v>46218</v>
      </c>
      <c r="G25" s="449"/>
      <c r="H25" s="14"/>
      <c r="I25" s="450"/>
      <c r="J25" s="451"/>
      <c r="K25" s="14"/>
      <c r="L25" s="542"/>
      <c r="M25" s="543"/>
      <c r="R25"/>
    </row>
    <row r="26" spans="1:18" ht="15" hidden="1" customHeight="1">
      <c r="A26" s="447"/>
      <c r="B26" s="452" t="s">
        <v>43</v>
      </c>
      <c r="C26" s="138" t="s">
        <v>32</v>
      </c>
      <c r="D26" s="139">
        <v>545.08000000000004</v>
      </c>
      <c r="E26" s="447">
        <v>46218</v>
      </c>
      <c r="F26" s="447">
        <v>46218</v>
      </c>
      <c r="G26" s="449"/>
      <c r="H26" s="14"/>
      <c r="I26" s="450"/>
      <c r="J26" s="451"/>
      <c r="K26" s="14"/>
      <c r="L26" s="542"/>
      <c r="M26" s="543"/>
      <c r="R26"/>
    </row>
    <row r="27" spans="1:18" ht="15" hidden="1" customHeight="1">
      <c r="A27" s="447"/>
      <c r="B27" s="452" t="s">
        <v>44</v>
      </c>
      <c r="C27" s="138" t="s">
        <v>32</v>
      </c>
      <c r="D27" s="139">
        <v>114.09</v>
      </c>
      <c r="E27" s="447">
        <v>46213</v>
      </c>
      <c r="F27" s="447">
        <v>46213</v>
      </c>
      <c r="G27" s="449"/>
      <c r="H27" s="14"/>
      <c r="I27" s="450"/>
      <c r="J27" s="451"/>
      <c r="K27" s="14"/>
      <c r="L27" s="542"/>
      <c r="M27" s="543"/>
      <c r="R27"/>
    </row>
    <row r="28" spans="1:18" ht="15" hidden="1" customHeight="1">
      <c r="A28" s="447"/>
      <c r="B28" s="448" t="s">
        <v>45</v>
      </c>
      <c r="C28" s="138" t="s">
        <v>19</v>
      </c>
      <c r="D28" s="139">
        <f>6000-1000</f>
        <v>5000</v>
      </c>
      <c r="E28" s="447">
        <v>46209</v>
      </c>
      <c r="F28" s="447">
        <v>46209</v>
      </c>
      <c r="G28" s="449"/>
      <c r="H28" s="14"/>
      <c r="I28" s="450"/>
      <c r="J28" s="451"/>
      <c r="K28" s="14"/>
      <c r="L28" s="542" t="s">
        <v>46</v>
      </c>
      <c r="M28" s="543"/>
      <c r="R28"/>
    </row>
    <row r="29" spans="1:18" ht="15" hidden="1" customHeight="1">
      <c r="A29" s="447"/>
      <c r="B29" s="448" t="s">
        <v>47</v>
      </c>
      <c r="C29" s="138" t="s">
        <v>19</v>
      </c>
      <c r="D29" s="139">
        <v>1800</v>
      </c>
      <c r="E29" s="447">
        <v>46209</v>
      </c>
      <c r="F29" s="447">
        <v>46209</v>
      </c>
      <c r="G29" s="449"/>
      <c r="H29" s="14"/>
      <c r="I29" s="450"/>
      <c r="J29" s="451"/>
      <c r="K29" s="14"/>
      <c r="L29" s="542"/>
      <c r="M29" s="543"/>
      <c r="R29"/>
    </row>
    <row r="30" spans="1:18" ht="15" hidden="1" customHeight="1">
      <c r="A30" s="447"/>
      <c r="B30" s="448" t="s">
        <v>48</v>
      </c>
      <c r="C30" s="138" t="s">
        <v>19</v>
      </c>
      <c r="D30" s="454">
        <f>9455.07-3000</f>
        <v>6455.07</v>
      </c>
      <c r="E30" s="447">
        <v>46209</v>
      </c>
      <c r="F30" s="447">
        <v>46209</v>
      </c>
      <c r="G30" s="449"/>
      <c r="H30" s="14"/>
      <c r="I30" s="450"/>
      <c r="J30" s="451"/>
      <c r="K30" s="14"/>
      <c r="L30" s="603" t="s">
        <v>49</v>
      </c>
      <c r="M30" s="604"/>
      <c r="R30"/>
    </row>
    <row r="31" spans="1:18" ht="15" hidden="1" customHeight="1">
      <c r="A31" s="447"/>
      <c r="B31" s="448" t="s">
        <v>50</v>
      </c>
      <c r="C31" s="138" t="s">
        <v>19</v>
      </c>
      <c r="D31" s="454">
        <v>330</v>
      </c>
      <c r="E31" s="447">
        <v>46209</v>
      </c>
      <c r="F31" s="447">
        <v>46209</v>
      </c>
      <c r="G31" s="449"/>
      <c r="H31" s="14"/>
      <c r="I31" s="450"/>
      <c r="J31" s="451"/>
      <c r="K31" s="14"/>
      <c r="L31" s="537"/>
      <c r="M31" s="538"/>
      <c r="R31"/>
    </row>
    <row r="32" spans="1:18" ht="15" hidden="1" customHeight="1">
      <c r="A32" s="447"/>
      <c r="B32" s="448" t="s">
        <v>51</v>
      </c>
      <c r="C32" s="138" t="s">
        <v>19</v>
      </c>
      <c r="D32" s="454">
        <f>12102-3000</f>
        <v>9102</v>
      </c>
      <c r="E32" s="447">
        <v>46209</v>
      </c>
      <c r="F32" s="447">
        <v>46209</v>
      </c>
      <c r="G32" s="449"/>
      <c r="H32" s="14"/>
      <c r="I32" s="450"/>
      <c r="J32" s="451"/>
      <c r="K32" s="14"/>
      <c r="L32" s="537" t="s">
        <v>52</v>
      </c>
      <c r="M32" s="538"/>
      <c r="R32"/>
    </row>
    <row r="33" spans="1:18" s="24" customFormat="1" ht="15" hidden="1" customHeight="1">
      <c r="A33" s="455">
        <v>46093</v>
      </c>
      <c r="B33" s="448" t="s">
        <v>53</v>
      </c>
      <c r="C33" s="138" t="s">
        <v>19</v>
      </c>
      <c r="D33" s="454">
        <f>12302-3000</f>
        <v>9302</v>
      </c>
      <c r="E33" s="447">
        <v>46209</v>
      </c>
      <c r="F33" s="447">
        <v>46209</v>
      </c>
      <c r="G33" s="449">
        <f>IF(F33&gt;0,0,D33)</f>
        <v>0</v>
      </c>
      <c r="H33" s="21"/>
      <c r="I33" s="450">
        <v>46147</v>
      </c>
      <c r="J33" s="456">
        <f>SUMIF($E$3:$E$166,I33,$G$3:$G$166)</f>
        <v>0</v>
      </c>
      <c r="K33" s="21"/>
      <c r="L33" s="605" t="s">
        <v>54</v>
      </c>
      <c r="M33" s="606"/>
      <c r="N33" s="22"/>
      <c r="O33" s="22"/>
      <c r="Q33" s="23"/>
      <c r="R33" s="1"/>
    </row>
    <row r="34" spans="1:18" s="24" customFormat="1" ht="15" hidden="1" customHeight="1">
      <c r="A34" s="455"/>
      <c r="B34" s="448" t="s">
        <v>55</v>
      </c>
      <c r="C34" s="138" t="s">
        <v>19</v>
      </c>
      <c r="D34" s="454">
        <f>10102-3000</f>
        <v>7102</v>
      </c>
      <c r="E34" s="447">
        <v>46209</v>
      </c>
      <c r="F34" s="447">
        <v>46209</v>
      </c>
      <c r="G34" s="449"/>
      <c r="H34" s="21"/>
      <c r="I34" s="450"/>
      <c r="J34" s="456"/>
      <c r="K34" s="21"/>
      <c r="L34" s="545" t="s">
        <v>56</v>
      </c>
      <c r="M34" s="546"/>
      <c r="N34" s="22"/>
      <c r="O34" s="22"/>
      <c r="Q34" s="23"/>
      <c r="R34" s="1"/>
    </row>
    <row r="35" spans="1:18" s="24" customFormat="1" ht="15" hidden="1" customHeight="1">
      <c r="A35" s="455"/>
      <c r="B35" s="448" t="s">
        <v>57</v>
      </c>
      <c r="C35" s="138" t="s">
        <v>19</v>
      </c>
      <c r="D35" s="454">
        <f>10502-3000</f>
        <v>7502</v>
      </c>
      <c r="E35" s="447">
        <v>46209</v>
      </c>
      <c r="F35" s="447">
        <v>46209</v>
      </c>
      <c r="G35" s="449"/>
      <c r="H35" s="21"/>
      <c r="I35" s="450"/>
      <c r="J35" s="456"/>
      <c r="K35" s="21"/>
      <c r="L35" s="545" t="s">
        <v>58</v>
      </c>
      <c r="M35" s="546"/>
      <c r="N35" s="22"/>
      <c r="O35" s="22"/>
      <c r="Q35" s="23"/>
      <c r="R35" s="1"/>
    </row>
    <row r="36" spans="1:18" s="24" customFormat="1" ht="15" hidden="1" customHeight="1">
      <c r="A36" s="455"/>
      <c r="B36" s="448" t="s">
        <v>59</v>
      </c>
      <c r="C36" s="138" t="s">
        <v>32</v>
      </c>
      <c r="D36" s="454">
        <v>274.73</v>
      </c>
      <c r="E36" s="447">
        <v>46219</v>
      </c>
      <c r="F36" s="447">
        <v>46219</v>
      </c>
      <c r="G36" s="449"/>
      <c r="H36" s="21"/>
      <c r="I36" s="450"/>
      <c r="J36" s="456"/>
      <c r="K36" s="21"/>
      <c r="L36" s="545"/>
      <c r="M36" s="546"/>
      <c r="N36" s="22"/>
      <c r="O36" s="22"/>
      <c r="Q36" s="23"/>
      <c r="R36" s="1"/>
    </row>
    <row r="37" spans="1:18" s="24" customFormat="1" ht="15" hidden="1" customHeight="1">
      <c r="A37" s="455"/>
      <c r="B37" s="448" t="s">
        <v>60</v>
      </c>
      <c r="C37" s="138" t="s">
        <v>32</v>
      </c>
      <c r="D37" s="454">
        <v>285.58</v>
      </c>
      <c r="E37" s="447">
        <v>46219</v>
      </c>
      <c r="F37" s="447">
        <v>46219</v>
      </c>
      <c r="G37" s="449"/>
      <c r="H37" s="21"/>
      <c r="I37" s="450"/>
      <c r="J37" s="456"/>
      <c r="K37" s="21"/>
      <c r="L37" s="545"/>
      <c r="M37" s="546"/>
      <c r="N37" s="22"/>
      <c r="O37" s="22"/>
      <c r="Q37" s="23"/>
      <c r="R37" s="1"/>
    </row>
    <row r="38" spans="1:18" s="24" customFormat="1" ht="15" hidden="1" customHeight="1">
      <c r="A38" s="455"/>
      <c r="B38" s="448" t="s">
        <v>61</v>
      </c>
      <c r="C38" s="138" t="s">
        <v>32</v>
      </c>
      <c r="D38" s="454">
        <v>954.63</v>
      </c>
      <c r="E38" s="447">
        <v>46219</v>
      </c>
      <c r="F38" s="447">
        <v>46219</v>
      </c>
      <c r="G38" s="449"/>
      <c r="H38" s="21"/>
      <c r="I38" s="450"/>
      <c r="J38" s="456"/>
      <c r="K38" s="21"/>
      <c r="L38" s="545"/>
      <c r="M38" s="546"/>
      <c r="N38" s="22"/>
      <c r="O38" s="22"/>
      <c r="Q38" s="23"/>
      <c r="R38" s="1"/>
    </row>
    <row r="39" spans="1:18" s="24" customFormat="1" ht="15" hidden="1" customHeight="1">
      <c r="A39" s="455"/>
      <c r="B39" s="448" t="s">
        <v>62</v>
      </c>
      <c r="C39" s="457" t="s">
        <v>19</v>
      </c>
      <c r="D39" s="454">
        <v>200</v>
      </c>
      <c r="E39" s="447">
        <v>46210</v>
      </c>
      <c r="F39" s="447">
        <v>46210</v>
      </c>
      <c r="G39" s="449"/>
      <c r="H39" s="21"/>
      <c r="I39" s="450"/>
      <c r="J39" s="456"/>
      <c r="K39" s="21"/>
      <c r="L39" s="545" t="s">
        <v>63</v>
      </c>
      <c r="M39" s="546"/>
      <c r="N39" s="22"/>
      <c r="O39" s="22"/>
      <c r="Q39" s="23"/>
      <c r="R39" s="1"/>
    </row>
    <row r="40" spans="1:18" s="24" customFormat="1" ht="15" hidden="1" customHeight="1">
      <c r="A40" s="455"/>
      <c r="B40" s="448" t="s">
        <v>64</v>
      </c>
      <c r="C40" s="457" t="s">
        <v>19</v>
      </c>
      <c r="D40" s="454">
        <v>616.54999999999995</v>
      </c>
      <c r="E40" s="447">
        <v>46206</v>
      </c>
      <c r="F40" s="447">
        <v>46210</v>
      </c>
      <c r="G40" s="449"/>
      <c r="H40" s="21"/>
      <c r="I40" s="450"/>
      <c r="J40" s="456"/>
      <c r="K40" s="21"/>
      <c r="L40" s="545" t="s">
        <v>65</v>
      </c>
      <c r="M40" s="546"/>
      <c r="N40" s="22"/>
      <c r="O40" s="22"/>
      <c r="Q40" s="23"/>
      <c r="R40" s="1"/>
    </row>
    <row r="41" spans="1:18" s="24" customFormat="1" ht="15" hidden="1" customHeight="1">
      <c r="A41" s="455"/>
      <c r="B41" s="448" t="s">
        <v>66</v>
      </c>
      <c r="C41" s="457" t="s">
        <v>19</v>
      </c>
      <c r="D41" s="454">
        <v>4131.58</v>
      </c>
      <c r="E41" s="447">
        <v>46213</v>
      </c>
      <c r="F41" s="455">
        <v>46213</v>
      </c>
      <c r="G41" s="449"/>
      <c r="H41" s="21"/>
      <c r="I41" s="450"/>
      <c r="J41" s="456"/>
      <c r="K41" s="21"/>
      <c r="L41" s="545"/>
      <c r="M41" s="546"/>
      <c r="N41" s="22"/>
      <c r="O41" s="22"/>
      <c r="Q41" s="23"/>
      <c r="R41" s="1"/>
    </row>
    <row r="42" spans="1:18" s="24" customFormat="1" ht="15" hidden="1" customHeight="1">
      <c r="A42" s="455"/>
      <c r="B42" s="448" t="s">
        <v>67</v>
      </c>
      <c r="C42" s="457" t="s">
        <v>19</v>
      </c>
      <c r="D42" s="458">
        <v>8345.74</v>
      </c>
      <c r="E42" s="447">
        <v>46216</v>
      </c>
      <c r="F42" s="447">
        <v>46216</v>
      </c>
      <c r="G42" s="449"/>
      <c r="H42" s="21"/>
      <c r="I42" s="450"/>
      <c r="J42" s="456"/>
      <c r="K42" s="21"/>
      <c r="L42" s="545"/>
      <c r="M42" s="546"/>
      <c r="N42" s="22"/>
      <c r="O42" s="22"/>
      <c r="Q42" s="23"/>
      <c r="R42" s="1"/>
    </row>
    <row r="43" spans="1:18" s="24" customFormat="1" ht="15" hidden="1" customHeight="1">
      <c r="A43" s="455"/>
      <c r="B43" s="448" t="s">
        <v>68</v>
      </c>
      <c r="C43" s="457" t="s">
        <v>19</v>
      </c>
      <c r="D43" s="454">
        <f>4000+100000</f>
        <v>104000</v>
      </c>
      <c r="E43" s="455">
        <v>46211</v>
      </c>
      <c r="F43" s="455">
        <v>46211</v>
      </c>
      <c r="G43" s="449"/>
      <c r="H43" s="21"/>
      <c r="I43" s="450"/>
      <c r="J43" s="456"/>
      <c r="K43" s="21"/>
      <c r="L43" s="545" t="s">
        <v>69</v>
      </c>
      <c r="M43" s="546"/>
      <c r="N43" s="22"/>
      <c r="O43" s="22"/>
      <c r="Q43" s="23"/>
      <c r="R43" s="1"/>
    </row>
    <row r="44" spans="1:18" s="24" customFormat="1" ht="15" hidden="1" customHeight="1">
      <c r="A44" s="455"/>
      <c r="B44" s="448" t="s">
        <v>70</v>
      </c>
      <c r="C44" s="457" t="s">
        <v>19</v>
      </c>
      <c r="D44" s="454">
        <v>2793.79</v>
      </c>
      <c r="E44" s="455">
        <v>46212</v>
      </c>
      <c r="F44" s="455">
        <v>46213</v>
      </c>
      <c r="G44" s="449"/>
      <c r="H44" s="21"/>
      <c r="I44" s="450"/>
      <c r="J44" s="456"/>
      <c r="K44" s="21"/>
      <c r="L44" s="545"/>
      <c r="M44" s="546"/>
      <c r="N44" s="22"/>
      <c r="O44" s="22"/>
      <c r="Q44" s="23"/>
      <c r="R44" s="1"/>
    </row>
    <row r="45" spans="1:18" s="24" customFormat="1" ht="15" hidden="1" customHeight="1">
      <c r="A45" s="455"/>
      <c r="B45" s="448" t="s">
        <v>71</v>
      </c>
      <c r="C45" s="457" t="s">
        <v>19</v>
      </c>
      <c r="D45" s="454">
        <f>79.99 + 77</f>
        <v>156.99</v>
      </c>
      <c r="E45" s="455">
        <v>46212</v>
      </c>
      <c r="F45" s="455">
        <v>46213</v>
      </c>
      <c r="G45" s="449"/>
      <c r="H45" s="21"/>
      <c r="I45" s="450"/>
      <c r="J45" s="456"/>
      <c r="K45" s="21"/>
      <c r="L45" s="545"/>
      <c r="M45" s="546"/>
      <c r="N45" s="22"/>
      <c r="O45" s="22"/>
      <c r="Q45" s="23"/>
      <c r="R45" s="1"/>
    </row>
    <row r="46" spans="1:18" s="24" customFormat="1" ht="15" hidden="1" customHeight="1">
      <c r="A46" s="455"/>
      <c r="B46" s="448" t="s">
        <v>72</v>
      </c>
      <c r="C46" s="457" t="s">
        <v>19</v>
      </c>
      <c r="D46" s="454">
        <v>480</v>
      </c>
      <c r="E46" s="455">
        <v>46212</v>
      </c>
      <c r="F46" s="455">
        <v>46212</v>
      </c>
      <c r="G46" s="449"/>
      <c r="H46" s="21"/>
      <c r="I46" s="450"/>
      <c r="J46" s="456"/>
      <c r="K46" s="21"/>
      <c r="L46" s="545"/>
      <c r="M46" s="546"/>
      <c r="N46" s="22"/>
      <c r="O46" s="22"/>
      <c r="Q46" s="23"/>
      <c r="R46" s="1"/>
    </row>
    <row r="47" spans="1:18" s="24" customFormat="1" ht="15" hidden="1" customHeight="1">
      <c r="A47" s="455"/>
      <c r="B47" s="448" t="s">
        <v>73</v>
      </c>
      <c r="C47" s="457" t="s">
        <v>19</v>
      </c>
      <c r="D47" s="454">
        <v>2057.0500000000002</v>
      </c>
      <c r="E47" s="455">
        <v>46212</v>
      </c>
      <c r="F47" s="455">
        <v>46212</v>
      </c>
      <c r="G47" s="449"/>
      <c r="H47" s="21"/>
      <c r="I47" s="450"/>
      <c r="J47" s="456"/>
      <c r="K47" s="21"/>
      <c r="L47" s="545"/>
      <c r="M47" s="546"/>
      <c r="N47" s="22"/>
      <c r="O47" s="22"/>
      <c r="Q47" s="23"/>
      <c r="R47" s="1"/>
    </row>
    <row r="48" spans="1:18" s="24" customFormat="1" ht="15" hidden="1" customHeight="1">
      <c r="A48" s="455"/>
      <c r="B48" s="448" t="s">
        <v>74</v>
      </c>
      <c r="C48" s="457" t="s">
        <v>19</v>
      </c>
      <c r="D48" s="454">
        <v>20</v>
      </c>
      <c r="E48" s="455">
        <v>46213</v>
      </c>
      <c r="F48" s="455">
        <v>46213</v>
      </c>
      <c r="G48" s="449"/>
      <c r="H48" s="21"/>
      <c r="I48" s="450"/>
      <c r="J48" s="456"/>
      <c r="K48" s="21"/>
      <c r="L48" s="545"/>
      <c r="M48" s="546"/>
      <c r="N48" s="22"/>
      <c r="O48" s="22"/>
      <c r="Q48" s="23"/>
      <c r="R48" s="1"/>
    </row>
    <row r="49" spans="1:18" s="24" customFormat="1" ht="15" hidden="1" customHeight="1">
      <c r="A49" s="455"/>
      <c r="B49" s="448" t="s">
        <v>41</v>
      </c>
      <c r="C49" s="457" t="s">
        <v>19</v>
      </c>
      <c r="D49" s="454">
        <v>26.31</v>
      </c>
      <c r="E49" s="455">
        <v>46213</v>
      </c>
      <c r="F49" s="455">
        <v>46213</v>
      </c>
      <c r="G49" s="449"/>
      <c r="H49" s="21"/>
      <c r="I49" s="450"/>
      <c r="J49" s="456"/>
      <c r="K49" s="21"/>
      <c r="L49" s="545"/>
      <c r="M49" s="546"/>
      <c r="N49" s="22"/>
      <c r="O49" s="22"/>
      <c r="Q49" s="23"/>
    </row>
    <row r="50" spans="1:18" ht="15" hidden="1" customHeight="1">
      <c r="A50" s="447">
        <v>46093</v>
      </c>
      <c r="B50" s="448" t="s">
        <v>75</v>
      </c>
      <c r="C50" s="457" t="s">
        <v>19</v>
      </c>
      <c r="D50" s="454">
        <v>6000</v>
      </c>
      <c r="E50" s="447" t="s">
        <v>19</v>
      </c>
      <c r="F50" s="455">
        <v>46213</v>
      </c>
      <c r="G50" s="449">
        <f>IF(F50&gt;0,0,D50)</f>
        <v>0</v>
      </c>
      <c r="H50" s="14"/>
      <c r="I50" s="450">
        <v>46148</v>
      </c>
      <c r="J50" s="451">
        <f>SUMIF($E$3:$E$166,I50,$G$3:$G$166)</f>
        <v>0</v>
      </c>
      <c r="K50" s="14"/>
      <c r="L50" s="607" t="s">
        <v>76</v>
      </c>
      <c r="M50" s="602"/>
      <c r="R50"/>
    </row>
    <row r="51" spans="1:18" ht="15" hidden="1" customHeight="1">
      <c r="A51" s="447"/>
      <c r="B51" s="448" t="s">
        <v>77</v>
      </c>
      <c r="C51" s="457" t="s">
        <v>19</v>
      </c>
      <c r="D51" s="454">
        <v>5890.8</v>
      </c>
      <c r="E51" s="455">
        <v>46212</v>
      </c>
      <c r="F51" s="455">
        <v>46212</v>
      </c>
      <c r="G51" s="449"/>
      <c r="H51" s="14"/>
      <c r="I51" s="450"/>
      <c r="J51" s="451"/>
      <c r="K51" s="14"/>
      <c r="L51" s="536"/>
      <c r="M51" s="535"/>
      <c r="R51"/>
    </row>
    <row r="52" spans="1:18" ht="15" hidden="1" customHeight="1">
      <c r="A52" s="447"/>
      <c r="B52" s="448" t="s">
        <v>78</v>
      </c>
      <c r="C52" s="457" t="s">
        <v>19</v>
      </c>
      <c r="D52" s="454">
        <v>79.010000000000005</v>
      </c>
      <c r="E52" s="447">
        <v>46213</v>
      </c>
      <c r="F52" s="455">
        <v>46213</v>
      </c>
      <c r="G52" s="449"/>
      <c r="H52" s="14"/>
      <c r="I52" s="450"/>
      <c r="J52" s="451"/>
      <c r="K52" s="14"/>
      <c r="L52" s="536" t="s">
        <v>79</v>
      </c>
      <c r="M52" s="535"/>
      <c r="R52"/>
    </row>
    <row r="53" spans="1:18" ht="15" hidden="1" customHeight="1">
      <c r="A53" s="447"/>
      <c r="B53" s="448" t="s">
        <v>80</v>
      </c>
      <c r="C53" s="457" t="s">
        <v>19</v>
      </c>
      <c r="D53" s="454">
        <v>250</v>
      </c>
      <c r="E53" s="447">
        <v>46213</v>
      </c>
      <c r="F53" s="455">
        <v>46213</v>
      </c>
      <c r="G53" s="449"/>
      <c r="H53" s="14"/>
      <c r="I53" s="450"/>
      <c r="J53" s="451"/>
      <c r="K53" s="14"/>
      <c r="L53" s="536"/>
      <c r="M53" s="535"/>
      <c r="R53"/>
    </row>
    <row r="54" spans="1:18" ht="15" hidden="1" customHeight="1">
      <c r="A54" s="447"/>
      <c r="B54" s="448" t="s">
        <v>81</v>
      </c>
      <c r="C54" s="457" t="s">
        <v>19</v>
      </c>
      <c r="D54" s="459">
        <v>4500</v>
      </c>
      <c r="E54" s="447">
        <v>46214</v>
      </c>
      <c r="F54" s="447">
        <v>46220</v>
      </c>
      <c r="G54" s="449"/>
      <c r="H54" s="14"/>
      <c r="I54" s="450"/>
      <c r="J54" s="451"/>
      <c r="K54" s="14"/>
      <c r="L54" s="536" t="s">
        <v>82</v>
      </c>
      <c r="M54" s="535"/>
      <c r="R54"/>
    </row>
    <row r="55" spans="1:18" ht="15" hidden="1" customHeight="1">
      <c r="A55" s="447"/>
      <c r="B55" s="460" t="s">
        <v>83</v>
      </c>
      <c r="C55" s="138"/>
      <c r="D55" s="458">
        <v>6000</v>
      </c>
      <c r="E55" s="447">
        <v>46228</v>
      </c>
      <c r="F55" s="447"/>
      <c r="G55" s="449"/>
      <c r="H55" s="14"/>
      <c r="I55" s="450"/>
      <c r="J55" s="451"/>
      <c r="K55" s="14"/>
      <c r="L55" s="607" t="s">
        <v>84</v>
      </c>
      <c r="M55" s="602"/>
      <c r="R55"/>
    </row>
    <row r="56" spans="1:18" ht="15" hidden="1" customHeight="1">
      <c r="A56" s="447"/>
      <c r="B56" s="460" t="s">
        <v>85</v>
      </c>
      <c r="C56" s="457" t="s">
        <v>19</v>
      </c>
      <c r="D56" s="458">
        <v>250</v>
      </c>
      <c r="E56" s="447">
        <v>46213</v>
      </c>
      <c r="F56" s="455">
        <v>46213</v>
      </c>
      <c r="G56" s="449"/>
      <c r="H56" s="14"/>
      <c r="I56" s="450"/>
      <c r="J56" s="451"/>
      <c r="K56" s="14"/>
      <c r="L56" s="544"/>
      <c r="M56" s="543"/>
      <c r="R56"/>
    </row>
    <row r="57" spans="1:18" ht="15" hidden="1" customHeight="1">
      <c r="A57" s="447"/>
      <c r="B57" s="461" t="s">
        <v>86</v>
      </c>
      <c r="C57" s="457" t="s">
        <v>19</v>
      </c>
      <c r="D57" s="458">
        <v>2895.44</v>
      </c>
      <c r="E57" s="447">
        <v>46213</v>
      </c>
      <c r="F57" s="455">
        <v>46213</v>
      </c>
      <c r="G57" s="449">
        <f>IF(F57&gt;0,0,D57)</f>
        <v>0</v>
      </c>
      <c r="H57" s="14"/>
      <c r="I57" s="450">
        <v>46151</v>
      </c>
      <c r="J57" s="451">
        <f>SUMIF($E$3:$E$166,I57,$G$3:$G$166)</f>
        <v>0</v>
      </c>
      <c r="K57" s="14"/>
      <c r="L57" s="589" t="s">
        <v>87</v>
      </c>
      <c r="M57" s="590"/>
      <c r="R57"/>
    </row>
    <row r="58" spans="1:18" ht="15" hidden="1" customHeight="1">
      <c r="A58" s="447"/>
      <c r="B58" s="461" t="s">
        <v>88</v>
      </c>
      <c r="C58" s="457" t="s">
        <v>19</v>
      </c>
      <c r="D58" s="458">
        <v>40000</v>
      </c>
      <c r="E58" s="447">
        <v>46214</v>
      </c>
      <c r="F58" s="447">
        <v>46214</v>
      </c>
      <c r="G58" s="449"/>
      <c r="H58" s="14"/>
      <c r="I58" s="450"/>
      <c r="J58" s="451"/>
      <c r="K58" s="14"/>
      <c r="L58" s="542"/>
      <c r="M58" s="543"/>
      <c r="R58"/>
    </row>
    <row r="59" spans="1:18" ht="15" hidden="1" customHeight="1">
      <c r="A59" s="447"/>
      <c r="B59" s="461" t="s">
        <v>89</v>
      </c>
      <c r="C59" s="138" t="s">
        <v>90</v>
      </c>
      <c r="D59" s="458">
        <v>540</v>
      </c>
      <c r="E59" s="447">
        <v>46216</v>
      </c>
      <c r="F59" s="447">
        <v>46216</v>
      </c>
      <c r="G59" s="449"/>
      <c r="H59" s="14"/>
      <c r="I59" s="450"/>
      <c r="J59" s="451"/>
      <c r="K59" s="14"/>
      <c r="L59" s="542"/>
      <c r="M59" s="543"/>
      <c r="R59"/>
    </row>
    <row r="60" spans="1:18" ht="15" hidden="1" customHeight="1">
      <c r="A60" s="447"/>
      <c r="B60" s="461" t="s">
        <v>91</v>
      </c>
      <c r="C60" s="457" t="s">
        <v>19</v>
      </c>
      <c r="D60" s="458">
        <v>250</v>
      </c>
      <c r="E60" s="447">
        <v>46216</v>
      </c>
      <c r="F60" s="447">
        <v>46216</v>
      </c>
      <c r="G60" s="449"/>
      <c r="H60" s="14"/>
      <c r="I60" s="450"/>
      <c r="J60" s="451"/>
      <c r="K60" s="14"/>
      <c r="L60" s="542"/>
      <c r="M60" s="543"/>
      <c r="R60"/>
    </row>
    <row r="61" spans="1:18" ht="15" hidden="1" customHeight="1">
      <c r="A61" s="447"/>
      <c r="B61" s="461" t="s">
        <v>92</v>
      </c>
      <c r="C61" s="138" t="s">
        <v>90</v>
      </c>
      <c r="D61" s="458">
        <v>560</v>
      </c>
      <c r="E61" s="447">
        <v>46216</v>
      </c>
      <c r="F61" s="447">
        <v>46216</v>
      </c>
      <c r="G61" s="449"/>
      <c r="H61" s="14"/>
      <c r="I61" s="450"/>
      <c r="J61" s="451"/>
      <c r="K61" s="14"/>
      <c r="L61" s="542"/>
      <c r="M61" s="543"/>
      <c r="R61"/>
    </row>
    <row r="62" spans="1:18" ht="15" hidden="1" customHeight="1">
      <c r="A62" s="447"/>
      <c r="B62" s="461" t="s">
        <v>93</v>
      </c>
      <c r="C62" s="457" t="s">
        <v>19</v>
      </c>
      <c r="D62" s="458">
        <v>1350</v>
      </c>
      <c r="E62" s="447">
        <v>46216</v>
      </c>
      <c r="F62" s="447">
        <v>46216</v>
      </c>
      <c r="G62" s="449"/>
      <c r="H62" s="14"/>
      <c r="I62" s="450"/>
      <c r="J62" s="451"/>
      <c r="K62" s="14"/>
      <c r="L62" s="542"/>
      <c r="M62" s="543"/>
      <c r="R62"/>
    </row>
    <row r="63" spans="1:18" ht="15" hidden="1" customHeight="1">
      <c r="A63" s="447"/>
      <c r="B63" s="461" t="s">
        <v>94</v>
      </c>
      <c r="C63" s="457" t="s">
        <v>19</v>
      </c>
      <c r="D63" s="458">
        <v>143.62</v>
      </c>
      <c r="E63" s="447">
        <v>46216</v>
      </c>
      <c r="F63" s="447">
        <v>46216</v>
      </c>
      <c r="G63" s="449"/>
      <c r="H63" s="14"/>
      <c r="I63" s="450"/>
      <c r="J63" s="451"/>
      <c r="K63" s="14"/>
      <c r="L63" s="542"/>
      <c r="M63" s="543"/>
      <c r="R63"/>
    </row>
    <row r="64" spans="1:18" ht="15" hidden="1" customHeight="1">
      <c r="A64" s="447"/>
      <c r="B64" s="461" t="s">
        <v>95</v>
      </c>
      <c r="C64" s="457" t="s">
        <v>19</v>
      </c>
      <c r="D64" s="458">
        <v>200</v>
      </c>
      <c r="E64" s="447">
        <v>46216</v>
      </c>
      <c r="F64" s="447">
        <v>46216</v>
      </c>
      <c r="G64" s="449"/>
      <c r="H64" s="14"/>
      <c r="I64" s="450"/>
      <c r="J64" s="451"/>
      <c r="K64" s="14"/>
      <c r="L64" s="542"/>
      <c r="M64" s="543"/>
      <c r="R64"/>
    </row>
    <row r="65" spans="1:18" ht="15" hidden="1" customHeight="1">
      <c r="A65" s="447"/>
      <c r="B65" s="461" t="s">
        <v>96</v>
      </c>
      <c r="C65" s="457" t="s">
        <v>19</v>
      </c>
      <c r="D65" s="458">
        <v>80000</v>
      </c>
      <c r="E65" s="447">
        <v>46216</v>
      </c>
      <c r="F65" s="447">
        <v>46216</v>
      </c>
      <c r="G65" s="449"/>
      <c r="H65" s="14"/>
      <c r="I65" s="450"/>
      <c r="J65" s="451"/>
      <c r="K65" s="14"/>
      <c r="L65" s="542"/>
      <c r="M65" s="543"/>
      <c r="R65"/>
    </row>
    <row r="66" spans="1:18" ht="15" hidden="1" customHeight="1">
      <c r="A66" s="447"/>
      <c r="B66" s="461" t="s">
        <v>97</v>
      </c>
      <c r="C66" s="457" t="s">
        <v>19</v>
      </c>
      <c r="D66" s="458">
        <v>344.35</v>
      </c>
      <c r="E66" s="447">
        <v>46216</v>
      </c>
      <c r="F66" s="447">
        <v>46216</v>
      </c>
      <c r="G66" s="449"/>
      <c r="H66" s="14"/>
      <c r="I66" s="450"/>
      <c r="J66" s="451"/>
      <c r="K66" s="14"/>
      <c r="L66" s="542"/>
      <c r="M66" s="543"/>
      <c r="R66"/>
    </row>
    <row r="67" spans="1:18" ht="15" customHeight="1">
      <c r="A67" s="447"/>
      <c r="B67" s="448" t="s">
        <v>98</v>
      </c>
      <c r="C67" s="138"/>
      <c r="D67" s="458">
        <v>14000</v>
      </c>
      <c r="E67" s="447">
        <v>46213</v>
      </c>
      <c r="F67" s="447"/>
      <c r="G67" s="449">
        <f>IF(F67&gt;0,0,D67)</f>
        <v>14000</v>
      </c>
      <c r="H67" s="14"/>
      <c r="I67" s="450">
        <v>46152</v>
      </c>
      <c r="J67" s="451">
        <f>SUMIF($E$3:$E$166,I67,$G$3:$G$166)</f>
        <v>0</v>
      </c>
      <c r="K67" s="14"/>
      <c r="L67" s="602" t="s">
        <v>99</v>
      </c>
      <c r="M67" s="602"/>
      <c r="R67"/>
    </row>
    <row r="68" spans="1:18" ht="15" hidden="1" customHeight="1">
      <c r="A68" s="447"/>
      <c r="B68" s="448" t="s">
        <v>100</v>
      </c>
      <c r="C68" s="457" t="s">
        <v>19</v>
      </c>
      <c r="D68" s="458">
        <v>8097.34</v>
      </c>
      <c r="E68" s="447">
        <v>46213</v>
      </c>
      <c r="F68" s="455">
        <v>46213</v>
      </c>
      <c r="G68" s="449">
        <f>IF(F68&gt;0,0,D68)</f>
        <v>0</v>
      </c>
      <c r="H68" s="14"/>
      <c r="I68" s="450">
        <v>46153</v>
      </c>
      <c r="J68" s="451">
        <f>SUMIF($E$3:$E$166,I68,$G$3:$G$166)</f>
        <v>0</v>
      </c>
      <c r="K68" s="14"/>
      <c r="L68" s="602" t="s">
        <v>101</v>
      </c>
      <c r="M68" s="602"/>
      <c r="R68"/>
    </row>
    <row r="69" spans="1:18" ht="15" customHeight="1">
      <c r="A69" s="447"/>
      <c r="B69" s="448" t="s">
        <v>102</v>
      </c>
      <c r="C69" s="138"/>
      <c r="D69" s="458">
        <v>20102.7</v>
      </c>
      <c r="E69" s="447">
        <v>46223</v>
      </c>
      <c r="F69" s="447"/>
      <c r="G69" s="449"/>
      <c r="H69" s="14"/>
      <c r="I69" s="450"/>
      <c r="J69" s="451"/>
      <c r="K69" s="14"/>
      <c r="L69" s="602"/>
      <c r="M69" s="602"/>
      <c r="R69"/>
    </row>
    <row r="70" spans="1:18" ht="15" hidden="1" customHeight="1">
      <c r="A70" s="447"/>
      <c r="B70" s="448" t="s">
        <v>103</v>
      </c>
      <c r="C70" s="457" t="s">
        <v>19</v>
      </c>
      <c r="D70" s="458">
        <v>30000</v>
      </c>
      <c r="E70" s="447">
        <v>46215</v>
      </c>
      <c r="F70" s="447">
        <v>46216</v>
      </c>
      <c r="G70" s="449"/>
      <c r="H70" s="14"/>
      <c r="I70" s="450"/>
      <c r="J70" s="451"/>
      <c r="K70" s="14"/>
      <c r="L70" s="603" t="s">
        <v>104</v>
      </c>
      <c r="M70" s="604"/>
      <c r="R70"/>
    </row>
    <row r="71" spans="1:18" ht="15" hidden="1" customHeight="1">
      <c r="A71" s="447"/>
      <c r="B71" s="448" t="s">
        <v>105</v>
      </c>
      <c r="C71" s="138" t="s">
        <v>90</v>
      </c>
      <c r="D71" s="458">
        <v>11861.75</v>
      </c>
      <c r="E71" s="447">
        <v>46218</v>
      </c>
      <c r="F71" s="447">
        <v>46218</v>
      </c>
      <c r="G71" s="449">
        <f>IF(F71&gt;0,0,D71)</f>
        <v>0</v>
      </c>
      <c r="H71" s="14"/>
      <c r="I71" s="450">
        <v>46158</v>
      </c>
      <c r="J71" s="451">
        <f>SUMIF($E$3:$E$166,I71,$G$3:$G$166)</f>
        <v>0</v>
      </c>
      <c r="K71" s="14"/>
      <c r="L71" s="608" t="s">
        <v>106</v>
      </c>
      <c r="M71" s="609"/>
      <c r="R71"/>
    </row>
    <row r="72" spans="1:18" ht="15" hidden="1" customHeight="1">
      <c r="A72" s="447"/>
      <c r="B72" s="448" t="s">
        <v>107</v>
      </c>
      <c r="C72" s="138" t="s">
        <v>90</v>
      </c>
      <c r="D72" s="458">
        <v>383.8</v>
      </c>
      <c r="E72" s="447">
        <v>46218</v>
      </c>
      <c r="F72" s="447">
        <v>46218</v>
      </c>
      <c r="G72" s="449"/>
      <c r="H72" s="14"/>
      <c r="I72" s="450"/>
      <c r="J72" s="451"/>
      <c r="K72" s="14"/>
      <c r="L72" s="539"/>
      <c r="M72" s="540"/>
      <c r="R72"/>
    </row>
    <row r="73" spans="1:18" ht="15" hidden="1" customHeight="1">
      <c r="A73" s="447"/>
      <c r="B73" s="448" t="s">
        <v>107</v>
      </c>
      <c r="C73" s="138" t="s">
        <v>90</v>
      </c>
      <c r="D73" s="458">
        <v>100.95</v>
      </c>
      <c r="E73" s="447">
        <v>46218</v>
      </c>
      <c r="F73" s="447">
        <v>46218</v>
      </c>
      <c r="G73" s="449"/>
      <c r="H73" s="14"/>
      <c r="I73" s="450"/>
      <c r="J73" s="451"/>
      <c r="K73" s="14"/>
      <c r="L73" s="539"/>
      <c r="M73" s="540"/>
      <c r="R73"/>
    </row>
    <row r="74" spans="1:18" ht="15" hidden="1" customHeight="1">
      <c r="A74" s="447"/>
      <c r="B74" s="448" t="s">
        <v>108</v>
      </c>
      <c r="C74" s="138" t="s">
        <v>90</v>
      </c>
      <c r="D74" s="458">
        <v>600</v>
      </c>
      <c r="E74" s="447">
        <v>46218</v>
      </c>
      <c r="F74" s="447">
        <v>46218</v>
      </c>
      <c r="G74" s="449"/>
      <c r="H74" s="14"/>
      <c r="I74" s="450"/>
      <c r="J74" s="451"/>
      <c r="K74" s="14"/>
      <c r="L74" s="539"/>
      <c r="M74" s="540"/>
      <c r="R74"/>
    </row>
    <row r="75" spans="1:18" ht="15" hidden="1" customHeight="1">
      <c r="A75" s="447"/>
      <c r="B75" s="448" t="s">
        <v>109</v>
      </c>
      <c r="C75" s="138"/>
      <c r="D75" s="458">
        <v>585</v>
      </c>
      <c r="E75" s="447">
        <v>46217</v>
      </c>
      <c r="F75" s="447">
        <v>46217</v>
      </c>
      <c r="G75" s="449"/>
      <c r="H75" s="14"/>
      <c r="I75" s="450"/>
      <c r="J75" s="451"/>
      <c r="K75" s="14"/>
      <c r="L75" s="539"/>
      <c r="M75" s="540"/>
      <c r="R75"/>
    </row>
    <row r="76" spans="1:18" ht="15" hidden="1" customHeight="1">
      <c r="A76" s="447"/>
      <c r="B76" s="448" t="s">
        <v>110</v>
      </c>
      <c r="C76" s="138"/>
      <c r="D76" s="458">
        <v>11.73</v>
      </c>
      <c r="E76" s="447">
        <v>46220</v>
      </c>
      <c r="F76" s="447">
        <v>46220</v>
      </c>
      <c r="G76" s="449"/>
      <c r="H76" s="14"/>
      <c r="I76" s="450"/>
      <c r="J76" s="451"/>
      <c r="K76" s="14"/>
      <c r="L76" s="539"/>
      <c r="M76" s="540"/>
      <c r="R76"/>
    </row>
    <row r="77" spans="1:18" ht="15" hidden="1" customHeight="1">
      <c r="A77" s="447"/>
      <c r="B77" s="448" t="s">
        <v>111</v>
      </c>
      <c r="C77" s="138"/>
      <c r="D77" s="458">
        <v>10000</v>
      </c>
      <c r="E77" s="447">
        <v>46218</v>
      </c>
      <c r="F77" s="447">
        <v>46220</v>
      </c>
      <c r="G77" s="449">
        <f>IF(F77&gt;0,0,D77)</f>
        <v>0</v>
      </c>
      <c r="H77" s="14"/>
      <c r="I77" s="450">
        <v>46159</v>
      </c>
      <c r="J77" s="451">
        <f>SUMIF($E$3:$E$166,I77,$G$3:$G$166)</f>
        <v>0</v>
      </c>
      <c r="K77" s="14"/>
      <c r="L77" s="603" t="s">
        <v>112</v>
      </c>
      <c r="M77" s="610"/>
      <c r="R77"/>
    </row>
    <row r="78" spans="1:18" ht="35.25" hidden="1" customHeight="1">
      <c r="A78" s="447"/>
      <c r="B78" s="448" t="s">
        <v>113</v>
      </c>
      <c r="C78" s="138"/>
      <c r="D78" s="458">
        <v>300</v>
      </c>
      <c r="E78" s="447">
        <v>46220</v>
      </c>
      <c r="F78" s="447">
        <v>46220</v>
      </c>
      <c r="G78" s="449"/>
      <c r="H78" s="14"/>
      <c r="I78" s="450"/>
      <c r="J78" s="451"/>
      <c r="K78" s="14"/>
      <c r="L78" s="537" t="s">
        <v>114</v>
      </c>
      <c r="M78" s="541"/>
      <c r="R78"/>
    </row>
    <row r="79" spans="1:18" ht="15" customHeight="1">
      <c r="A79" s="447"/>
      <c r="B79" s="448" t="s">
        <v>115</v>
      </c>
      <c r="C79" s="138"/>
      <c r="D79" s="458">
        <v>8400</v>
      </c>
      <c r="E79" s="447">
        <v>46221</v>
      </c>
      <c r="F79" s="447"/>
      <c r="G79" s="449">
        <f>IF(F79&gt;0,0,D79)</f>
        <v>8400</v>
      </c>
      <c r="H79" s="14"/>
      <c r="I79" s="450">
        <v>46160</v>
      </c>
      <c r="J79" s="451">
        <f>SUMIF($E$3:$E$166,I79,$G$3:$G$166)</f>
        <v>0</v>
      </c>
      <c r="K79" s="14"/>
      <c r="L79" s="602" t="s">
        <v>116</v>
      </c>
      <c r="M79" s="602"/>
      <c r="R79"/>
    </row>
    <row r="80" spans="1:18" ht="15" customHeight="1">
      <c r="A80" s="447"/>
      <c r="B80" s="448" t="s">
        <v>117</v>
      </c>
      <c r="C80" s="138"/>
      <c r="D80" s="458">
        <v>3000</v>
      </c>
      <c r="E80" s="447">
        <v>46223</v>
      </c>
      <c r="F80" s="447"/>
      <c r="G80" s="449">
        <f>IF(F80&gt;0,0,D80)</f>
        <v>3000</v>
      </c>
      <c r="H80" s="14"/>
      <c r="I80" s="450">
        <v>46161</v>
      </c>
      <c r="J80" s="451">
        <f>SUMIF($E$3:$E$166,I80,$G$3:$G$166)</f>
        <v>0</v>
      </c>
      <c r="K80" s="14"/>
      <c r="L80" s="603" t="s">
        <v>118</v>
      </c>
      <c r="M80" s="604"/>
      <c r="R80"/>
    </row>
    <row r="81" spans="1:18" ht="15" customHeight="1">
      <c r="A81" s="447"/>
      <c r="B81" s="448" t="s">
        <v>119</v>
      </c>
      <c r="C81" s="138"/>
      <c r="D81" s="458">
        <v>3000</v>
      </c>
      <c r="E81" s="447">
        <v>46223</v>
      </c>
      <c r="F81" s="447"/>
      <c r="G81" s="449">
        <f>IF(F81&gt;0,0,D81)</f>
        <v>3000</v>
      </c>
      <c r="H81" s="14"/>
      <c r="I81" s="450">
        <v>46162</v>
      </c>
      <c r="J81" s="451"/>
      <c r="K81" s="14"/>
      <c r="L81" s="537" t="s">
        <v>52</v>
      </c>
      <c r="M81" s="538"/>
      <c r="R81"/>
    </row>
    <row r="82" spans="1:18" ht="15" customHeight="1">
      <c r="A82" s="447"/>
      <c r="B82" s="448" t="s">
        <v>120</v>
      </c>
      <c r="C82" s="138"/>
      <c r="D82" s="458">
        <v>3000</v>
      </c>
      <c r="E82" s="447">
        <v>46223</v>
      </c>
      <c r="F82" s="447"/>
      <c r="G82" s="449">
        <f>IF(F82&gt;0,0,D82)</f>
        <v>3000</v>
      </c>
      <c r="H82" s="14"/>
      <c r="I82" s="450">
        <v>46163</v>
      </c>
      <c r="J82" s="451"/>
      <c r="K82" s="14"/>
      <c r="L82" s="537" t="s">
        <v>121</v>
      </c>
      <c r="M82" s="538"/>
      <c r="R82"/>
    </row>
    <row r="83" spans="1:18" ht="15" customHeight="1">
      <c r="A83" s="447"/>
      <c r="B83" s="448" t="s">
        <v>122</v>
      </c>
      <c r="C83" s="138"/>
      <c r="D83" s="458">
        <v>3000</v>
      </c>
      <c r="E83" s="447">
        <v>46223</v>
      </c>
      <c r="F83" s="447"/>
      <c r="G83" s="449"/>
      <c r="H83" s="14"/>
      <c r="I83" s="450"/>
      <c r="J83" s="451"/>
      <c r="K83" s="14"/>
      <c r="L83" s="537" t="s">
        <v>56</v>
      </c>
      <c r="M83" s="538"/>
      <c r="R83"/>
    </row>
    <row r="84" spans="1:18" ht="15" customHeight="1">
      <c r="A84" s="447"/>
      <c r="B84" s="448" t="s">
        <v>122</v>
      </c>
      <c r="C84" s="138"/>
      <c r="D84" s="458">
        <v>3000</v>
      </c>
      <c r="E84" s="447">
        <v>46223</v>
      </c>
      <c r="F84" s="447"/>
      <c r="G84" s="449"/>
      <c r="H84" s="14"/>
      <c r="I84" s="450"/>
      <c r="J84" s="451"/>
      <c r="K84" s="14"/>
      <c r="L84" s="537" t="s">
        <v>58</v>
      </c>
      <c r="M84" s="538"/>
      <c r="R84"/>
    </row>
    <row r="85" spans="1:18" ht="15" hidden="1" customHeight="1">
      <c r="A85" s="447"/>
      <c r="B85" s="448"/>
      <c r="C85" s="138"/>
      <c r="D85" s="458"/>
      <c r="E85" s="447"/>
      <c r="F85" s="447"/>
      <c r="G85" s="449"/>
      <c r="H85" s="14"/>
      <c r="I85" s="450"/>
      <c r="J85" s="451"/>
      <c r="K85" s="14"/>
      <c r="L85" s="537"/>
      <c r="M85" s="538"/>
      <c r="R85"/>
    </row>
    <row r="86" spans="1:18" ht="15" hidden="1" customHeight="1">
      <c r="A86" s="447"/>
      <c r="B86" s="448" t="s">
        <v>123</v>
      </c>
      <c r="C86" s="138"/>
      <c r="D86" s="458">
        <v>29.59</v>
      </c>
      <c r="E86" s="447">
        <v>46220</v>
      </c>
      <c r="F86" s="447">
        <v>46220</v>
      </c>
      <c r="G86" s="449"/>
      <c r="H86" s="14"/>
      <c r="I86" s="450"/>
      <c r="J86" s="451"/>
      <c r="K86" s="14"/>
      <c r="L86" s="537"/>
      <c r="M86" s="538"/>
      <c r="R86"/>
    </row>
    <row r="87" spans="1:18" ht="15" customHeight="1">
      <c r="A87" s="447"/>
      <c r="B87" s="448" t="s">
        <v>124</v>
      </c>
      <c r="C87" s="138"/>
      <c r="D87" s="458"/>
      <c r="E87" s="447">
        <v>46223</v>
      </c>
      <c r="F87" s="447"/>
      <c r="G87" s="449">
        <f>IF(F87&gt;0,0,D87)</f>
        <v>0</v>
      </c>
      <c r="H87" s="14"/>
      <c r="I87" s="450">
        <v>46164</v>
      </c>
      <c r="J87" s="451">
        <f>SUMIF($E$3:$E$166,I87,$G$3:$G$166)</f>
        <v>0</v>
      </c>
      <c r="K87" s="14"/>
      <c r="L87" s="589" t="s">
        <v>125</v>
      </c>
      <c r="M87" s="590"/>
      <c r="R87"/>
    </row>
    <row r="88" spans="1:18" ht="15" customHeight="1">
      <c r="A88" s="447"/>
      <c r="B88" s="448" t="s">
        <v>126</v>
      </c>
      <c r="C88" s="138"/>
      <c r="D88" s="458">
        <v>1422.08</v>
      </c>
      <c r="E88" s="447">
        <v>46223</v>
      </c>
      <c r="F88" s="447"/>
      <c r="G88" s="449">
        <f>IF(F88&gt;0,0,D88)</f>
        <v>1422.08</v>
      </c>
      <c r="H88" s="14"/>
      <c r="I88" s="450">
        <v>46166</v>
      </c>
      <c r="J88" s="451"/>
      <c r="K88" s="14"/>
      <c r="L88" s="27"/>
      <c r="M88" s="28"/>
      <c r="R88"/>
    </row>
    <row r="89" spans="1:18" ht="15" hidden="1" customHeight="1">
      <c r="A89" s="447"/>
      <c r="B89" s="448" t="s">
        <v>127</v>
      </c>
      <c r="C89" s="462"/>
      <c r="D89" s="458">
        <v>92.8</v>
      </c>
      <c r="E89" s="447">
        <v>46226</v>
      </c>
      <c r="F89" s="447"/>
      <c r="G89" s="449">
        <f>IF(F89&gt;0,0,D89)</f>
        <v>92.8</v>
      </c>
      <c r="H89" s="14"/>
      <c r="I89" s="450"/>
      <c r="J89" s="451"/>
      <c r="K89" s="14"/>
      <c r="L89" s="27" t="s">
        <v>128</v>
      </c>
      <c r="M89" s="28"/>
      <c r="R89"/>
    </row>
    <row r="90" spans="1:18" ht="15" hidden="1" customHeight="1">
      <c r="A90" s="447"/>
      <c r="B90" s="448" t="s">
        <v>129</v>
      </c>
      <c r="C90" s="462"/>
      <c r="D90" s="458">
        <v>11000</v>
      </c>
      <c r="E90" s="447">
        <v>46227</v>
      </c>
      <c r="F90" s="447"/>
      <c r="G90" s="449"/>
      <c r="H90" s="14"/>
      <c r="I90" s="450"/>
      <c r="J90" s="451"/>
      <c r="K90" s="14"/>
      <c r="L90" s="42"/>
      <c r="M90" s="43"/>
      <c r="R90"/>
    </row>
    <row r="91" spans="1:18" ht="15" hidden="1" customHeight="1">
      <c r="A91" s="447"/>
      <c r="B91" s="448" t="s">
        <v>130</v>
      </c>
      <c r="C91" s="138"/>
      <c r="D91" s="458">
        <v>0</v>
      </c>
      <c r="E91" s="447">
        <v>46228</v>
      </c>
      <c r="F91" s="447"/>
      <c r="G91" s="449">
        <f>IF(F91&gt;0,0,D91)</f>
        <v>0</v>
      </c>
      <c r="H91" s="14"/>
      <c r="I91" s="450">
        <v>46174</v>
      </c>
      <c r="J91" s="451"/>
      <c r="K91" s="14"/>
      <c r="L91" s="39"/>
      <c r="M91" s="40"/>
      <c r="R91"/>
    </row>
    <row r="92" spans="1:18" ht="15" hidden="1" customHeight="1">
      <c r="A92" s="447"/>
      <c r="B92" s="18" t="s">
        <v>131</v>
      </c>
      <c r="C92" s="138" t="s">
        <v>13</v>
      </c>
      <c r="D92" s="458">
        <v>323.29000000000002</v>
      </c>
      <c r="E92" s="447">
        <v>46204</v>
      </c>
      <c r="F92" s="447">
        <v>46204</v>
      </c>
      <c r="G92" s="449"/>
      <c r="H92" s="14"/>
      <c r="I92" s="463"/>
      <c r="J92" s="464"/>
      <c r="K92" s="14"/>
      <c r="L92" s="39"/>
      <c r="M92" s="47"/>
      <c r="R92"/>
    </row>
    <row r="93" spans="1:18" ht="15" hidden="1" customHeight="1">
      <c r="A93" s="447"/>
      <c r="B93" s="61" t="s">
        <v>132</v>
      </c>
      <c r="C93" s="138" t="s">
        <v>13</v>
      </c>
      <c r="D93" s="458">
        <v>115</v>
      </c>
      <c r="E93" s="447">
        <v>46204</v>
      </c>
      <c r="F93" s="447">
        <v>46204</v>
      </c>
      <c r="G93" s="449"/>
      <c r="H93" s="14"/>
      <c r="I93" s="463"/>
      <c r="J93" s="464"/>
      <c r="K93" s="14"/>
      <c r="L93" s="39"/>
      <c r="M93" s="47"/>
      <c r="R93"/>
    </row>
    <row r="94" spans="1:18" ht="15" hidden="1" customHeight="1">
      <c r="A94" s="447"/>
      <c r="B94" s="18" t="s">
        <v>133</v>
      </c>
      <c r="C94" s="138" t="s">
        <v>13</v>
      </c>
      <c r="D94" s="458">
        <v>1000</v>
      </c>
      <c r="E94" s="447">
        <v>46204</v>
      </c>
      <c r="F94" s="447">
        <v>46204</v>
      </c>
      <c r="G94" s="449"/>
      <c r="H94" s="14"/>
      <c r="I94" s="463"/>
      <c r="J94" s="464"/>
      <c r="K94" s="14"/>
      <c r="L94" s="39"/>
      <c r="M94" s="47"/>
      <c r="R94"/>
    </row>
    <row r="95" spans="1:18" ht="15" hidden="1" customHeight="1">
      <c r="A95" s="447"/>
      <c r="B95" s="18" t="s">
        <v>134</v>
      </c>
      <c r="C95" s="138" t="s">
        <v>13</v>
      </c>
      <c r="D95" s="458">
        <v>37</v>
      </c>
      <c r="E95" s="447">
        <v>46204</v>
      </c>
      <c r="F95" s="447">
        <v>46204</v>
      </c>
      <c r="G95" s="449"/>
      <c r="H95" s="14"/>
      <c r="I95" s="463"/>
      <c r="J95" s="464"/>
      <c r="K95" s="14"/>
      <c r="L95" s="39"/>
      <c r="M95" s="47"/>
      <c r="R95"/>
    </row>
    <row r="96" spans="1:18" ht="15" hidden="1" customHeight="1">
      <c r="A96" s="447"/>
      <c r="B96" s="18" t="s">
        <v>135</v>
      </c>
      <c r="C96" s="138" t="s">
        <v>13</v>
      </c>
      <c r="D96" s="458">
        <v>205.77</v>
      </c>
      <c r="E96" s="447">
        <v>46204</v>
      </c>
      <c r="F96" s="447">
        <v>46204</v>
      </c>
      <c r="G96" s="449"/>
      <c r="H96" s="14"/>
      <c r="I96" s="463"/>
      <c r="J96" s="464"/>
      <c r="K96" s="14"/>
      <c r="L96" s="39"/>
      <c r="M96" s="47"/>
      <c r="R96"/>
    </row>
    <row r="97" spans="1:18" ht="15" hidden="1" customHeight="1">
      <c r="A97" s="447"/>
      <c r="B97" s="18" t="s">
        <v>136</v>
      </c>
      <c r="C97" s="138" t="s">
        <v>13</v>
      </c>
      <c r="D97" s="458">
        <v>2000</v>
      </c>
      <c r="E97" s="447">
        <v>46204</v>
      </c>
      <c r="F97" s="447">
        <v>46204</v>
      </c>
      <c r="G97" s="449"/>
      <c r="H97" s="14"/>
      <c r="I97" s="463"/>
      <c r="J97" s="464"/>
      <c r="K97" s="14"/>
      <c r="L97" s="39"/>
      <c r="M97" s="47"/>
      <c r="R97"/>
    </row>
    <row r="98" spans="1:18" ht="15" hidden="1" customHeight="1">
      <c r="A98" s="447"/>
      <c r="B98" s="18" t="s">
        <v>137</v>
      </c>
      <c r="C98" s="138" t="s">
        <v>13</v>
      </c>
      <c r="D98" s="458">
        <v>2230.4899999999998</v>
      </c>
      <c r="E98" s="447">
        <v>46205</v>
      </c>
      <c r="F98" s="447">
        <v>46205</v>
      </c>
      <c r="G98" s="449"/>
      <c r="H98" s="14"/>
      <c r="I98" s="463"/>
      <c r="J98" s="464"/>
      <c r="K98" s="14"/>
      <c r="L98" s="39"/>
      <c r="M98" s="47"/>
      <c r="R98"/>
    </row>
    <row r="99" spans="1:18" ht="15" hidden="1" customHeight="1">
      <c r="A99" s="447"/>
      <c r="B99" s="48" t="s">
        <v>138</v>
      </c>
      <c r="C99" s="138" t="s">
        <v>32</v>
      </c>
      <c r="D99" s="458">
        <v>88</v>
      </c>
      <c r="E99" s="447">
        <v>46204</v>
      </c>
      <c r="F99" s="447">
        <v>46204</v>
      </c>
      <c r="G99" s="449"/>
      <c r="H99" s="14"/>
      <c r="I99" s="463"/>
      <c r="J99" s="464"/>
      <c r="K99" s="14"/>
      <c r="L99" s="39"/>
      <c r="M99" s="47"/>
      <c r="R99"/>
    </row>
    <row r="100" spans="1:18" ht="15" hidden="1" customHeight="1">
      <c r="A100" s="447"/>
      <c r="B100" s="18" t="s">
        <v>139</v>
      </c>
      <c r="C100" s="138" t="s">
        <v>32</v>
      </c>
      <c r="D100" s="458">
        <v>280</v>
      </c>
      <c r="E100" s="447">
        <v>46204</v>
      </c>
      <c r="F100" s="447">
        <v>46204</v>
      </c>
      <c r="G100" s="449"/>
      <c r="H100" s="14"/>
      <c r="I100" s="463"/>
      <c r="J100" s="464"/>
      <c r="K100" s="14"/>
      <c r="L100" s="39"/>
      <c r="M100" s="47"/>
      <c r="R100"/>
    </row>
    <row r="101" spans="1:18" ht="15" hidden="1" customHeight="1">
      <c r="A101" s="447"/>
      <c r="B101" s="48" t="s">
        <v>140</v>
      </c>
      <c r="C101" s="138" t="s">
        <v>32</v>
      </c>
      <c r="D101" s="458" t="s">
        <v>141</v>
      </c>
      <c r="E101" s="447">
        <v>46204</v>
      </c>
      <c r="F101" s="447">
        <v>46204</v>
      </c>
      <c r="G101" s="449"/>
      <c r="H101" s="14"/>
      <c r="I101" s="463"/>
      <c r="J101" s="464"/>
      <c r="K101" s="14"/>
      <c r="L101" s="39"/>
      <c r="M101" s="47"/>
      <c r="R101"/>
    </row>
    <row r="102" spans="1:18" ht="15" hidden="1" customHeight="1">
      <c r="A102" s="447"/>
      <c r="B102" s="48" t="s">
        <v>142</v>
      </c>
      <c r="C102" s="138" t="s">
        <v>32</v>
      </c>
      <c r="D102" s="458" t="s">
        <v>143</v>
      </c>
      <c r="E102" s="447">
        <v>46204</v>
      </c>
      <c r="F102" s="447">
        <v>46204</v>
      </c>
      <c r="G102" s="449"/>
      <c r="H102" s="14"/>
      <c r="I102" s="463"/>
      <c r="J102" s="464"/>
      <c r="K102" s="14"/>
      <c r="L102" s="39"/>
      <c r="M102" s="47"/>
      <c r="R102"/>
    </row>
    <row r="103" spans="1:18" ht="15" hidden="1" customHeight="1">
      <c r="A103" s="447"/>
      <c r="B103" s="48" t="s">
        <v>144</v>
      </c>
      <c r="C103" s="138" t="s">
        <v>32</v>
      </c>
      <c r="D103" s="458" t="s">
        <v>145</v>
      </c>
      <c r="E103" s="447">
        <v>46204</v>
      </c>
      <c r="F103" s="447">
        <v>46204</v>
      </c>
      <c r="G103" s="449"/>
      <c r="H103" s="14"/>
      <c r="I103" s="463"/>
      <c r="J103" s="464"/>
      <c r="K103" s="14"/>
      <c r="L103" s="39"/>
      <c r="M103" s="47"/>
      <c r="R103"/>
    </row>
    <row r="104" spans="1:18" ht="15" hidden="1" customHeight="1">
      <c r="A104" s="447"/>
      <c r="B104" s="48" t="s">
        <v>146</v>
      </c>
      <c r="C104" s="457" t="s">
        <v>19</v>
      </c>
      <c r="D104" s="458">
        <v>500</v>
      </c>
      <c r="E104" s="447">
        <v>46206</v>
      </c>
      <c r="F104" s="447">
        <v>46206</v>
      </c>
      <c r="G104" s="449"/>
      <c r="H104" s="14"/>
      <c r="I104" s="463"/>
      <c r="J104" s="464"/>
      <c r="K104" s="14"/>
      <c r="L104" s="39"/>
      <c r="M104" s="47"/>
      <c r="R104"/>
    </row>
    <row r="105" spans="1:18" ht="15" hidden="1" customHeight="1">
      <c r="A105" s="447"/>
      <c r="B105" s="48" t="s">
        <v>147</v>
      </c>
      <c r="C105" s="457" t="s">
        <v>19</v>
      </c>
      <c r="D105" s="458">
        <v>2110</v>
      </c>
      <c r="E105" s="447">
        <v>46206</v>
      </c>
      <c r="F105" s="447">
        <v>46206</v>
      </c>
      <c r="G105" s="449"/>
      <c r="H105" s="14"/>
      <c r="I105" s="463"/>
      <c r="J105" s="464"/>
      <c r="K105" s="14"/>
      <c r="L105" s="39"/>
      <c r="M105" s="47"/>
      <c r="R105"/>
    </row>
    <row r="106" spans="1:18" ht="15" hidden="1" customHeight="1">
      <c r="A106" s="447"/>
      <c r="B106" s="18" t="s">
        <v>148</v>
      </c>
      <c r="C106" s="457" t="s">
        <v>19</v>
      </c>
      <c r="D106" s="458">
        <v>450</v>
      </c>
      <c r="E106" s="447">
        <v>46206</v>
      </c>
      <c r="F106" s="447">
        <v>46206</v>
      </c>
      <c r="G106" s="449"/>
      <c r="I106" s="313"/>
      <c r="J106" s="313"/>
      <c r="L106" s="45"/>
      <c r="M106" s="46"/>
      <c r="N106"/>
      <c r="O106"/>
      <c r="Q106"/>
      <c r="R106"/>
    </row>
    <row r="107" spans="1:18" ht="15" hidden="1" customHeight="1">
      <c r="A107" s="447"/>
      <c r="B107" s="448" t="s">
        <v>149</v>
      </c>
      <c r="C107" s="138" t="s">
        <v>13</v>
      </c>
      <c r="D107" s="458">
        <v>193.26</v>
      </c>
      <c r="E107" s="447">
        <v>46204</v>
      </c>
      <c r="F107" s="447">
        <v>46204</v>
      </c>
      <c r="G107" s="449"/>
      <c r="H107" s="14"/>
      <c r="I107" s="450"/>
      <c r="J107" s="451"/>
      <c r="K107" s="14"/>
      <c r="L107" s="39"/>
      <c r="M107" s="40"/>
      <c r="R107"/>
    </row>
    <row r="108" spans="1:18" ht="15" hidden="1" customHeight="1">
      <c r="A108" s="447"/>
      <c r="B108" s="448" t="s">
        <v>150</v>
      </c>
      <c r="C108" s="138" t="s">
        <v>151</v>
      </c>
      <c r="D108" s="458">
        <f>1652.44+383.27</f>
        <v>2035.71</v>
      </c>
      <c r="E108" s="447">
        <v>46204</v>
      </c>
      <c r="F108" s="447" t="s">
        <v>152</v>
      </c>
      <c r="G108" s="449">
        <f>IF(F108&gt;0,0,D108)</f>
        <v>0</v>
      </c>
      <c r="H108" s="14"/>
      <c r="I108" s="450">
        <v>46176</v>
      </c>
      <c r="J108" s="451">
        <f>SUMIF($E$3:$E$166,I108,$G$3:$G$166)</f>
        <v>0</v>
      </c>
      <c r="K108" s="14"/>
      <c r="L108" s="607" t="s">
        <v>153</v>
      </c>
      <c r="M108" s="602"/>
      <c r="R108"/>
    </row>
    <row r="109" spans="1:18" ht="15" hidden="1" customHeight="1">
      <c r="A109" s="447"/>
      <c r="B109" s="448" t="s">
        <v>154</v>
      </c>
      <c r="C109" s="138"/>
      <c r="D109" s="458">
        <f>20102.7</f>
        <v>20102.7</v>
      </c>
      <c r="E109" s="447">
        <v>46229</v>
      </c>
      <c r="F109" s="447"/>
      <c r="G109" s="449">
        <f>IF(F109&gt;0,0,D109)</f>
        <v>20102.7</v>
      </c>
      <c r="H109" s="14"/>
      <c r="I109" s="450">
        <v>46177</v>
      </c>
      <c r="J109" s="451">
        <f>SUMIF($E$3:$E$166,I109,$G$3:$G$166)</f>
        <v>0</v>
      </c>
      <c r="K109" s="14"/>
      <c r="L109" s="602" t="s">
        <v>155</v>
      </c>
      <c r="M109" s="602"/>
      <c r="R109"/>
    </row>
    <row r="110" spans="1:18" ht="15" hidden="1" customHeight="1">
      <c r="A110" s="447"/>
      <c r="B110" s="448" t="s">
        <v>156</v>
      </c>
      <c r="C110" s="138"/>
      <c r="D110" s="458">
        <v>1569</v>
      </c>
      <c r="E110" s="447">
        <v>46214</v>
      </c>
      <c r="F110" s="447">
        <v>46214</v>
      </c>
      <c r="G110" s="449"/>
      <c r="H110" s="14"/>
      <c r="I110" s="450"/>
      <c r="J110" s="451"/>
      <c r="K110" s="14"/>
      <c r="L110" s="535"/>
      <c r="M110" s="535"/>
      <c r="R110"/>
    </row>
    <row r="111" spans="1:18" ht="15" hidden="1" customHeight="1">
      <c r="A111" s="447"/>
      <c r="B111" s="448" t="s">
        <v>157</v>
      </c>
      <c r="C111" s="138"/>
      <c r="D111" s="458">
        <v>249.46</v>
      </c>
      <c r="E111" s="447">
        <v>46213</v>
      </c>
      <c r="F111" s="455">
        <v>46213</v>
      </c>
      <c r="G111" s="449">
        <f>IF(F111&gt;0,0,D111)</f>
        <v>0</v>
      </c>
      <c r="H111" s="14"/>
      <c r="I111" s="450">
        <v>46178</v>
      </c>
      <c r="J111" s="451">
        <f>SUMIF($E$3:$E$166,I111,$G$3:$G$166)</f>
        <v>0</v>
      </c>
      <c r="K111" s="14"/>
      <c r="L111" s="602" t="s">
        <v>158</v>
      </c>
      <c r="M111" s="602"/>
      <c r="R111"/>
    </row>
    <row r="112" spans="1:18" ht="15" hidden="1" customHeight="1">
      <c r="A112" s="447"/>
      <c r="B112" s="448" t="s">
        <v>159</v>
      </c>
      <c r="C112" s="138" t="s">
        <v>13</v>
      </c>
      <c r="D112" s="458">
        <v>10500</v>
      </c>
      <c r="E112" s="447">
        <v>46205</v>
      </c>
      <c r="F112" s="447">
        <v>46205</v>
      </c>
      <c r="G112" s="449"/>
      <c r="H112" s="14"/>
      <c r="I112" s="450"/>
      <c r="J112" s="451"/>
      <c r="K112" s="14"/>
      <c r="L112" s="535"/>
      <c r="M112" s="535"/>
      <c r="R112"/>
    </row>
    <row r="113" spans="1:18" ht="15" hidden="1" customHeight="1">
      <c r="A113" s="447"/>
      <c r="B113" s="448" t="s">
        <v>160</v>
      </c>
      <c r="C113" s="138" t="s">
        <v>90</v>
      </c>
      <c r="D113" s="458">
        <v>70.790000000000006</v>
      </c>
      <c r="E113" s="447">
        <v>46205</v>
      </c>
      <c r="F113" s="447">
        <v>46205</v>
      </c>
      <c r="G113" s="449"/>
      <c r="H113" s="14"/>
      <c r="I113" s="450"/>
      <c r="J113" s="451"/>
      <c r="K113" s="14"/>
      <c r="L113" s="535"/>
      <c r="M113" s="535"/>
      <c r="R113"/>
    </row>
    <row r="114" spans="1:18" ht="15" hidden="1" customHeight="1">
      <c r="A114" s="447"/>
      <c r="B114" s="448" t="s">
        <v>161</v>
      </c>
      <c r="C114" s="138" t="s">
        <v>90</v>
      </c>
      <c r="D114" s="458">
        <v>386.52</v>
      </c>
      <c r="E114" s="447">
        <v>46205</v>
      </c>
      <c r="F114" s="447">
        <v>46205</v>
      </c>
      <c r="G114" s="449"/>
      <c r="H114" s="14"/>
      <c r="I114" s="450"/>
      <c r="J114" s="451"/>
      <c r="K114" s="14"/>
      <c r="L114" s="535"/>
      <c r="M114" s="535"/>
      <c r="R114"/>
    </row>
    <row r="115" spans="1:18" ht="15" hidden="1" customHeight="1">
      <c r="A115" s="447"/>
      <c r="B115" s="448" t="s">
        <v>162</v>
      </c>
      <c r="C115" s="138" t="s">
        <v>90</v>
      </c>
      <c r="D115" s="458">
        <v>600</v>
      </c>
      <c r="E115" s="447">
        <v>46205</v>
      </c>
      <c r="F115" s="447">
        <v>46205</v>
      </c>
      <c r="G115" s="449"/>
      <c r="H115" s="14"/>
      <c r="I115" s="450"/>
      <c r="J115" s="451"/>
      <c r="K115" s="14"/>
      <c r="L115" s="535"/>
      <c r="M115" s="535"/>
      <c r="R115"/>
    </row>
    <row r="116" spans="1:18" ht="15" hidden="1" customHeight="1">
      <c r="A116" s="447"/>
      <c r="B116" s="448" t="s">
        <v>163</v>
      </c>
      <c r="C116" s="138" t="s">
        <v>90</v>
      </c>
      <c r="D116" s="458">
        <v>1500</v>
      </c>
      <c r="E116" s="447">
        <v>46205</v>
      </c>
      <c r="F116" s="447">
        <v>46205</v>
      </c>
      <c r="G116" s="449"/>
      <c r="H116" s="14"/>
      <c r="I116" s="450"/>
      <c r="J116" s="451"/>
      <c r="K116" s="14"/>
      <c r="L116" s="535"/>
      <c r="M116" s="535"/>
      <c r="R116"/>
    </row>
    <row r="117" spans="1:18" ht="15" hidden="1" customHeight="1">
      <c r="A117" s="447"/>
      <c r="B117" s="448" t="s">
        <v>164</v>
      </c>
      <c r="C117" s="138" t="s">
        <v>90</v>
      </c>
      <c r="D117" s="458">
        <v>246.4</v>
      </c>
      <c r="E117" s="447">
        <v>46205</v>
      </c>
      <c r="F117" s="447">
        <v>46205</v>
      </c>
      <c r="G117" s="449"/>
      <c r="H117" s="14"/>
      <c r="I117" s="450"/>
      <c r="J117" s="451"/>
      <c r="K117" s="14"/>
      <c r="L117" s="535"/>
      <c r="M117" s="535"/>
      <c r="R117"/>
    </row>
    <row r="118" spans="1:18" ht="15" hidden="1" customHeight="1">
      <c r="A118" s="447"/>
      <c r="B118" s="448" t="s">
        <v>165</v>
      </c>
      <c r="C118" s="138" t="s">
        <v>90</v>
      </c>
      <c r="D118" s="458">
        <v>70000</v>
      </c>
      <c r="E118" s="447">
        <v>46205</v>
      </c>
      <c r="F118" s="447">
        <v>46205</v>
      </c>
      <c r="G118" s="449"/>
      <c r="H118" s="14"/>
      <c r="I118" s="450"/>
      <c r="J118" s="451"/>
      <c r="K118" s="14"/>
      <c r="L118" s="535"/>
      <c r="M118" s="535"/>
      <c r="R118"/>
    </row>
    <row r="119" spans="1:18" ht="15" hidden="1" customHeight="1">
      <c r="A119" s="447"/>
      <c r="B119" s="448" t="s">
        <v>166</v>
      </c>
      <c r="C119" s="138" t="s">
        <v>90</v>
      </c>
      <c r="D119" s="458">
        <v>15</v>
      </c>
      <c r="E119" s="447">
        <v>46205</v>
      </c>
      <c r="F119" s="447">
        <v>46205</v>
      </c>
      <c r="G119" s="449"/>
      <c r="H119" s="14"/>
      <c r="I119" s="450"/>
      <c r="J119" s="451"/>
      <c r="K119" s="14"/>
      <c r="L119" s="535"/>
      <c r="M119" s="535"/>
      <c r="R119"/>
    </row>
    <row r="120" spans="1:18" ht="15" hidden="1" customHeight="1">
      <c r="A120" s="447"/>
      <c r="B120" s="448" t="s">
        <v>167</v>
      </c>
      <c r="C120" s="138" t="s">
        <v>90</v>
      </c>
      <c r="D120" s="458">
        <v>535</v>
      </c>
      <c r="E120" s="447">
        <v>46205</v>
      </c>
      <c r="F120" s="447">
        <v>46205</v>
      </c>
      <c r="G120" s="449"/>
      <c r="H120" s="14"/>
      <c r="I120" s="450"/>
      <c r="J120" s="451"/>
      <c r="K120" s="14"/>
      <c r="L120" s="535"/>
      <c r="M120" s="535"/>
      <c r="R120"/>
    </row>
    <row r="121" spans="1:18" ht="15" hidden="1" customHeight="1">
      <c r="A121" s="447"/>
      <c r="B121" s="448" t="s">
        <v>166</v>
      </c>
      <c r="C121" s="138" t="s">
        <v>90</v>
      </c>
      <c r="D121" s="458">
        <v>300</v>
      </c>
      <c r="E121" s="447">
        <v>46205</v>
      </c>
      <c r="F121" s="447">
        <v>46205</v>
      </c>
      <c r="G121" s="449"/>
      <c r="H121" s="14"/>
      <c r="I121" s="450"/>
      <c r="J121" s="451"/>
      <c r="K121" s="14"/>
      <c r="L121" s="535"/>
      <c r="M121" s="535"/>
      <c r="R121"/>
    </row>
    <row r="122" spans="1:18" ht="15" hidden="1" customHeight="1">
      <c r="A122" s="447"/>
      <c r="B122" s="448" t="s">
        <v>168</v>
      </c>
      <c r="C122" s="457" t="s">
        <v>19</v>
      </c>
      <c r="D122" s="458">
        <v>150</v>
      </c>
      <c r="E122" s="447">
        <v>46206</v>
      </c>
      <c r="F122" s="447">
        <v>46206</v>
      </c>
      <c r="G122" s="449"/>
      <c r="H122" s="14"/>
      <c r="I122" s="450"/>
      <c r="J122" s="451"/>
      <c r="K122" s="14"/>
      <c r="L122" s="535"/>
      <c r="M122" s="535"/>
      <c r="R122"/>
    </row>
    <row r="123" spans="1:18" ht="15" hidden="1" customHeight="1">
      <c r="A123" s="447"/>
      <c r="B123" s="448" t="s">
        <v>169</v>
      </c>
      <c r="C123" s="457" t="s">
        <v>19</v>
      </c>
      <c r="D123" s="458">
        <v>1826.44</v>
      </c>
      <c r="E123" s="447">
        <v>46206</v>
      </c>
      <c r="F123" s="447">
        <v>46206</v>
      </c>
      <c r="G123" s="449"/>
      <c r="H123" s="14"/>
      <c r="I123" s="450"/>
      <c r="J123" s="451"/>
      <c r="K123" s="14"/>
      <c r="L123" s="535"/>
      <c r="M123" s="535"/>
      <c r="R123"/>
    </row>
    <row r="124" spans="1:18" ht="15" hidden="1" customHeight="1">
      <c r="A124" s="447"/>
      <c r="B124" s="448" t="s">
        <v>25</v>
      </c>
      <c r="C124" s="457" t="s">
        <v>19</v>
      </c>
      <c r="D124" s="458">
        <v>773.04</v>
      </c>
      <c r="E124" s="447">
        <v>46206</v>
      </c>
      <c r="F124" s="447">
        <v>46206</v>
      </c>
      <c r="G124" s="449"/>
      <c r="H124" s="14"/>
      <c r="I124" s="450"/>
      <c r="J124" s="451"/>
      <c r="K124" s="14"/>
      <c r="L124" s="535"/>
      <c r="M124" s="535"/>
      <c r="R124"/>
    </row>
    <row r="125" spans="1:18" ht="15" hidden="1" customHeight="1">
      <c r="A125" s="447"/>
      <c r="B125" s="448" t="s">
        <v>170</v>
      </c>
      <c r="C125" s="457" t="s">
        <v>19</v>
      </c>
      <c r="D125" s="458">
        <v>250</v>
      </c>
      <c r="E125" s="447">
        <v>46206</v>
      </c>
      <c r="F125" s="447">
        <v>46206</v>
      </c>
      <c r="G125" s="449"/>
      <c r="H125" s="14"/>
      <c r="I125" s="450"/>
      <c r="J125" s="451"/>
      <c r="K125" s="14"/>
      <c r="L125" s="535"/>
      <c r="M125" s="535"/>
      <c r="R125"/>
    </row>
    <row r="126" spans="1:18" ht="15" hidden="1" customHeight="1">
      <c r="A126" s="447"/>
      <c r="B126" s="448" t="s">
        <v>171</v>
      </c>
      <c r="C126" s="138" t="s">
        <v>90</v>
      </c>
      <c r="D126" s="458">
        <v>1000</v>
      </c>
      <c r="E126" s="447">
        <v>46207</v>
      </c>
      <c r="F126" s="447">
        <v>46207</v>
      </c>
      <c r="G126" s="449"/>
      <c r="H126" s="14"/>
      <c r="I126" s="450"/>
      <c r="J126" s="451"/>
      <c r="K126" s="14"/>
      <c r="L126" s="535"/>
      <c r="M126" s="535"/>
      <c r="R126"/>
    </row>
    <row r="127" spans="1:18" ht="15" hidden="1" customHeight="1">
      <c r="A127" s="447"/>
      <c r="B127" s="452" t="s">
        <v>172</v>
      </c>
      <c r="C127" s="138" t="s">
        <v>32</v>
      </c>
      <c r="D127" s="458">
        <v>250</v>
      </c>
      <c r="E127" s="447">
        <v>46205</v>
      </c>
      <c r="F127" s="447">
        <v>46205</v>
      </c>
      <c r="G127" s="449"/>
      <c r="H127" s="14"/>
      <c r="I127" s="450"/>
      <c r="J127" s="451"/>
      <c r="K127" s="14"/>
      <c r="L127" s="535"/>
      <c r="M127" s="535"/>
      <c r="R127"/>
    </row>
    <row r="128" spans="1:18" ht="15" hidden="1" customHeight="1">
      <c r="A128" s="447"/>
      <c r="B128" s="448" t="s">
        <v>173</v>
      </c>
      <c r="C128" s="138" t="s">
        <v>32</v>
      </c>
      <c r="D128" s="458">
        <v>200</v>
      </c>
      <c r="E128" s="447">
        <v>46205</v>
      </c>
      <c r="F128" s="447">
        <v>46205</v>
      </c>
      <c r="G128" s="449"/>
      <c r="H128" s="14"/>
      <c r="I128" s="450"/>
      <c r="J128" s="451"/>
      <c r="K128" s="14"/>
      <c r="L128" s="535"/>
      <c r="M128" s="535"/>
      <c r="R128"/>
    </row>
    <row r="129" spans="1:18" ht="15" hidden="1" customHeight="1">
      <c r="A129" s="447"/>
      <c r="B129" s="448" t="s">
        <v>174</v>
      </c>
      <c r="C129" s="138" t="s">
        <v>32</v>
      </c>
      <c r="D129" s="458">
        <v>192.79</v>
      </c>
      <c r="E129" s="447">
        <v>46205</v>
      </c>
      <c r="F129" s="447">
        <v>46205</v>
      </c>
      <c r="G129" s="449"/>
      <c r="H129" s="14"/>
      <c r="I129" s="450"/>
      <c r="J129" s="451"/>
      <c r="K129" s="14"/>
      <c r="L129" s="535"/>
      <c r="M129" s="535"/>
      <c r="R129"/>
    </row>
    <row r="130" spans="1:18" ht="15" hidden="1" customHeight="1">
      <c r="A130" s="447"/>
      <c r="B130" s="448" t="s">
        <v>175</v>
      </c>
      <c r="C130" s="457" t="s">
        <v>19</v>
      </c>
      <c r="D130" s="458">
        <v>773.14</v>
      </c>
      <c r="E130" s="447">
        <v>46213</v>
      </c>
      <c r="F130" s="455">
        <v>46213</v>
      </c>
      <c r="G130" s="449"/>
      <c r="H130" s="14"/>
      <c r="I130" s="450"/>
      <c r="J130" s="451"/>
      <c r="K130" s="14"/>
      <c r="L130" s="535"/>
      <c r="M130" s="535"/>
      <c r="R130"/>
    </row>
    <row r="131" spans="1:18" ht="15" hidden="1" customHeight="1">
      <c r="A131" s="447"/>
      <c r="B131" s="448" t="s">
        <v>176</v>
      </c>
      <c r="C131" s="457" t="s">
        <v>19</v>
      </c>
      <c r="D131" s="458">
        <v>990</v>
      </c>
      <c r="E131" s="447">
        <v>46210</v>
      </c>
      <c r="F131" s="447">
        <v>46210</v>
      </c>
      <c r="G131" s="449"/>
      <c r="H131" s="14"/>
      <c r="I131" s="450"/>
      <c r="J131" s="451"/>
      <c r="K131" s="14"/>
      <c r="L131" s="535"/>
      <c r="M131" s="535"/>
      <c r="R131"/>
    </row>
    <row r="132" spans="1:18" ht="15" hidden="1" customHeight="1">
      <c r="A132" s="447"/>
      <c r="B132" s="448" t="s">
        <v>177</v>
      </c>
      <c r="C132" s="457" t="s">
        <v>19</v>
      </c>
      <c r="D132" s="458">
        <v>2640</v>
      </c>
      <c r="E132" s="447">
        <v>46210</v>
      </c>
      <c r="F132" s="447">
        <v>46210</v>
      </c>
      <c r="G132" s="449"/>
      <c r="H132" s="14"/>
      <c r="I132" s="450"/>
      <c r="J132" s="451"/>
      <c r="K132" s="14"/>
      <c r="L132" s="535"/>
      <c r="M132" s="535"/>
      <c r="R132"/>
    </row>
    <row r="133" spans="1:18" ht="15" hidden="1" customHeight="1">
      <c r="A133" s="447"/>
      <c r="B133" s="448" t="s">
        <v>178</v>
      </c>
      <c r="C133" s="457" t="s">
        <v>19</v>
      </c>
      <c r="D133" s="458">
        <v>500</v>
      </c>
      <c r="E133" s="447">
        <v>46210</v>
      </c>
      <c r="F133" s="447">
        <v>46210</v>
      </c>
      <c r="G133" s="449"/>
      <c r="H133" s="14"/>
      <c r="I133" s="450"/>
      <c r="J133" s="451"/>
      <c r="K133" s="14"/>
      <c r="L133" s="535"/>
      <c r="M133" s="535"/>
      <c r="R133"/>
    </row>
    <row r="134" spans="1:18" ht="15" hidden="1" customHeight="1">
      <c r="A134" s="447"/>
      <c r="B134" s="448" t="s">
        <v>179</v>
      </c>
      <c r="C134" s="457" t="s">
        <v>19</v>
      </c>
      <c r="D134" s="458">
        <v>900</v>
      </c>
      <c r="E134" s="447">
        <v>46210</v>
      </c>
      <c r="F134" s="447">
        <v>46210</v>
      </c>
      <c r="G134" s="449"/>
      <c r="H134" s="14"/>
      <c r="I134" s="450"/>
      <c r="J134" s="451"/>
      <c r="K134" s="14"/>
      <c r="L134" s="535"/>
      <c r="M134" s="535"/>
      <c r="R134"/>
    </row>
    <row r="135" spans="1:18" ht="15" hidden="1" customHeight="1">
      <c r="A135" s="447"/>
      <c r="B135" s="448" t="s">
        <v>180</v>
      </c>
      <c r="C135" s="457" t="s">
        <v>19</v>
      </c>
      <c r="D135" s="458">
        <v>330</v>
      </c>
      <c r="E135" s="447">
        <v>46210</v>
      </c>
      <c r="F135" s="447">
        <v>46210</v>
      </c>
      <c r="G135" s="449"/>
      <c r="H135" s="14"/>
      <c r="I135" s="450"/>
      <c r="J135" s="451"/>
      <c r="K135" s="14"/>
      <c r="L135" s="535"/>
      <c r="M135" s="535"/>
      <c r="R135"/>
    </row>
    <row r="136" spans="1:18" ht="15" hidden="1" customHeight="1">
      <c r="A136" s="447"/>
      <c r="B136" s="448" t="s">
        <v>181</v>
      </c>
      <c r="C136" s="457" t="s">
        <v>19</v>
      </c>
      <c r="D136" s="458">
        <v>900</v>
      </c>
      <c r="E136" s="447">
        <v>46211</v>
      </c>
      <c r="F136" s="455">
        <v>46211</v>
      </c>
      <c r="G136" s="449"/>
      <c r="H136" s="14"/>
      <c r="I136" s="450"/>
      <c r="J136" s="451"/>
      <c r="K136" s="14"/>
      <c r="L136" s="535"/>
      <c r="M136" s="535"/>
      <c r="R136"/>
    </row>
    <row r="137" spans="1:18" ht="15" hidden="1" customHeight="1">
      <c r="A137" s="447"/>
      <c r="B137" s="448" t="s">
        <v>182</v>
      </c>
      <c r="C137" s="138" t="s">
        <v>19</v>
      </c>
      <c r="D137" s="458">
        <v>119.9</v>
      </c>
      <c r="E137" s="447">
        <v>46209</v>
      </c>
      <c r="F137" s="447">
        <v>46210</v>
      </c>
      <c r="G137" s="449"/>
      <c r="H137" s="14"/>
      <c r="I137" s="450"/>
      <c r="J137" s="451"/>
      <c r="K137" s="14"/>
      <c r="L137" s="535"/>
      <c r="M137" s="535"/>
      <c r="R137"/>
    </row>
    <row r="138" spans="1:18" ht="15" hidden="1" customHeight="1">
      <c r="A138" s="447"/>
      <c r="B138" s="448" t="s">
        <v>70</v>
      </c>
      <c r="C138" s="457" t="s">
        <v>19</v>
      </c>
      <c r="D138" s="458">
        <v>2432.1799999999998</v>
      </c>
      <c r="E138" s="447">
        <v>46211</v>
      </c>
      <c r="F138" s="455">
        <v>46211</v>
      </c>
      <c r="G138" s="449"/>
      <c r="H138" s="14"/>
      <c r="I138" s="450"/>
      <c r="J138" s="451"/>
      <c r="K138" s="14"/>
      <c r="L138" s="535"/>
      <c r="M138" s="535"/>
      <c r="R138"/>
    </row>
    <row r="139" spans="1:18" ht="15" hidden="1" customHeight="1">
      <c r="A139" s="447"/>
      <c r="B139" s="448" t="s">
        <v>183</v>
      </c>
      <c r="C139" s="457" t="s">
        <v>19</v>
      </c>
      <c r="D139" s="458">
        <v>398</v>
      </c>
      <c r="E139" s="447">
        <v>46211</v>
      </c>
      <c r="F139" s="455">
        <v>46211</v>
      </c>
      <c r="G139" s="449"/>
      <c r="H139" s="14"/>
      <c r="I139" s="450"/>
      <c r="J139" s="451"/>
      <c r="K139" s="14"/>
      <c r="L139" s="535"/>
      <c r="M139" s="535"/>
      <c r="R139"/>
    </row>
    <row r="140" spans="1:18" ht="15" hidden="1" customHeight="1">
      <c r="A140" s="447"/>
      <c r="B140" s="448" t="s">
        <v>184</v>
      </c>
      <c r="C140" s="457" t="s">
        <v>19</v>
      </c>
      <c r="D140" s="458">
        <v>168.42</v>
      </c>
      <c r="E140" s="447">
        <v>46211</v>
      </c>
      <c r="F140" s="455">
        <v>46211</v>
      </c>
      <c r="G140" s="449"/>
      <c r="H140" s="14"/>
      <c r="I140" s="450"/>
      <c r="J140" s="451"/>
      <c r="K140" s="14"/>
      <c r="L140" s="535"/>
      <c r="M140" s="535"/>
      <c r="R140"/>
    </row>
    <row r="141" spans="1:18" ht="15" hidden="1" customHeight="1">
      <c r="A141" s="447"/>
      <c r="B141" s="448" t="s">
        <v>185</v>
      </c>
      <c r="C141" s="457" t="s">
        <v>19</v>
      </c>
      <c r="D141" s="458">
        <v>1250</v>
      </c>
      <c r="E141" s="447">
        <v>46211</v>
      </c>
      <c r="F141" s="455">
        <v>46211</v>
      </c>
      <c r="G141" s="449"/>
      <c r="H141" s="14"/>
      <c r="I141" s="450"/>
      <c r="J141" s="451"/>
      <c r="K141" s="14"/>
      <c r="L141" s="535"/>
      <c r="M141" s="535"/>
      <c r="R141"/>
    </row>
    <row r="142" spans="1:18" ht="15" hidden="1" customHeight="1">
      <c r="A142" s="447"/>
      <c r="B142" s="448" t="s">
        <v>186</v>
      </c>
      <c r="C142" s="457" t="s">
        <v>19</v>
      </c>
      <c r="D142" s="458">
        <v>22.86</v>
      </c>
      <c r="E142" s="447">
        <v>46216</v>
      </c>
      <c r="F142" s="447">
        <v>46216</v>
      </c>
      <c r="G142" s="449"/>
      <c r="H142" s="14"/>
      <c r="I142" s="450"/>
      <c r="J142" s="451"/>
      <c r="K142" s="14"/>
      <c r="L142" s="535"/>
      <c r="M142" s="535"/>
      <c r="R142"/>
    </row>
    <row r="143" spans="1:18" ht="15" hidden="1" customHeight="1">
      <c r="A143" s="447"/>
      <c r="B143" s="448" t="s">
        <v>187</v>
      </c>
      <c r="C143" s="457" t="s">
        <v>19</v>
      </c>
      <c r="D143" s="458">
        <v>2689.16</v>
      </c>
      <c r="E143" s="447">
        <v>46215</v>
      </c>
      <c r="F143" s="447">
        <v>46216</v>
      </c>
      <c r="G143" s="449"/>
      <c r="H143" s="14"/>
      <c r="I143" s="450"/>
      <c r="J143" s="451"/>
      <c r="K143" s="14"/>
      <c r="L143" s="535"/>
      <c r="M143" s="535"/>
      <c r="R143"/>
    </row>
    <row r="144" spans="1:18" ht="15" hidden="1" customHeight="1">
      <c r="A144" s="447"/>
      <c r="B144" s="448" t="s">
        <v>188</v>
      </c>
      <c r="C144" s="457" t="s">
        <v>19</v>
      </c>
      <c r="D144" s="458">
        <v>15244</v>
      </c>
      <c r="E144" s="447">
        <v>46215</v>
      </c>
      <c r="F144" s="447">
        <v>46216</v>
      </c>
      <c r="G144" s="449"/>
      <c r="H144" s="14"/>
      <c r="I144" s="450"/>
      <c r="J144" s="451"/>
      <c r="K144" s="14"/>
      <c r="L144" s="535" t="s">
        <v>189</v>
      </c>
      <c r="M144" s="535"/>
      <c r="R144"/>
    </row>
    <row r="145" spans="1:18" ht="15" hidden="1" customHeight="1">
      <c r="A145" s="447"/>
      <c r="B145" s="448" t="s">
        <v>190</v>
      </c>
      <c r="C145" s="457" t="s">
        <v>19</v>
      </c>
      <c r="D145" s="458">
        <v>1590</v>
      </c>
      <c r="E145" s="447">
        <v>46215</v>
      </c>
      <c r="F145" s="447">
        <v>46216</v>
      </c>
      <c r="G145" s="449"/>
      <c r="H145" s="14"/>
      <c r="I145" s="450"/>
      <c r="J145" s="451"/>
      <c r="K145" s="14"/>
      <c r="L145" s="602"/>
      <c r="M145" s="602"/>
      <c r="R145"/>
    </row>
    <row r="146" spans="1:18" ht="15" customHeight="1">
      <c r="A146" s="447"/>
      <c r="B146" s="448" t="s">
        <v>191</v>
      </c>
      <c r="C146" s="138"/>
      <c r="D146" s="458">
        <v>2166.66</v>
      </c>
      <c r="E146" s="447">
        <v>46223</v>
      </c>
      <c r="F146" s="447"/>
      <c r="G146" s="449">
        <f>IF(F146&gt;0,0,D146)</f>
        <v>2166.66</v>
      </c>
      <c r="H146" s="14"/>
      <c r="I146" s="450"/>
      <c r="J146" s="451"/>
      <c r="K146" s="14"/>
      <c r="L146" s="536" t="s">
        <v>192</v>
      </c>
      <c r="M146" s="465" t="s">
        <v>193</v>
      </c>
      <c r="R146"/>
    </row>
    <row r="147" spans="1:18" ht="15" hidden="1" customHeight="1">
      <c r="A147" s="447"/>
      <c r="B147" s="448" t="s">
        <v>194</v>
      </c>
      <c r="C147" s="138" t="s">
        <v>90</v>
      </c>
      <c r="D147" s="458">
        <v>600</v>
      </c>
      <c r="E147" s="447">
        <v>46218</v>
      </c>
      <c r="F147" s="447">
        <v>46218</v>
      </c>
      <c r="G147" s="449"/>
      <c r="H147" s="14"/>
      <c r="I147" s="450"/>
      <c r="J147" s="451"/>
      <c r="K147" s="14"/>
      <c r="L147" s="536"/>
      <c r="M147" s="465"/>
      <c r="R147"/>
    </row>
    <row r="148" spans="1:18" ht="15" hidden="1" customHeight="1">
      <c r="A148" s="447"/>
      <c r="B148" s="448" t="s">
        <v>66</v>
      </c>
      <c r="C148" s="138" t="s">
        <v>90</v>
      </c>
      <c r="D148" s="458">
        <v>810.47</v>
      </c>
      <c r="E148" s="447">
        <v>46218</v>
      </c>
      <c r="F148" s="447">
        <v>46218</v>
      </c>
      <c r="G148" s="449"/>
      <c r="H148" s="14"/>
      <c r="I148" s="450"/>
      <c r="J148" s="451"/>
      <c r="K148" s="14"/>
      <c r="L148" s="536"/>
      <c r="M148" s="465"/>
      <c r="R148"/>
    </row>
    <row r="149" spans="1:18" ht="15" hidden="1" customHeight="1">
      <c r="A149" s="447"/>
      <c r="B149" s="448" t="s">
        <v>195</v>
      </c>
      <c r="C149" s="138"/>
      <c r="D149" s="458">
        <v>1950</v>
      </c>
      <c r="E149" s="447">
        <v>46216</v>
      </c>
      <c r="F149" s="447">
        <v>46216</v>
      </c>
      <c r="G149" s="449"/>
      <c r="H149" s="14"/>
      <c r="I149" s="450"/>
      <c r="J149" s="451"/>
      <c r="K149" s="14"/>
      <c r="L149" s="536"/>
      <c r="M149" s="465"/>
      <c r="R149"/>
    </row>
    <row r="150" spans="1:18" ht="15" hidden="1" customHeight="1">
      <c r="A150" s="447"/>
      <c r="B150" s="448" t="s">
        <v>196</v>
      </c>
      <c r="C150" s="138"/>
      <c r="D150" s="458">
        <v>1950</v>
      </c>
      <c r="E150" s="447">
        <v>46246</v>
      </c>
      <c r="F150" s="447"/>
      <c r="G150" s="449"/>
      <c r="H150" s="14"/>
      <c r="I150" s="450"/>
      <c r="J150" s="451"/>
      <c r="K150" s="14"/>
      <c r="L150" s="536"/>
      <c r="M150" s="465"/>
      <c r="R150"/>
    </row>
    <row r="151" spans="1:18" ht="15" hidden="1" customHeight="1">
      <c r="A151" s="447"/>
      <c r="B151" s="448" t="s">
        <v>197</v>
      </c>
      <c r="C151" s="138"/>
      <c r="D151" s="458">
        <v>1950</v>
      </c>
      <c r="E151" s="447">
        <v>46276</v>
      </c>
      <c r="F151" s="447"/>
      <c r="G151" s="449"/>
      <c r="H151" s="14"/>
      <c r="I151" s="450"/>
      <c r="J151" s="451"/>
      <c r="K151" s="14"/>
      <c r="L151" s="536"/>
      <c r="M151" s="465"/>
      <c r="R151"/>
    </row>
    <row r="152" spans="1:18" ht="15" hidden="1" customHeight="1">
      <c r="A152" s="447"/>
      <c r="B152" s="448" t="s">
        <v>198</v>
      </c>
      <c r="C152" s="138" t="s">
        <v>90</v>
      </c>
      <c r="D152" s="458">
        <v>50</v>
      </c>
      <c r="E152" s="447">
        <v>46218</v>
      </c>
      <c r="F152" s="447">
        <v>46218</v>
      </c>
      <c r="G152" s="449"/>
      <c r="H152" s="14"/>
      <c r="I152" s="450"/>
      <c r="J152" s="451"/>
      <c r="K152" s="14"/>
      <c r="L152" s="536"/>
      <c r="M152" s="465"/>
      <c r="R152"/>
    </row>
    <row r="153" spans="1:18" ht="15" hidden="1" customHeight="1">
      <c r="A153" s="447"/>
      <c r="B153" s="448" t="s">
        <v>199</v>
      </c>
      <c r="C153" s="138" t="s">
        <v>90</v>
      </c>
      <c r="D153" s="458">
        <v>545.08000000000004</v>
      </c>
      <c r="E153" s="447">
        <v>46218</v>
      </c>
      <c r="F153" s="447">
        <v>46218</v>
      </c>
      <c r="G153" s="449"/>
      <c r="H153" s="14"/>
      <c r="I153" s="450"/>
      <c r="J153" s="451"/>
      <c r="K153" s="14"/>
      <c r="L153" s="536"/>
      <c r="M153" s="465"/>
      <c r="R153"/>
    </row>
    <row r="154" spans="1:18" ht="15" hidden="1" customHeight="1">
      <c r="A154" s="447"/>
      <c r="B154" s="448" t="s">
        <v>200</v>
      </c>
      <c r="C154" s="138" t="s">
        <v>90</v>
      </c>
      <c r="D154" s="458">
        <v>6000</v>
      </c>
      <c r="E154" s="447">
        <v>46218</v>
      </c>
      <c r="F154" s="447">
        <v>46218</v>
      </c>
      <c r="G154" s="449"/>
      <c r="H154" s="14"/>
      <c r="I154" s="450"/>
      <c r="J154" s="451"/>
      <c r="K154" s="14"/>
      <c r="L154" s="607" t="s">
        <v>76</v>
      </c>
      <c r="M154" s="602"/>
      <c r="R154"/>
    </row>
    <row r="155" spans="1:18" ht="15" hidden="1" customHeight="1">
      <c r="A155" s="447"/>
      <c r="B155" s="448" t="s">
        <v>201</v>
      </c>
      <c r="C155" s="138"/>
      <c r="D155" s="458">
        <v>773.32</v>
      </c>
      <c r="E155" s="447">
        <v>46228</v>
      </c>
      <c r="F155" s="447"/>
      <c r="G155" s="449"/>
      <c r="H155" s="14"/>
      <c r="I155" s="450"/>
      <c r="J155" s="451"/>
      <c r="K155" s="14"/>
      <c r="L155" s="544"/>
      <c r="M155" s="543"/>
      <c r="R155"/>
    </row>
    <row r="156" spans="1:18" ht="15" hidden="1" customHeight="1">
      <c r="A156" s="447"/>
      <c r="B156" s="448" t="s">
        <v>202</v>
      </c>
      <c r="C156" s="138">
        <v>5070</v>
      </c>
      <c r="D156" s="458">
        <v>40311.54</v>
      </c>
      <c r="E156" s="447">
        <v>46228</v>
      </c>
      <c r="F156" s="447"/>
      <c r="G156" s="449"/>
      <c r="H156" s="14"/>
      <c r="I156" s="450"/>
      <c r="J156" s="451"/>
      <c r="K156" s="14"/>
      <c r="L156" s="603"/>
      <c r="M156" s="604"/>
      <c r="R156"/>
    </row>
    <row r="157" spans="1:18" ht="15" hidden="1" customHeight="1">
      <c r="A157" s="447"/>
      <c r="B157" s="448" t="s">
        <v>203</v>
      </c>
      <c r="C157" s="138"/>
      <c r="D157" s="458"/>
      <c r="E157" s="447">
        <v>46228</v>
      </c>
      <c r="F157" s="447"/>
      <c r="G157" s="449"/>
      <c r="H157" s="14"/>
      <c r="I157" s="450"/>
      <c r="J157" s="451"/>
      <c r="K157" s="14"/>
      <c r="L157" s="537"/>
      <c r="M157" s="538"/>
      <c r="R157"/>
    </row>
    <row r="158" spans="1:18" ht="15" hidden="1" customHeight="1">
      <c r="A158" s="17"/>
      <c r="B158" s="448" t="s">
        <v>204</v>
      </c>
      <c r="C158" s="138"/>
      <c r="D158" s="458">
        <v>524</v>
      </c>
      <c r="E158" s="447">
        <v>46250</v>
      </c>
      <c r="F158" s="17"/>
      <c r="G158" s="449"/>
      <c r="H158" s="14"/>
      <c r="I158" s="450"/>
      <c r="J158" s="451"/>
      <c r="K158" s="14"/>
      <c r="L158" s="537"/>
      <c r="M158" s="538"/>
      <c r="R158"/>
    </row>
    <row r="159" spans="1:18" ht="15" hidden="1" customHeight="1">
      <c r="A159" s="17"/>
      <c r="B159" s="448" t="s">
        <v>204</v>
      </c>
      <c r="C159" s="138"/>
      <c r="D159" s="458">
        <v>346</v>
      </c>
      <c r="E159" s="447">
        <v>46249</v>
      </c>
      <c r="F159" s="17"/>
      <c r="G159" s="449"/>
      <c r="H159" s="14"/>
      <c r="I159" s="450"/>
      <c r="J159" s="451"/>
      <c r="K159" s="14"/>
      <c r="L159" s="537"/>
      <c r="M159" s="538"/>
      <c r="R159"/>
    </row>
    <row r="160" spans="1:18" ht="15" hidden="1" customHeight="1">
      <c r="A160" s="17"/>
      <c r="B160" s="448" t="s">
        <v>204</v>
      </c>
      <c r="C160" s="138"/>
      <c r="D160" s="458">
        <v>676.5</v>
      </c>
      <c r="E160" s="447">
        <v>46248</v>
      </c>
      <c r="F160" s="17"/>
      <c r="G160" s="449"/>
      <c r="H160" s="14"/>
      <c r="I160" s="450"/>
      <c r="J160" s="451"/>
      <c r="K160" s="14"/>
      <c r="L160" s="537"/>
      <c r="M160" s="538"/>
      <c r="R160"/>
    </row>
    <row r="161" spans="1:18" ht="15" hidden="1" customHeight="1">
      <c r="A161" s="17"/>
      <c r="B161" s="448" t="s">
        <v>205</v>
      </c>
      <c r="C161" s="466">
        <v>46211</v>
      </c>
      <c r="D161" s="458">
        <v>12711.84</v>
      </c>
      <c r="E161" s="447">
        <v>46242</v>
      </c>
      <c r="F161" s="17"/>
      <c r="G161" s="449"/>
      <c r="H161" s="14"/>
      <c r="I161" s="450"/>
      <c r="J161" s="451"/>
      <c r="K161" s="14"/>
      <c r="L161" s="537" t="s">
        <v>206</v>
      </c>
      <c r="M161" s="538"/>
      <c r="R161"/>
    </row>
    <row r="162" spans="1:18" ht="15" hidden="1" customHeight="1">
      <c r="A162" s="17"/>
      <c r="B162" s="448" t="s">
        <v>207</v>
      </c>
      <c r="C162" s="466">
        <v>46211</v>
      </c>
      <c r="D162" s="458">
        <v>12711.84</v>
      </c>
      <c r="E162" s="447">
        <v>46257</v>
      </c>
      <c r="F162" s="17"/>
      <c r="G162" s="449"/>
      <c r="H162" s="14"/>
      <c r="I162" s="450"/>
      <c r="J162" s="451"/>
      <c r="K162" s="14"/>
      <c r="L162" s="537" t="s">
        <v>206</v>
      </c>
      <c r="M162" s="538"/>
      <c r="R162"/>
    </row>
    <row r="163" spans="1:18" ht="15" hidden="1" customHeight="1">
      <c r="A163" s="17"/>
      <c r="B163" s="448" t="s">
        <v>208</v>
      </c>
      <c r="C163" s="466">
        <v>46211</v>
      </c>
      <c r="D163" s="458">
        <v>12711.84</v>
      </c>
      <c r="E163" s="447">
        <v>46272</v>
      </c>
      <c r="F163" s="17"/>
      <c r="G163" s="449"/>
      <c r="H163" s="14"/>
      <c r="I163" s="450"/>
      <c r="J163" s="451"/>
      <c r="K163" s="14"/>
      <c r="L163" s="537" t="s">
        <v>206</v>
      </c>
      <c r="M163" s="538"/>
      <c r="R163"/>
    </row>
    <row r="164" spans="1:18" ht="15" hidden="1" customHeight="1">
      <c r="A164" s="17"/>
      <c r="B164" s="448" t="s">
        <v>202</v>
      </c>
      <c r="C164" s="138">
        <v>5124</v>
      </c>
      <c r="D164" s="458">
        <v>16962.34</v>
      </c>
      <c r="E164" s="447">
        <v>46213</v>
      </c>
      <c r="F164" s="62">
        <v>46213</v>
      </c>
      <c r="G164" s="449"/>
      <c r="H164" s="14"/>
      <c r="I164" s="450"/>
      <c r="J164" s="451"/>
      <c r="K164" s="14"/>
      <c r="L164" s="537"/>
      <c r="M164" s="538"/>
      <c r="R164"/>
    </row>
    <row r="165" spans="1:18" ht="15" customHeight="1">
      <c r="A165" s="17"/>
      <c r="B165" s="448" t="s">
        <v>209</v>
      </c>
      <c r="C165" s="138"/>
      <c r="D165" s="458">
        <v>200</v>
      </c>
      <c r="E165" s="467">
        <v>46223</v>
      </c>
      <c r="F165" s="62"/>
      <c r="G165" s="468"/>
      <c r="H165" s="14"/>
      <c r="I165" s="450"/>
      <c r="J165" s="451"/>
      <c r="K165" s="14"/>
      <c r="L165" s="537"/>
      <c r="M165" s="538"/>
      <c r="R165"/>
    </row>
    <row r="166" spans="1:18" ht="15" customHeight="1">
      <c r="A166" s="17"/>
      <c r="B166" s="448" t="s">
        <v>203</v>
      </c>
      <c r="C166" s="138">
        <v>5125</v>
      </c>
      <c r="D166" s="458">
        <v>18094.080000000002</v>
      </c>
      <c r="E166" s="467">
        <v>46213</v>
      </c>
      <c r="F166" s="447"/>
      <c r="G166" s="468">
        <f>IF(F166&gt;0,0,D166)</f>
        <v>18094.080000000002</v>
      </c>
      <c r="H166" s="14"/>
      <c r="I166" s="450">
        <v>46199</v>
      </c>
      <c r="J166" s="451">
        <f>SUMIF($E$3:$E$166,I166,$G$3:$G$166)</f>
        <v>0</v>
      </c>
      <c r="K166" s="14"/>
      <c r="L166" s="602"/>
      <c r="M166" s="602"/>
      <c r="N166"/>
      <c r="O166"/>
      <c r="Q166"/>
      <c r="R166"/>
    </row>
    <row r="167" spans="1:18" ht="15" hidden="1" customHeight="1" thickBot="1">
      <c r="A167" s="57"/>
      <c r="B167" s="58"/>
      <c r="C167" s="51"/>
      <c r="D167" s="458"/>
      <c r="E167" s="57"/>
      <c r="F167" s="59"/>
      <c r="G167" s="60"/>
      <c r="H167" s="14"/>
      <c r="I167" s="450"/>
      <c r="J167" s="451"/>
      <c r="K167" s="14"/>
      <c r="L167" s="53"/>
      <c r="M167" s="53"/>
      <c r="N167"/>
      <c r="O167"/>
      <c r="Q167"/>
      <c r="R167"/>
    </row>
    <row r="168" spans="1:18" ht="15" hidden="1" customHeight="1" thickBot="1">
      <c r="A168" s="41" t="s">
        <v>210</v>
      </c>
      <c r="B168" s="547"/>
      <c r="C168" s="547"/>
      <c r="D168" s="458"/>
      <c r="E168" s="547"/>
      <c r="F168" s="548"/>
      <c r="G168" s="20"/>
      <c r="H168" s="14"/>
      <c r="I168" s="469" t="s">
        <v>211</v>
      </c>
      <c r="J168" s="470">
        <f>SUM(J4:J166)</f>
        <v>0</v>
      </c>
      <c r="K168" s="14"/>
      <c r="L168" s="25"/>
      <c r="M168" s="14"/>
      <c r="N168"/>
      <c r="O168"/>
      <c r="Q168"/>
      <c r="R168"/>
    </row>
    <row r="169" spans="1:18" s="24" customFormat="1" ht="15" customHeight="1">
      <c r="A169" s="63"/>
      <c r="B169" s="448" t="s">
        <v>212</v>
      </c>
      <c r="C169" s="457"/>
      <c r="D169" s="458">
        <v>13959.3</v>
      </c>
      <c r="E169" s="447">
        <v>46223</v>
      </c>
      <c r="F169" s="447"/>
      <c r="G169" s="449"/>
      <c r="H169" s="21"/>
      <c r="I169" s="450"/>
      <c r="J169" s="456"/>
      <c r="K169" s="21"/>
      <c r="L169" s="545"/>
      <c r="M169" s="546"/>
      <c r="N169" s="22"/>
      <c r="O169" s="22"/>
      <c r="Q169" s="23"/>
    </row>
    <row r="171" spans="1:18">
      <c r="D171" s="35">
        <f>D169+D165+D146+D88+D84+D82+D81+D80+D79+D69+D83</f>
        <v>61250.740000000005</v>
      </c>
    </row>
    <row r="181" spans="4:7">
      <c r="D181" s="611"/>
      <c r="E181" s="612"/>
      <c r="F181" s="612"/>
      <c r="G181" s="613"/>
    </row>
    <row r="182" spans="4:7">
      <c r="D182" s="130"/>
      <c r="E182" s="130"/>
      <c r="F182" s="130"/>
      <c r="G182" s="130"/>
    </row>
    <row r="183" spans="4:7">
      <c r="D183" s="130"/>
      <c r="E183" s="137"/>
      <c r="F183" s="137"/>
      <c r="G183" s="231"/>
    </row>
    <row r="184" spans="4:7">
      <c r="D184" s="130"/>
      <c r="E184" s="137"/>
      <c r="F184" s="137"/>
      <c r="G184" s="137"/>
    </row>
    <row r="185" spans="4:7">
      <c r="D185" s="130"/>
      <c r="E185" s="137"/>
      <c r="F185" s="137"/>
      <c r="G185" s="230"/>
    </row>
    <row r="186" spans="4:7">
      <c r="D186" s="130"/>
      <c r="E186" s="137"/>
      <c r="F186" s="137"/>
      <c r="G186" s="137"/>
    </row>
    <row r="187" spans="4:7">
      <c r="D187" s="611"/>
      <c r="E187" s="612"/>
      <c r="F187" s="612"/>
      <c r="G187" s="613"/>
    </row>
    <row r="188" spans="4:7">
      <c r="D188" s="611"/>
      <c r="E188" s="612"/>
      <c r="F188" s="613"/>
      <c r="G188" s="230"/>
    </row>
  </sheetData>
  <autoFilter ref="A2:R169" xr:uid="{00000000-0001-0000-0000-000000000000}">
    <filterColumn colId="4">
      <filters>
        <dateGroupItem year="2026" month="7" day="1" dateTimeGrouping="day"/>
        <dateGroupItem year="2026" month="7" day="2" dateTimeGrouping="day"/>
        <dateGroupItem year="2026" month="7" day="3" dateTimeGrouping="day"/>
        <dateGroupItem year="2026" month="7" day="4" dateTimeGrouping="day"/>
        <dateGroupItem year="2026" month="7" day="6" dateTimeGrouping="day"/>
        <dateGroupItem year="2026" month="7" day="7" dateTimeGrouping="day"/>
        <dateGroupItem year="2026" month="7" day="8" dateTimeGrouping="day"/>
        <dateGroupItem year="2026" month="7" day="9" dateTimeGrouping="day"/>
        <dateGroupItem year="2026" month="7" day="10" dateTimeGrouping="day"/>
        <dateGroupItem year="2026" month="7" day="11" dateTimeGrouping="day"/>
        <dateGroupItem year="2026" month="7" day="12" dateTimeGrouping="day"/>
        <dateGroupItem year="2026" month="7" day="13" dateTimeGrouping="day"/>
        <dateGroupItem year="2026" month="7" day="14" dateTimeGrouping="day"/>
        <dateGroupItem year="2026" month="7" day="15" dateTimeGrouping="day"/>
        <dateGroupItem year="2026" month="7" day="16" dateTimeGrouping="day"/>
        <dateGroupItem year="2026" month="7" day="17" dateTimeGrouping="day"/>
        <dateGroupItem year="2026" month="7" day="18" dateTimeGrouping="day"/>
        <dateGroupItem year="2026" month="7" day="20" dateTimeGrouping="day"/>
      </filters>
    </filterColumn>
    <filterColumn colId="5">
      <filters blank="1"/>
    </filterColumn>
    <filterColumn colId="8" showButton="0"/>
    <filterColumn colId="11" showButton="0"/>
  </autoFilter>
  <mergeCells count="31">
    <mergeCell ref="D188:F188"/>
    <mergeCell ref="L145:M145"/>
    <mergeCell ref="L154:M154"/>
    <mergeCell ref="L156:M156"/>
    <mergeCell ref="L166:M166"/>
    <mergeCell ref="D181:G181"/>
    <mergeCell ref="D187:G187"/>
    <mergeCell ref="L111:M111"/>
    <mergeCell ref="L67:M67"/>
    <mergeCell ref="L68:M68"/>
    <mergeCell ref="L69:M69"/>
    <mergeCell ref="L70:M70"/>
    <mergeCell ref="L71:M71"/>
    <mergeCell ref="L77:M77"/>
    <mergeCell ref="L79:M79"/>
    <mergeCell ref="L80:M80"/>
    <mergeCell ref="L87:M87"/>
    <mergeCell ref="L108:M108"/>
    <mergeCell ref="L109:M109"/>
    <mergeCell ref="L57:M57"/>
    <mergeCell ref="A1:E1"/>
    <mergeCell ref="I1:J1"/>
    <mergeCell ref="L1:M1"/>
    <mergeCell ref="I2:J2"/>
    <mergeCell ref="L2:M2"/>
    <mergeCell ref="L3:M3"/>
    <mergeCell ref="L4:M4"/>
    <mergeCell ref="L30:M30"/>
    <mergeCell ref="L33:M33"/>
    <mergeCell ref="L50:M50"/>
    <mergeCell ref="L55:M55"/>
  </mergeCells>
  <conditionalFormatting sqref="E3:E167">
    <cfRule type="cellIs" dxfId="24" priority="7" operator="lessThan">
      <formula>$G$1</formula>
    </cfRule>
  </conditionalFormatting>
  <conditionalFormatting sqref="E169">
    <cfRule type="cellIs" dxfId="23" priority="1" operator="lessThan">
      <formula>$G$1</formula>
    </cfRule>
  </conditionalFormatting>
  <conditionalFormatting sqref="F75">
    <cfRule type="cellIs" dxfId="22" priority="2" operator="lessThan">
      <formula>$G$1</formula>
    </cfRule>
  </conditionalFormatting>
  <conditionalFormatting sqref="F80:F85">
    <cfRule type="cellIs" dxfId="21" priority="6" operator="lessThan">
      <formula>$G$1</formula>
    </cfRule>
  </conditionalFormatting>
  <conditionalFormatting sqref="F92:F97">
    <cfRule type="cellIs" dxfId="20" priority="5" operator="lessThan">
      <formula>$G$1</formula>
    </cfRule>
  </conditionalFormatting>
  <conditionalFormatting sqref="F99:F106">
    <cfRule type="cellIs" dxfId="19" priority="4" operator="lessThan">
      <formula>$G$1</formula>
    </cfRule>
  </conditionalFormatting>
  <conditionalFormatting sqref="F122:F126">
    <cfRule type="cellIs" dxfId="18" priority="3" operator="lessThan">
      <formula>$G$1</formula>
    </cfRule>
  </conditionalFormatting>
  <pageMargins left="0.51181102362204722" right="0.51181102362204722" top="0.78740157480314965" bottom="0.78740157480314965" header="0.31496062992125984" footer="0.31496062992125984"/>
  <pageSetup paperSize="9" scale="1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C88C-EE19-4BA2-BB21-4D2C3DDE8C5E}">
  <sheetPr filterMode="1"/>
  <dimension ref="A1:S51"/>
  <sheetViews>
    <sheetView workbookViewId="0">
      <selection activeCell="A39" sqref="A39:F44"/>
    </sheetView>
  </sheetViews>
  <sheetFormatPr defaultRowHeight="15"/>
  <cols>
    <col min="1" max="1" width="72.140625" style="34" customWidth="1"/>
    <col min="2" max="2" width="14.7109375" style="4" bestFit="1" customWidth="1"/>
    <col min="3" max="3" width="10.42578125" style="4" customWidth="1"/>
    <col min="4" max="4" width="15.85546875" style="35" bestFit="1" customWidth="1"/>
    <col min="5" max="5" width="23.140625" style="4" bestFit="1" customWidth="1"/>
    <col min="6" max="6" width="9.5703125" style="2" bestFit="1" customWidth="1"/>
    <col min="7" max="7" width="12.7109375" style="2" customWidth="1"/>
    <col min="8" max="8" width="11.85546875" bestFit="1" customWidth="1"/>
    <col min="9" max="9" width="2.42578125" customWidth="1"/>
    <col min="10" max="10" width="11" bestFit="1" customWidth="1"/>
    <col min="11" max="11" width="5.42578125" bestFit="1" customWidth="1"/>
    <col min="12" max="12" width="2.7109375" customWidth="1"/>
    <col min="13" max="13" width="49" style="26" customWidth="1"/>
    <col min="14" max="14" width="71" style="2" customWidth="1"/>
    <col min="15" max="15" width="10.5703125" style="2" customWidth="1"/>
    <col min="16" max="16" width="136.5703125" style="1" bestFit="1" customWidth="1"/>
    <col min="17" max="17" width="14.28515625" style="1" bestFit="1" customWidth="1"/>
    <col min="18" max="19" width="12.7109375" style="1" customWidth="1"/>
  </cols>
  <sheetData>
    <row r="1" spans="1:19" ht="24" thickBot="1">
      <c r="A1" s="592" t="s">
        <v>213</v>
      </c>
      <c r="B1" s="592"/>
      <c r="C1" s="592"/>
      <c r="D1" s="592"/>
      <c r="E1" s="592"/>
      <c r="F1" s="593"/>
      <c r="G1" s="12" t="s">
        <v>1</v>
      </c>
      <c r="H1" s="13">
        <f ca="1">TODAY()</f>
        <v>46318</v>
      </c>
      <c r="I1" s="7"/>
      <c r="J1" s="594" t="s">
        <v>2</v>
      </c>
      <c r="K1" s="595"/>
      <c r="M1" s="594"/>
      <c r="N1" s="595"/>
    </row>
    <row r="2" spans="1:19" ht="15.75" thickBot="1">
      <c r="A2" s="29" t="s">
        <v>214</v>
      </c>
      <c r="B2" s="9" t="s">
        <v>215</v>
      </c>
      <c r="C2" s="9" t="s">
        <v>216</v>
      </c>
      <c r="D2" s="30" t="s">
        <v>6</v>
      </c>
      <c r="E2" s="9" t="s">
        <v>217</v>
      </c>
      <c r="F2" s="10" t="s">
        <v>218</v>
      </c>
      <c r="G2" s="10" t="s">
        <v>8</v>
      </c>
      <c r="H2" s="11" t="s">
        <v>9</v>
      </c>
      <c r="I2" s="6"/>
      <c r="J2" s="596" t="s">
        <v>10</v>
      </c>
      <c r="K2" s="597"/>
      <c r="M2" s="598" t="s">
        <v>11</v>
      </c>
      <c r="N2" s="599"/>
      <c r="O2" s="5"/>
      <c r="P2" s="5"/>
      <c r="Q2" s="5"/>
      <c r="R2" s="5"/>
      <c r="S2" s="5"/>
    </row>
    <row r="3" spans="1:19" ht="15.75" hidden="1">
      <c r="A3" s="460" t="s">
        <v>219</v>
      </c>
      <c r="B3" s="138" t="s">
        <v>220</v>
      </c>
      <c r="C3" s="138" t="s">
        <v>221</v>
      </c>
      <c r="D3" s="139">
        <v>5600</v>
      </c>
      <c r="E3" s="471" t="s">
        <v>222</v>
      </c>
      <c r="F3" s="447">
        <v>46200</v>
      </c>
      <c r="G3" s="447">
        <v>46204</v>
      </c>
      <c r="H3" s="449"/>
      <c r="I3" s="14"/>
      <c r="J3" s="450"/>
      <c r="K3" s="451"/>
      <c r="L3" s="14"/>
      <c r="M3" s="535"/>
      <c r="N3" s="535"/>
      <c r="S3"/>
    </row>
    <row r="4" spans="1:19" ht="15.75" hidden="1">
      <c r="A4" s="460" t="s">
        <v>219</v>
      </c>
      <c r="B4" s="138" t="s">
        <v>223</v>
      </c>
      <c r="C4" s="138" t="s">
        <v>224</v>
      </c>
      <c r="D4" s="139">
        <v>5600.01</v>
      </c>
      <c r="E4" s="471" t="s">
        <v>222</v>
      </c>
      <c r="F4" s="447">
        <v>46200</v>
      </c>
      <c r="G4" s="447">
        <v>46204</v>
      </c>
      <c r="H4" s="449"/>
      <c r="I4" s="14"/>
      <c r="J4" s="450"/>
      <c r="K4" s="451"/>
      <c r="L4" s="14"/>
      <c r="M4" s="535"/>
      <c r="N4" s="535"/>
      <c r="S4"/>
    </row>
    <row r="5" spans="1:19" ht="15.75" hidden="1">
      <c r="A5" s="460" t="s">
        <v>219</v>
      </c>
      <c r="B5" s="138" t="s">
        <v>225</v>
      </c>
      <c r="C5" s="138" t="s">
        <v>226</v>
      </c>
      <c r="D5" s="139">
        <v>5600.02</v>
      </c>
      <c r="E5" s="471" t="s">
        <v>222</v>
      </c>
      <c r="F5" s="447">
        <v>46201</v>
      </c>
      <c r="G5" s="447">
        <v>46204</v>
      </c>
      <c r="H5" s="449"/>
      <c r="I5" s="14"/>
      <c r="J5" s="450"/>
      <c r="K5" s="451"/>
      <c r="L5" s="14"/>
      <c r="M5" s="535"/>
      <c r="N5" s="535"/>
      <c r="S5"/>
    </row>
    <row r="6" spans="1:19" ht="70.5" hidden="1" customHeight="1">
      <c r="A6" s="460" t="s">
        <v>227</v>
      </c>
      <c r="B6" s="138" t="s">
        <v>228</v>
      </c>
      <c r="C6" s="138" t="s">
        <v>229</v>
      </c>
      <c r="D6" s="139">
        <v>5460</v>
      </c>
      <c r="E6" s="471" t="s">
        <v>222</v>
      </c>
      <c r="F6" s="447">
        <v>46203</v>
      </c>
      <c r="G6" s="447">
        <v>46204</v>
      </c>
      <c r="H6" s="449"/>
      <c r="I6" s="14"/>
      <c r="J6" s="450"/>
      <c r="K6" s="451"/>
      <c r="L6" s="14"/>
      <c r="M6" s="536" t="s">
        <v>230</v>
      </c>
      <c r="N6" s="535"/>
      <c r="S6"/>
    </row>
    <row r="7" spans="1:19" ht="15.75" hidden="1">
      <c r="A7" s="460" t="s">
        <v>227</v>
      </c>
      <c r="B7" s="138" t="s">
        <v>228</v>
      </c>
      <c r="C7" s="138" t="s">
        <v>229</v>
      </c>
      <c r="D7" s="139">
        <v>2340</v>
      </c>
      <c r="E7" s="471" t="s">
        <v>231</v>
      </c>
      <c r="F7" s="447">
        <v>46203</v>
      </c>
      <c r="G7" s="447">
        <v>46206</v>
      </c>
      <c r="H7" s="449"/>
      <c r="I7" s="14"/>
      <c r="J7" s="450"/>
      <c r="K7" s="451"/>
      <c r="L7" s="14"/>
      <c r="M7" s="535"/>
      <c r="N7" s="535"/>
      <c r="S7"/>
    </row>
    <row r="8" spans="1:19" ht="15.75" hidden="1">
      <c r="A8" s="460" t="s">
        <v>219</v>
      </c>
      <c r="B8" s="138" t="s">
        <v>232</v>
      </c>
      <c r="C8" s="138" t="s">
        <v>233</v>
      </c>
      <c r="D8" s="139">
        <v>5600</v>
      </c>
      <c r="E8" s="471" t="s">
        <v>222</v>
      </c>
      <c r="F8" s="447">
        <v>46203</v>
      </c>
      <c r="G8" s="447">
        <v>46204</v>
      </c>
      <c r="H8" s="449"/>
      <c r="I8" s="14"/>
      <c r="J8" s="450"/>
      <c r="K8" s="451"/>
      <c r="L8" s="14"/>
      <c r="M8" s="535"/>
      <c r="N8" s="535"/>
      <c r="S8"/>
    </row>
    <row r="9" spans="1:19" ht="15.75" hidden="1">
      <c r="A9" s="460" t="s">
        <v>219</v>
      </c>
      <c r="B9" s="138" t="s">
        <v>232</v>
      </c>
      <c r="C9" s="138" t="s">
        <v>233</v>
      </c>
      <c r="D9" s="139">
        <v>2400</v>
      </c>
      <c r="E9" s="471" t="s">
        <v>9</v>
      </c>
      <c r="F9" s="447">
        <v>46203</v>
      </c>
      <c r="G9" s="447">
        <v>46206</v>
      </c>
      <c r="H9" s="449"/>
      <c r="I9" s="14"/>
      <c r="J9" s="450"/>
      <c r="K9" s="451"/>
      <c r="L9" s="14"/>
      <c r="M9" s="535"/>
      <c r="N9" s="535"/>
      <c r="S9"/>
    </row>
    <row r="10" spans="1:19" ht="15.75" hidden="1">
      <c r="A10" s="460" t="s">
        <v>219</v>
      </c>
      <c r="B10" s="138" t="s">
        <v>234</v>
      </c>
      <c r="C10" s="138" t="s">
        <v>235</v>
      </c>
      <c r="D10" s="139">
        <v>5600.04</v>
      </c>
      <c r="E10" s="471" t="s">
        <v>222</v>
      </c>
      <c r="F10" s="447">
        <v>46203</v>
      </c>
      <c r="G10" s="447">
        <v>46204</v>
      </c>
      <c r="H10" s="449"/>
      <c r="I10" s="14"/>
      <c r="J10" s="450"/>
      <c r="K10" s="451"/>
      <c r="L10" s="14"/>
      <c r="M10" s="535"/>
      <c r="N10" s="535"/>
      <c r="S10"/>
    </row>
    <row r="11" spans="1:19" ht="15.75" hidden="1">
      <c r="A11" s="460" t="s">
        <v>219</v>
      </c>
      <c r="B11" s="138" t="s">
        <v>234</v>
      </c>
      <c r="C11" s="138" t="s">
        <v>235</v>
      </c>
      <c r="D11" s="139">
        <v>2400</v>
      </c>
      <c r="E11" s="471" t="s">
        <v>231</v>
      </c>
      <c r="F11" s="447">
        <v>46203</v>
      </c>
      <c r="G11" s="447">
        <v>46206</v>
      </c>
      <c r="H11" s="449"/>
      <c r="I11" s="14"/>
      <c r="J11" s="450"/>
      <c r="K11" s="451"/>
      <c r="L11" s="14"/>
      <c r="M11" s="535"/>
      <c r="N11" s="535"/>
      <c r="S11"/>
    </row>
    <row r="12" spans="1:19" ht="15.75" hidden="1">
      <c r="A12" s="460" t="s">
        <v>219</v>
      </c>
      <c r="B12" s="138" t="s">
        <v>236</v>
      </c>
      <c r="C12" s="138" t="s">
        <v>237</v>
      </c>
      <c r="D12" s="139">
        <v>2400</v>
      </c>
      <c r="E12" s="471" t="s">
        <v>231</v>
      </c>
      <c r="F12" s="447">
        <v>46204</v>
      </c>
      <c r="G12" s="447">
        <v>46209</v>
      </c>
      <c r="H12" s="449"/>
      <c r="I12" s="14"/>
      <c r="J12" s="450"/>
      <c r="K12" s="451"/>
      <c r="L12" s="14"/>
      <c r="M12" s="535"/>
      <c r="N12" s="535"/>
      <c r="S12"/>
    </row>
    <row r="13" spans="1:19" ht="15.75" hidden="1">
      <c r="A13" s="460" t="s">
        <v>219</v>
      </c>
      <c r="B13" s="138" t="s">
        <v>238</v>
      </c>
      <c r="C13" s="138" t="s">
        <v>239</v>
      </c>
      <c r="D13" s="139">
        <v>5600.04</v>
      </c>
      <c r="E13" s="471" t="s">
        <v>222</v>
      </c>
      <c r="F13" s="447">
        <v>46205</v>
      </c>
      <c r="G13" s="447">
        <v>46206</v>
      </c>
      <c r="H13" s="449"/>
      <c r="I13" s="14"/>
      <c r="J13" s="450"/>
      <c r="K13" s="451"/>
      <c r="L13" s="14"/>
      <c r="M13" s="535"/>
      <c r="N13" s="535"/>
      <c r="S13"/>
    </row>
    <row r="14" spans="1:19" ht="15.75" hidden="1">
      <c r="A14" s="460" t="s">
        <v>219</v>
      </c>
      <c r="B14" s="138" t="s">
        <v>238</v>
      </c>
      <c r="C14" s="138" t="s">
        <v>239</v>
      </c>
      <c r="D14" s="139">
        <v>2400</v>
      </c>
      <c r="E14" s="471" t="s">
        <v>231</v>
      </c>
      <c r="F14" s="447">
        <v>46205</v>
      </c>
      <c r="G14" s="447">
        <v>46209</v>
      </c>
      <c r="H14" s="449"/>
      <c r="I14" s="14"/>
      <c r="J14" s="450"/>
      <c r="K14" s="451"/>
      <c r="L14" s="14"/>
      <c r="M14" s="535"/>
      <c r="N14" s="535"/>
      <c r="S14"/>
    </row>
    <row r="15" spans="1:19" ht="15.75" hidden="1">
      <c r="A15" s="460" t="s">
        <v>240</v>
      </c>
      <c r="B15" s="138" t="s">
        <v>241</v>
      </c>
      <c r="C15" s="138" t="s">
        <v>242</v>
      </c>
      <c r="D15" s="139"/>
      <c r="E15" s="471" t="s">
        <v>243</v>
      </c>
      <c r="F15" s="447">
        <v>46205</v>
      </c>
      <c r="G15" s="447"/>
      <c r="H15" s="449"/>
      <c r="I15" s="14"/>
      <c r="J15" s="450"/>
      <c r="K15" s="451"/>
      <c r="L15" s="14"/>
      <c r="M15" s="535"/>
      <c r="N15" s="535"/>
      <c r="S15"/>
    </row>
    <row r="16" spans="1:19" ht="15.75" hidden="1">
      <c r="A16" s="460" t="s">
        <v>244</v>
      </c>
      <c r="B16" s="138" t="s">
        <v>245</v>
      </c>
      <c r="C16" s="138" t="s">
        <v>246</v>
      </c>
      <c r="D16" s="139"/>
      <c r="E16" s="471" t="s">
        <v>243</v>
      </c>
      <c r="F16" s="447">
        <v>46206</v>
      </c>
      <c r="G16" s="447"/>
      <c r="H16" s="449"/>
      <c r="I16" s="14"/>
      <c r="J16" s="450"/>
      <c r="K16" s="451"/>
      <c r="L16" s="14"/>
      <c r="M16" s="535"/>
      <c r="N16" s="535"/>
      <c r="S16"/>
    </row>
    <row r="17" spans="1:19" ht="15.75" hidden="1">
      <c r="A17" s="460" t="s">
        <v>247</v>
      </c>
      <c r="B17" s="138" t="s">
        <v>248</v>
      </c>
      <c r="C17" s="138" t="s">
        <v>249</v>
      </c>
      <c r="D17" s="139">
        <v>5117.1099999999997</v>
      </c>
      <c r="E17" s="471" t="s">
        <v>222</v>
      </c>
      <c r="F17" s="447">
        <v>46206</v>
      </c>
      <c r="G17" s="447">
        <v>46209</v>
      </c>
      <c r="H17" s="449"/>
      <c r="I17" s="14"/>
      <c r="J17" s="450"/>
      <c r="K17" s="451"/>
      <c r="L17" s="14"/>
      <c r="M17" s="535"/>
      <c r="N17" s="535"/>
      <c r="S17"/>
    </row>
    <row r="18" spans="1:19" ht="15.75" hidden="1">
      <c r="A18" s="460" t="s">
        <v>247</v>
      </c>
      <c r="B18" s="138" t="s">
        <v>248</v>
      </c>
      <c r="C18" s="138" t="s">
        <v>249</v>
      </c>
      <c r="D18" s="139">
        <v>2193.0500000000002</v>
      </c>
      <c r="E18" s="471" t="s">
        <v>231</v>
      </c>
      <c r="F18" s="447">
        <v>46206</v>
      </c>
      <c r="G18" s="447">
        <v>46210</v>
      </c>
      <c r="H18" s="449"/>
      <c r="I18" s="14"/>
      <c r="J18" s="450"/>
      <c r="K18" s="451"/>
      <c r="L18" s="14"/>
      <c r="M18" s="535"/>
      <c r="N18" s="535"/>
      <c r="S18"/>
    </row>
    <row r="19" spans="1:19" ht="15.75" hidden="1">
      <c r="A19" s="460" t="s">
        <v>219</v>
      </c>
      <c r="B19" s="138" t="s">
        <v>250</v>
      </c>
      <c r="C19" s="138" t="s">
        <v>251</v>
      </c>
      <c r="D19" s="139">
        <v>5600</v>
      </c>
      <c r="E19" s="471" t="s">
        <v>222</v>
      </c>
      <c r="F19" s="447">
        <v>46209</v>
      </c>
      <c r="G19" s="447">
        <v>46210</v>
      </c>
      <c r="H19" s="449"/>
      <c r="I19" s="14"/>
      <c r="J19" s="450"/>
      <c r="K19" s="451"/>
      <c r="L19" s="14"/>
      <c r="M19" s="535"/>
      <c r="N19" s="535"/>
      <c r="S19"/>
    </row>
    <row r="20" spans="1:19" ht="15.75" hidden="1">
      <c r="A20" s="460" t="s">
        <v>219</v>
      </c>
      <c r="B20" s="138" t="s">
        <v>250</v>
      </c>
      <c r="C20" s="138" t="s">
        <v>251</v>
      </c>
      <c r="D20" s="139">
        <v>2400</v>
      </c>
      <c r="E20" s="471" t="s">
        <v>231</v>
      </c>
      <c r="F20" s="447">
        <v>46209</v>
      </c>
      <c r="G20" s="447">
        <v>46217</v>
      </c>
      <c r="H20" s="472"/>
      <c r="I20" s="14"/>
      <c r="J20" s="450"/>
      <c r="K20" s="451"/>
      <c r="L20" s="14"/>
      <c r="M20" s="535"/>
      <c r="N20" s="535"/>
      <c r="S20"/>
    </row>
    <row r="21" spans="1:19" ht="141.75" hidden="1">
      <c r="A21" s="460" t="s">
        <v>252</v>
      </c>
      <c r="B21" s="138" t="s">
        <v>253</v>
      </c>
      <c r="C21" s="138">
        <v>247</v>
      </c>
      <c r="D21" s="139">
        <v>2100</v>
      </c>
      <c r="E21" s="471" t="s">
        <v>222</v>
      </c>
      <c r="F21" s="447">
        <v>46209</v>
      </c>
      <c r="G21" s="447">
        <v>46210</v>
      </c>
      <c r="H21" s="449"/>
      <c r="I21" s="14"/>
      <c r="J21" s="450"/>
      <c r="K21" s="451"/>
      <c r="L21" s="14"/>
      <c r="M21" s="536" t="s">
        <v>254</v>
      </c>
      <c r="N21" s="535"/>
      <c r="S21"/>
    </row>
    <row r="22" spans="1:19" ht="15.75" hidden="1">
      <c r="A22" s="460" t="s">
        <v>252</v>
      </c>
      <c r="B22" s="138" t="s">
        <v>253</v>
      </c>
      <c r="C22" s="138">
        <v>247</v>
      </c>
      <c r="D22" s="139">
        <v>900</v>
      </c>
      <c r="E22" s="471" t="s">
        <v>231</v>
      </c>
      <c r="F22" s="447">
        <v>46209</v>
      </c>
      <c r="G22" s="447">
        <v>46210</v>
      </c>
      <c r="H22" s="472"/>
      <c r="I22" s="14"/>
      <c r="J22" s="450"/>
      <c r="K22" s="451"/>
      <c r="L22" s="14"/>
      <c r="M22" s="535"/>
      <c r="N22" s="535"/>
      <c r="S22"/>
    </row>
    <row r="23" spans="1:19" ht="15.75" hidden="1">
      <c r="A23" s="460" t="s">
        <v>240</v>
      </c>
      <c r="B23" s="138" t="s">
        <v>241</v>
      </c>
      <c r="C23" s="138" t="s">
        <v>255</v>
      </c>
      <c r="D23" s="139"/>
      <c r="E23" s="471" t="s">
        <v>243</v>
      </c>
      <c r="F23" s="447">
        <v>46209</v>
      </c>
      <c r="G23" s="447"/>
      <c r="H23" s="449"/>
      <c r="I23" s="14"/>
      <c r="J23" s="450"/>
      <c r="K23" s="451"/>
      <c r="L23" s="14"/>
      <c r="M23" s="535"/>
      <c r="N23" s="535"/>
      <c r="S23"/>
    </row>
    <row r="24" spans="1:19" ht="15.75" hidden="1">
      <c r="A24" s="460" t="s">
        <v>219</v>
      </c>
      <c r="B24" s="138" t="s">
        <v>256</v>
      </c>
      <c r="C24" s="138" t="s">
        <v>257</v>
      </c>
      <c r="D24" s="139">
        <v>5600</v>
      </c>
      <c r="E24" s="471" t="s">
        <v>222</v>
      </c>
      <c r="F24" s="447">
        <v>46209</v>
      </c>
      <c r="G24" s="447">
        <v>46210</v>
      </c>
      <c r="H24" s="449"/>
      <c r="I24" s="14"/>
      <c r="J24" s="450"/>
      <c r="K24" s="451"/>
      <c r="L24" s="14"/>
      <c r="M24" s="535"/>
      <c r="N24" s="535"/>
      <c r="S24"/>
    </row>
    <row r="25" spans="1:19" ht="15.75" hidden="1">
      <c r="A25" s="460" t="s">
        <v>219</v>
      </c>
      <c r="B25" s="138" t="s">
        <v>256</v>
      </c>
      <c r="C25" s="138" t="s">
        <v>257</v>
      </c>
      <c r="D25" s="139">
        <v>2400</v>
      </c>
      <c r="E25" s="471" t="s">
        <v>231</v>
      </c>
      <c r="F25" s="447">
        <v>46209</v>
      </c>
      <c r="G25" s="447">
        <v>46217</v>
      </c>
      <c r="H25" s="472"/>
      <c r="I25" s="14"/>
      <c r="J25" s="450"/>
      <c r="K25" s="451"/>
      <c r="L25" s="14"/>
      <c r="M25" s="535"/>
      <c r="N25" s="535"/>
      <c r="S25"/>
    </row>
    <row r="26" spans="1:19" ht="15.75" hidden="1">
      <c r="A26" s="460" t="s">
        <v>244</v>
      </c>
      <c r="B26" s="138" t="s">
        <v>245</v>
      </c>
      <c r="C26" s="138" t="s">
        <v>258</v>
      </c>
      <c r="D26" s="139"/>
      <c r="E26" s="471" t="s">
        <v>243</v>
      </c>
      <c r="F26" s="447">
        <v>46210</v>
      </c>
      <c r="G26" s="447"/>
      <c r="H26" s="449"/>
      <c r="I26" s="14"/>
      <c r="J26" s="450"/>
      <c r="K26" s="451"/>
      <c r="L26" s="14"/>
      <c r="M26" s="535"/>
      <c r="N26" s="535"/>
      <c r="S26"/>
    </row>
    <row r="27" spans="1:19" ht="15.75" hidden="1">
      <c r="A27" s="460" t="s">
        <v>259</v>
      </c>
      <c r="B27" s="138" t="s">
        <v>260</v>
      </c>
      <c r="C27" s="138" t="s">
        <v>261</v>
      </c>
      <c r="D27" s="139"/>
      <c r="E27" s="471" t="s">
        <v>243</v>
      </c>
      <c r="F27" s="447">
        <v>46210</v>
      </c>
      <c r="G27" s="447"/>
      <c r="H27" s="449"/>
      <c r="I27" s="14"/>
      <c r="J27" s="450"/>
      <c r="K27" s="451"/>
      <c r="L27" s="14"/>
      <c r="M27" s="535"/>
      <c r="N27" s="535"/>
      <c r="S27"/>
    </row>
    <row r="28" spans="1:19" ht="15.75" hidden="1">
      <c r="A28" s="460" t="s">
        <v>262</v>
      </c>
      <c r="B28" s="138" t="s">
        <v>263</v>
      </c>
      <c r="C28" s="138" t="s">
        <v>264</v>
      </c>
      <c r="D28" s="139"/>
      <c r="E28" s="471" t="s">
        <v>243</v>
      </c>
      <c r="F28" s="447">
        <v>46211</v>
      </c>
      <c r="G28" s="447"/>
      <c r="H28" s="449"/>
      <c r="I28" s="14"/>
      <c r="J28" s="450"/>
      <c r="K28" s="451"/>
      <c r="L28" s="14"/>
      <c r="M28" s="535"/>
      <c r="N28" s="535"/>
      <c r="S28"/>
    </row>
    <row r="29" spans="1:19" ht="15.75" hidden="1">
      <c r="A29" s="460" t="s">
        <v>247</v>
      </c>
      <c r="B29" s="138" t="s">
        <v>265</v>
      </c>
      <c r="C29" s="138" t="s">
        <v>266</v>
      </c>
      <c r="D29" s="473">
        <v>5062.6000000000004</v>
      </c>
      <c r="E29" s="471" t="s">
        <v>222</v>
      </c>
      <c r="F29" s="447">
        <v>46211</v>
      </c>
      <c r="G29" s="447">
        <v>46216</v>
      </c>
      <c r="H29" s="449"/>
      <c r="I29" s="14"/>
      <c r="J29" s="450"/>
      <c r="K29" s="451"/>
      <c r="L29" s="14"/>
      <c r="M29" s="535"/>
      <c r="N29" s="535"/>
      <c r="S29"/>
    </row>
    <row r="30" spans="1:19" ht="15.75" hidden="1">
      <c r="A30" s="460" t="s">
        <v>247</v>
      </c>
      <c r="B30" s="138" t="s">
        <v>265</v>
      </c>
      <c r="C30" s="138" t="s">
        <v>266</v>
      </c>
      <c r="D30" s="139">
        <v>2169.6799999999998</v>
      </c>
      <c r="E30" s="471" t="s">
        <v>231</v>
      </c>
      <c r="F30" s="447">
        <v>46211</v>
      </c>
      <c r="G30" s="447">
        <v>46217</v>
      </c>
      <c r="H30" s="472"/>
      <c r="I30" s="14"/>
      <c r="J30" s="450"/>
      <c r="K30" s="451"/>
      <c r="L30" s="14"/>
      <c r="M30" s="535"/>
      <c r="N30" s="535"/>
      <c r="S30"/>
    </row>
    <row r="31" spans="1:19" ht="15.75" hidden="1">
      <c r="A31" s="460" t="s">
        <v>219</v>
      </c>
      <c r="B31" s="138" t="s">
        <v>267</v>
      </c>
      <c r="C31" s="138" t="s">
        <v>268</v>
      </c>
      <c r="D31" s="473">
        <v>5600</v>
      </c>
      <c r="E31" s="471" t="s">
        <v>222</v>
      </c>
      <c r="F31" s="447">
        <v>46211</v>
      </c>
      <c r="G31" s="447">
        <v>46216</v>
      </c>
      <c r="H31" s="449"/>
      <c r="I31" s="14"/>
      <c r="J31" s="450"/>
      <c r="K31" s="451"/>
      <c r="L31" s="14"/>
      <c r="M31" s="535"/>
      <c r="N31" s="535"/>
      <c r="S31"/>
    </row>
    <row r="32" spans="1:19" ht="15.75" hidden="1">
      <c r="A32" s="460" t="s">
        <v>219</v>
      </c>
      <c r="B32" s="138" t="s">
        <v>267</v>
      </c>
      <c r="C32" s="138" t="s">
        <v>268</v>
      </c>
      <c r="D32" s="139">
        <v>2400</v>
      </c>
      <c r="E32" s="471" t="s">
        <v>231</v>
      </c>
      <c r="F32" s="447">
        <v>46211</v>
      </c>
      <c r="G32" s="447">
        <v>46217</v>
      </c>
      <c r="H32" s="472"/>
      <c r="I32" s="14"/>
      <c r="J32" s="450"/>
      <c r="K32" s="451"/>
      <c r="L32" s="14"/>
      <c r="M32" s="535"/>
      <c r="N32" s="535"/>
      <c r="S32"/>
    </row>
    <row r="33" spans="1:19" ht="15.75" hidden="1">
      <c r="A33" s="460" t="s">
        <v>244</v>
      </c>
      <c r="B33" s="138" t="s">
        <v>245</v>
      </c>
      <c r="C33" s="138" t="s">
        <v>269</v>
      </c>
      <c r="D33" s="139"/>
      <c r="E33" s="471" t="s">
        <v>243</v>
      </c>
      <c r="F33" s="447">
        <v>46219</v>
      </c>
      <c r="G33" s="447"/>
      <c r="H33" s="449"/>
      <c r="I33" s="14"/>
      <c r="J33" s="450"/>
      <c r="K33" s="451"/>
      <c r="L33" s="14"/>
      <c r="M33" s="535"/>
      <c r="N33" s="535"/>
      <c r="S33"/>
    </row>
    <row r="34" spans="1:19" ht="15.75" hidden="1">
      <c r="A34" s="460" t="s">
        <v>219</v>
      </c>
      <c r="B34" s="138" t="s">
        <v>270</v>
      </c>
      <c r="C34" s="138" t="s">
        <v>271</v>
      </c>
      <c r="D34" s="473">
        <v>5412.6</v>
      </c>
      <c r="E34" s="471" t="s">
        <v>222</v>
      </c>
      <c r="F34" s="447">
        <v>46218</v>
      </c>
      <c r="G34" s="447">
        <v>46220</v>
      </c>
      <c r="H34" s="449"/>
      <c r="I34" s="14"/>
      <c r="J34" s="450"/>
      <c r="K34" s="451"/>
      <c r="L34" s="14"/>
      <c r="M34" s="535"/>
      <c r="N34" s="535"/>
      <c r="S34"/>
    </row>
    <row r="35" spans="1:19" ht="15.75">
      <c r="A35" s="460" t="s">
        <v>219</v>
      </c>
      <c r="B35" s="138" t="s">
        <v>270</v>
      </c>
      <c r="C35" s="138" t="s">
        <v>271</v>
      </c>
      <c r="D35" s="139">
        <v>2319.6799999999998</v>
      </c>
      <c r="E35" s="471" t="s">
        <v>231</v>
      </c>
      <c r="F35" s="447">
        <v>46218</v>
      </c>
      <c r="G35" s="447"/>
      <c r="H35" s="449"/>
      <c r="I35" s="14"/>
      <c r="J35" s="450"/>
      <c r="K35" s="451"/>
      <c r="L35" s="14"/>
      <c r="M35" s="535"/>
      <c r="N35" s="535"/>
      <c r="S35"/>
    </row>
    <row r="36" spans="1:19" ht="15.75" hidden="1">
      <c r="A36" s="460" t="s">
        <v>219</v>
      </c>
      <c r="B36" s="138" t="s">
        <v>272</v>
      </c>
      <c r="C36" s="138" t="s">
        <v>273</v>
      </c>
      <c r="D36" s="473">
        <v>5412.6</v>
      </c>
      <c r="E36" s="471" t="s">
        <v>222</v>
      </c>
      <c r="F36" s="447">
        <v>46218</v>
      </c>
      <c r="G36" s="447">
        <v>46220</v>
      </c>
      <c r="H36" s="449"/>
      <c r="I36" s="14"/>
      <c r="J36" s="450"/>
      <c r="K36" s="451"/>
      <c r="L36" s="14"/>
      <c r="M36" s="535"/>
      <c r="N36" s="535"/>
      <c r="S36"/>
    </row>
    <row r="37" spans="1:19" ht="15.75">
      <c r="A37" s="460" t="s">
        <v>219</v>
      </c>
      <c r="B37" s="138" t="s">
        <v>272</v>
      </c>
      <c r="C37" s="138" t="s">
        <v>273</v>
      </c>
      <c r="D37" s="139">
        <v>2319.6799999999998</v>
      </c>
      <c r="E37" s="471" t="s">
        <v>231</v>
      </c>
      <c r="F37" s="447">
        <v>46218</v>
      </c>
      <c r="G37" s="447"/>
      <c r="H37" s="449"/>
      <c r="I37" s="14"/>
      <c r="J37" s="450"/>
      <c r="K37" s="451"/>
      <c r="L37" s="14"/>
      <c r="M37" s="535"/>
      <c r="N37" s="535"/>
      <c r="S37"/>
    </row>
    <row r="38" spans="1:19" ht="78.75" hidden="1">
      <c r="A38" s="460" t="s">
        <v>274</v>
      </c>
      <c r="B38" s="138" t="s">
        <v>275</v>
      </c>
      <c r="C38" s="138">
        <v>303</v>
      </c>
      <c r="D38" s="473">
        <v>2800</v>
      </c>
      <c r="E38" s="471" t="s">
        <v>222</v>
      </c>
      <c r="F38" s="447">
        <v>46220</v>
      </c>
      <c r="G38" s="447">
        <v>46220</v>
      </c>
      <c r="H38" s="449"/>
      <c r="I38" s="14"/>
      <c r="J38" s="450"/>
      <c r="K38" s="451"/>
      <c r="L38" s="14"/>
      <c r="M38" s="536" t="s">
        <v>276</v>
      </c>
      <c r="N38" s="535"/>
      <c r="S38"/>
    </row>
    <row r="39" spans="1:19" ht="15.75">
      <c r="A39" s="460" t="s">
        <v>274</v>
      </c>
      <c r="B39" s="138" t="s">
        <v>275</v>
      </c>
      <c r="C39" s="138">
        <v>303</v>
      </c>
      <c r="D39" s="139">
        <v>1200</v>
      </c>
      <c r="E39" s="471" t="s">
        <v>231</v>
      </c>
      <c r="F39" s="447">
        <v>46220</v>
      </c>
      <c r="G39" s="447"/>
      <c r="H39" s="449"/>
      <c r="I39" s="14"/>
      <c r="J39" s="450"/>
      <c r="K39" s="451"/>
      <c r="L39" s="14"/>
      <c r="M39" s="535"/>
      <c r="N39" s="535"/>
      <c r="S39"/>
    </row>
    <row r="40" spans="1:19" ht="15.75">
      <c r="A40" s="460" t="s">
        <v>240</v>
      </c>
      <c r="B40" s="138" t="s">
        <v>241</v>
      </c>
      <c r="C40" s="138" t="s">
        <v>277</v>
      </c>
      <c r="D40" s="139"/>
      <c r="E40" s="471" t="s">
        <v>243</v>
      </c>
      <c r="F40" s="447">
        <v>46220</v>
      </c>
      <c r="G40" s="447"/>
      <c r="H40" s="449"/>
      <c r="I40" s="14"/>
      <c r="J40" s="450"/>
      <c r="K40" s="451"/>
      <c r="L40" s="14"/>
      <c r="M40" s="535"/>
      <c r="N40" s="535"/>
      <c r="S40"/>
    </row>
    <row r="41" spans="1:19" ht="15.75">
      <c r="A41" s="460" t="s">
        <v>278</v>
      </c>
      <c r="B41" s="138" t="s">
        <v>279</v>
      </c>
      <c r="C41" s="138" t="s">
        <v>280</v>
      </c>
      <c r="D41" s="139">
        <v>5132.6000000000004</v>
      </c>
      <c r="E41" s="471" t="s">
        <v>222</v>
      </c>
      <c r="F41" s="447">
        <v>46220</v>
      </c>
      <c r="G41" s="447"/>
      <c r="H41" s="449"/>
      <c r="I41" s="14"/>
      <c r="J41" s="450"/>
      <c r="K41" s="451"/>
      <c r="L41" s="14"/>
      <c r="M41" s="535"/>
      <c r="N41" s="535"/>
      <c r="S41"/>
    </row>
    <row r="42" spans="1:19" ht="15.75">
      <c r="A42" s="460" t="s">
        <v>278</v>
      </c>
      <c r="B42" s="138" t="s">
        <v>279</v>
      </c>
      <c r="C42" s="138" t="s">
        <v>280</v>
      </c>
      <c r="D42" s="139">
        <v>2199.6799999999998</v>
      </c>
      <c r="E42" s="471" t="s">
        <v>231</v>
      </c>
      <c r="F42" s="447">
        <v>46220</v>
      </c>
      <c r="G42" s="447"/>
      <c r="H42" s="449"/>
      <c r="I42" s="14"/>
      <c r="J42" s="450"/>
      <c r="K42" s="451"/>
      <c r="L42" s="14"/>
      <c r="M42" s="535"/>
      <c r="N42" s="535"/>
      <c r="S42"/>
    </row>
    <row r="43" spans="1:19" ht="15.75">
      <c r="A43" s="460"/>
      <c r="B43" s="138"/>
      <c r="C43" s="138"/>
      <c r="D43" s="139"/>
      <c r="E43" s="471"/>
      <c r="F43" s="447"/>
      <c r="G43" s="447"/>
      <c r="H43" s="449"/>
      <c r="I43" s="14"/>
      <c r="J43" s="450"/>
      <c r="K43" s="451"/>
      <c r="L43" s="14"/>
      <c r="M43" s="535"/>
      <c r="N43" s="535"/>
      <c r="S43"/>
    </row>
    <row r="44" spans="1:19" ht="15.75">
      <c r="A44" s="460"/>
      <c r="B44" s="138"/>
      <c r="C44" s="138"/>
      <c r="D44" s="139">
        <f>SUBTOTAL(9,D39:D43)</f>
        <v>8532.2800000000007</v>
      </c>
      <c r="E44" s="471"/>
      <c r="F44" s="447"/>
      <c r="G44" s="447"/>
      <c r="H44" s="449"/>
      <c r="I44" s="14"/>
      <c r="J44" s="450"/>
      <c r="K44" s="451"/>
      <c r="L44" s="14"/>
      <c r="M44" s="535"/>
      <c r="N44" s="535"/>
      <c r="S44"/>
    </row>
    <row r="45" spans="1:19" ht="15.75">
      <c r="A45" s="460"/>
      <c r="B45" s="138"/>
      <c r="C45" s="138"/>
      <c r="D45" s="139"/>
      <c r="E45" s="471"/>
      <c r="F45" s="447"/>
      <c r="G45" s="447"/>
      <c r="H45" s="449"/>
      <c r="I45" s="14"/>
      <c r="J45" s="450"/>
      <c r="K45" s="451"/>
      <c r="L45" s="14"/>
      <c r="M45" s="535"/>
      <c r="N45" s="535"/>
      <c r="S45"/>
    </row>
    <row r="46" spans="1:19" ht="15.75">
      <c r="A46" s="460"/>
      <c r="B46" s="138"/>
      <c r="C46" s="138"/>
      <c r="D46" s="139"/>
      <c r="E46" s="471"/>
      <c r="F46" s="447"/>
      <c r="G46" s="447"/>
      <c r="H46" s="449"/>
      <c r="I46" s="14"/>
      <c r="J46" s="450"/>
      <c r="K46" s="451"/>
      <c r="L46" s="14"/>
      <c r="M46" s="535"/>
      <c r="N46" s="535"/>
      <c r="S46"/>
    </row>
    <row r="47" spans="1:19" ht="15.75">
      <c r="A47" s="460"/>
      <c r="B47" s="138"/>
      <c r="C47" s="138"/>
      <c r="D47" s="139"/>
      <c r="E47" s="471"/>
      <c r="F47" s="447"/>
      <c r="G47" s="447"/>
      <c r="H47" s="449"/>
      <c r="I47" s="14"/>
      <c r="J47" s="450"/>
      <c r="K47" s="451"/>
      <c r="L47" s="14"/>
      <c r="M47" s="535"/>
      <c r="N47" s="535"/>
      <c r="S47"/>
    </row>
    <row r="48" spans="1:19" ht="15.75">
      <c r="A48" s="460"/>
      <c r="B48" s="138"/>
      <c r="C48" s="138"/>
      <c r="D48" s="139"/>
      <c r="E48" s="471"/>
      <c r="F48" s="447"/>
      <c r="G48" s="447"/>
      <c r="H48" s="449"/>
      <c r="I48" s="14"/>
      <c r="J48" s="450"/>
      <c r="K48" s="451"/>
      <c r="L48" s="14"/>
      <c r="M48" s="535"/>
      <c r="N48" s="535"/>
      <c r="S48"/>
    </row>
    <row r="49" spans="1:19" ht="15.75" customHeight="1">
      <c r="A49" s="460"/>
      <c r="B49" s="138"/>
      <c r="C49" s="138"/>
      <c r="D49" s="139"/>
      <c r="E49" s="471"/>
      <c r="F49" s="447"/>
      <c r="G49" s="447"/>
      <c r="H49" s="449"/>
      <c r="I49" s="14"/>
      <c r="J49" s="450"/>
      <c r="K49" s="451"/>
      <c r="L49" s="14"/>
      <c r="M49" s="589"/>
      <c r="N49" s="590"/>
      <c r="S49"/>
    </row>
    <row r="50" spans="1:19" ht="16.5" customHeight="1" thickBot="1">
      <c r="A50" s="32"/>
      <c r="B50" s="19"/>
      <c r="C50" s="19"/>
      <c r="D50" s="33"/>
      <c r="E50" s="44" t="s">
        <v>19</v>
      </c>
      <c r="F50" s="17"/>
      <c r="G50" s="17"/>
      <c r="H50" s="449"/>
      <c r="I50" s="14"/>
      <c r="J50" s="450"/>
      <c r="K50" s="451"/>
      <c r="L50" s="14"/>
      <c r="M50" s="589"/>
      <c r="N50" s="590"/>
      <c r="O50"/>
      <c r="P50"/>
      <c r="Q50"/>
      <c r="R50"/>
      <c r="S50"/>
    </row>
    <row r="51" spans="1:19" ht="16.5" thickBot="1">
      <c r="A51" s="614"/>
      <c r="B51" s="614"/>
      <c r="C51" s="614"/>
      <c r="D51" s="614"/>
      <c r="E51" s="614"/>
      <c r="F51" s="614"/>
      <c r="G51" s="615"/>
      <c r="H51" s="20">
        <f>SUM(H3:H50)</f>
        <v>0</v>
      </c>
      <c r="I51" s="14"/>
      <c r="J51" s="469" t="s">
        <v>211</v>
      </c>
      <c r="K51" s="470">
        <f>SUM(K3:K50)</f>
        <v>0</v>
      </c>
      <c r="L51" s="14"/>
      <c r="M51" s="25"/>
      <c r="N51" s="14"/>
      <c r="O51"/>
      <c r="P51"/>
      <c r="Q51"/>
      <c r="R51"/>
      <c r="S51"/>
    </row>
  </sheetData>
  <autoFilter ref="A2:T39" xr:uid="{B05F07B1-BE1D-4454-81DD-F94CBA91BD88}">
    <filterColumn colId="4">
      <filters>
        <filter val="Adiantamento D +1"/>
        <filter val="Saldo D+ 3"/>
      </filters>
    </filterColumn>
    <filterColumn colId="6">
      <filters blank="1"/>
    </filterColumn>
    <filterColumn colId="9" showButton="0"/>
    <filterColumn colId="12" showButton="0"/>
  </autoFilter>
  <mergeCells count="8">
    <mergeCell ref="M50:N50"/>
    <mergeCell ref="A51:G51"/>
    <mergeCell ref="A1:F1"/>
    <mergeCell ref="J1:K1"/>
    <mergeCell ref="M1:N1"/>
    <mergeCell ref="J2:K2"/>
    <mergeCell ref="M2:N2"/>
    <mergeCell ref="M49:N49"/>
  </mergeCells>
  <conditionalFormatting sqref="F3:F50">
    <cfRule type="cellIs" dxfId="17" priority="1" operator="lessThan">
      <formula>$H$1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88AE-0BEC-49BD-ACBA-35792923D9D7}">
  <sheetPr filterMode="1"/>
  <dimension ref="A1:S186"/>
  <sheetViews>
    <sheetView topLeftCell="A99" zoomScaleNormal="100" workbookViewId="0">
      <selection activeCell="A154" sqref="A154:XFD154"/>
    </sheetView>
  </sheetViews>
  <sheetFormatPr defaultRowHeight="15"/>
  <cols>
    <col min="1" max="1" width="55.140625" style="34" customWidth="1"/>
    <col min="2" max="2" width="17.140625" style="4" hidden="1" customWidth="1"/>
    <col min="3" max="3" width="15.85546875" style="4" bestFit="1" customWidth="1"/>
    <col min="4" max="4" width="15.85546875" style="35" bestFit="1" customWidth="1"/>
    <col min="5" max="5" width="23.140625" style="31" bestFit="1" customWidth="1"/>
    <col min="6" max="6" width="9.5703125" style="2" bestFit="1" customWidth="1"/>
    <col min="7" max="7" width="12.7109375" style="2" customWidth="1"/>
    <col min="8" max="8" width="20.42578125" customWidth="1"/>
    <col min="9" max="9" width="2.42578125" customWidth="1"/>
    <col min="10" max="10" width="11" bestFit="1" customWidth="1"/>
    <col min="11" max="11" width="5.42578125" bestFit="1" customWidth="1"/>
    <col min="12" max="12" width="2.7109375" customWidth="1"/>
    <col min="13" max="13" width="37.28515625" style="26" bestFit="1" customWidth="1"/>
    <col min="14" max="14" width="71" style="2" customWidth="1"/>
    <col min="15" max="15" width="10.5703125" style="2" customWidth="1"/>
    <col min="16" max="16" width="136.5703125" style="1" bestFit="1" customWidth="1"/>
    <col min="17" max="17" width="14.28515625" style="1" bestFit="1" customWidth="1"/>
    <col min="18" max="19" width="12.7109375" style="1" customWidth="1"/>
  </cols>
  <sheetData>
    <row r="1" spans="1:19" ht="24" thickBot="1">
      <c r="A1" s="592" t="s">
        <v>213</v>
      </c>
      <c r="B1" s="592"/>
      <c r="C1" s="592"/>
      <c r="D1" s="592"/>
      <c r="E1" s="592"/>
      <c r="F1" s="593"/>
      <c r="G1" s="12" t="s">
        <v>1</v>
      </c>
      <c r="H1" s="55">
        <f ca="1">TODAY()</f>
        <v>46318</v>
      </c>
      <c r="I1" s="7"/>
      <c r="J1" s="594" t="s">
        <v>2</v>
      </c>
      <c r="K1" s="595"/>
      <c r="M1" s="594"/>
      <c r="N1" s="595"/>
    </row>
    <row r="2" spans="1:19" ht="15.75" thickBot="1">
      <c r="A2" s="29" t="s">
        <v>214</v>
      </c>
      <c r="B2" s="9" t="s">
        <v>215</v>
      </c>
      <c r="C2" s="9" t="s">
        <v>216</v>
      </c>
      <c r="D2" s="30" t="s">
        <v>6</v>
      </c>
      <c r="E2" s="37" t="s">
        <v>217</v>
      </c>
      <c r="F2" s="10" t="s">
        <v>7</v>
      </c>
      <c r="G2" s="10" t="s">
        <v>8</v>
      </c>
      <c r="H2" s="56" t="s">
        <v>9</v>
      </c>
      <c r="I2" s="6"/>
      <c r="J2" s="596" t="s">
        <v>10</v>
      </c>
      <c r="K2" s="597"/>
      <c r="M2" s="598" t="s">
        <v>11</v>
      </c>
      <c r="N2" s="599"/>
      <c r="O2" s="5"/>
      <c r="P2" s="5"/>
      <c r="Q2" s="5"/>
      <c r="R2" s="5"/>
      <c r="S2" s="5"/>
    </row>
    <row r="3" spans="1:19" ht="15.75">
      <c r="A3" s="474" t="s">
        <v>281</v>
      </c>
      <c r="B3" s="138" t="s">
        <v>282</v>
      </c>
      <c r="C3" s="138">
        <v>98</v>
      </c>
      <c r="D3" s="616">
        <f>5000*6</f>
        <v>30000</v>
      </c>
      <c r="E3" s="619" t="s">
        <v>19</v>
      </c>
      <c r="F3" s="475">
        <v>46171</v>
      </c>
      <c r="G3" s="447">
        <v>46205</v>
      </c>
      <c r="H3" s="622" t="s">
        <v>283</v>
      </c>
      <c r="I3" s="14"/>
      <c r="J3" s="450"/>
      <c r="K3" s="451"/>
      <c r="L3" s="14"/>
      <c r="M3" s="535"/>
      <c r="N3" s="535"/>
      <c r="S3"/>
    </row>
    <row r="4" spans="1:19" ht="15.75">
      <c r="A4" s="474" t="s">
        <v>281</v>
      </c>
      <c r="B4" s="138" t="s">
        <v>282</v>
      </c>
      <c r="C4" s="138">
        <v>99</v>
      </c>
      <c r="D4" s="617"/>
      <c r="E4" s="620"/>
      <c r="F4" s="475">
        <v>46171</v>
      </c>
      <c r="G4" s="447">
        <v>46205</v>
      </c>
      <c r="H4" s="623"/>
      <c r="I4" s="14"/>
      <c r="J4" s="450"/>
      <c r="K4" s="451"/>
      <c r="L4" s="14"/>
      <c r="M4" s="535"/>
      <c r="N4" s="535"/>
      <c r="S4"/>
    </row>
    <row r="5" spans="1:19" ht="15.75">
      <c r="A5" s="474" t="s">
        <v>281</v>
      </c>
      <c r="B5" s="138" t="s">
        <v>284</v>
      </c>
      <c r="C5" s="138">
        <v>96</v>
      </c>
      <c r="D5" s="617"/>
      <c r="E5" s="620"/>
      <c r="F5" s="475">
        <v>46171</v>
      </c>
      <c r="G5" s="447">
        <v>46205</v>
      </c>
      <c r="H5" s="623"/>
      <c r="I5" s="14"/>
      <c r="J5" s="450"/>
      <c r="K5" s="451"/>
      <c r="L5" s="14"/>
      <c r="M5" s="602"/>
      <c r="N5" s="602"/>
      <c r="S5"/>
    </row>
    <row r="6" spans="1:19" ht="15.75">
      <c r="A6" s="474" t="s">
        <v>281</v>
      </c>
      <c r="B6" s="138" t="s">
        <v>284</v>
      </c>
      <c r="C6" s="138">
        <v>97</v>
      </c>
      <c r="D6" s="617"/>
      <c r="E6" s="620"/>
      <c r="F6" s="475">
        <v>46171</v>
      </c>
      <c r="G6" s="447">
        <v>46205</v>
      </c>
      <c r="H6" s="623"/>
      <c r="I6" s="14"/>
      <c r="J6" s="450"/>
      <c r="K6" s="451"/>
      <c r="L6" s="14"/>
      <c r="M6" s="602"/>
      <c r="N6" s="602"/>
      <c r="S6"/>
    </row>
    <row r="7" spans="1:19" ht="15.75">
      <c r="A7" s="474" t="s">
        <v>281</v>
      </c>
      <c r="B7" s="138" t="s">
        <v>285</v>
      </c>
      <c r="C7" s="138">
        <v>94</v>
      </c>
      <c r="D7" s="617"/>
      <c r="E7" s="620"/>
      <c r="F7" s="475">
        <v>46171</v>
      </c>
      <c r="G7" s="447">
        <v>46205</v>
      </c>
      <c r="H7" s="623"/>
      <c r="I7" s="14"/>
      <c r="J7" s="450"/>
      <c r="K7" s="451"/>
      <c r="L7" s="14"/>
      <c r="M7" s="602"/>
      <c r="N7" s="602"/>
      <c r="S7"/>
    </row>
    <row r="8" spans="1:19" ht="15.75">
      <c r="A8" s="474" t="s">
        <v>281</v>
      </c>
      <c r="B8" s="138" t="s">
        <v>285</v>
      </c>
      <c r="C8" s="138">
        <v>95</v>
      </c>
      <c r="D8" s="618"/>
      <c r="E8" s="621"/>
      <c r="F8" s="475">
        <v>46171</v>
      </c>
      <c r="G8" s="447">
        <v>46205</v>
      </c>
      <c r="H8" s="624"/>
      <c r="I8" s="14"/>
      <c r="J8" s="450"/>
      <c r="K8" s="451"/>
      <c r="L8" s="14"/>
      <c r="M8" s="602"/>
      <c r="N8" s="602"/>
      <c r="S8"/>
    </row>
    <row r="9" spans="1:19" ht="15.75">
      <c r="A9" s="474" t="s">
        <v>281</v>
      </c>
      <c r="B9" s="138" t="s">
        <v>286</v>
      </c>
      <c r="C9" s="138">
        <v>102</v>
      </c>
      <c r="D9" s="551">
        <v>5700</v>
      </c>
      <c r="E9" s="553" t="s">
        <v>19</v>
      </c>
      <c r="F9" s="17">
        <v>46175</v>
      </c>
      <c r="G9" s="447">
        <v>46205</v>
      </c>
      <c r="H9" s="555" t="s">
        <v>287</v>
      </c>
      <c r="I9" s="14"/>
      <c r="J9" s="450"/>
      <c r="K9" s="451"/>
      <c r="L9" s="14"/>
      <c r="M9" s="535"/>
      <c r="N9" s="535"/>
      <c r="S9"/>
    </row>
    <row r="10" spans="1:19" ht="15.75" customHeight="1">
      <c r="A10" s="474" t="s">
        <v>281</v>
      </c>
      <c r="B10" s="138" t="s">
        <v>288</v>
      </c>
      <c r="C10" s="138">
        <v>103</v>
      </c>
      <c r="D10" s="549"/>
      <c r="E10" s="554"/>
      <c r="F10" s="17">
        <v>46185</v>
      </c>
      <c r="G10" s="447">
        <f t="shared" ref="G10:G54" si="0">F10+20</f>
        <v>46205</v>
      </c>
      <c r="H10" s="554" t="s">
        <v>289</v>
      </c>
      <c r="I10" s="14"/>
      <c r="J10" s="450"/>
      <c r="K10" s="451"/>
      <c r="L10" s="14"/>
      <c r="M10" s="535"/>
      <c r="N10" s="535"/>
      <c r="S10"/>
    </row>
    <row r="11" spans="1:19" ht="15.75">
      <c r="A11" s="474" t="s">
        <v>281</v>
      </c>
      <c r="B11" s="138" t="s">
        <v>288</v>
      </c>
      <c r="C11" s="138">
        <v>104</v>
      </c>
      <c r="D11" s="617">
        <f>5000*5</f>
        <v>25000</v>
      </c>
      <c r="E11" s="623"/>
      <c r="F11" s="17">
        <v>46185</v>
      </c>
      <c r="G11" s="447">
        <f t="shared" si="0"/>
        <v>46205</v>
      </c>
      <c r="H11" s="628" t="s">
        <v>289</v>
      </c>
      <c r="I11" s="14"/>
      <c r="J11" s="450"/>
      <c r="K11" s="451"/>
      <c r="L11" s="14"/>
      <c r="M11" s="535"/>
      <c r="N11" s="535"/>
      <c r="S11"/>
    </row>
    <row r="12" spans="1:19" ht="15.75">
      <c r="A12" s="474" t="s">
        <v>281</v>
      </c>
      <c r="B12" s="138" t="s">
        <v>284</v>
      </c>
      <c r="C12" s="138">
        <v>107</v>
      </c>
      <c r="D12" s="617"/>
      <c r="E12" s="623"/>
      <c r="F12" s="17">
        <v>46185</v>
      </c>
      <c r="G12" s="447">
        <f t="shared" si="0"/>
        <v>46205</v>
      </c>
      <c r="H12" s="628"/>
      <c r="I12" s="14"/>
      <c r="J12" s="450"/>
      <c r="K12" s="451"/>
      <c r="L12" s="14"/>
      <c r="M12" s="535"/>
      <c r="N12" s="535"/>
      <c r="S12"/>
    </row>
    <row r="13" spans="1:19" ht="15.75">
      <c r="A13" s="474" t="s">
        <v>281</v>
      </c>
      <c r="B13" s="138" t="s">
        <v>290</v>
      </c>
      <c r="C13" s="138">
        <v>109</v>
      </c>
      <c r="D13" s="617"/>
      <c r="E13" s="623"/>
      <c r="F13" s="17">
        <v>46185</v>
      </c>
      <c r="G13" s="447">
        <f t="shared" si="0"/>
        <v>46205</v>
      </c>
      <c r="H13" s="628"/>
      <c r="I13" s="14"/>
      <c r="J13" s="450"/>
      <c r="K13" s="451"/>
      <c r="L13" s="14"/>
      <c r="M13" s="535"/>
      <c r="N13" s="535"/>
      <c r="S13"/>
    </row>
    <row r="14" spans="1:19" ht="15.75">
      <c r="A14" s="474" t="s">
        <v>281</v>
      </c>
      <c r="B14" s="138" t="s">
        <v>290</v>
      </c>
      <c r="C14" s="138">
        <v>110</v>
      </c>
      <c r="D14" s="618"/>
      <c r="E14" s="624"/>
      <c r="F14" s="17">
        <v>46185</v>
      </c>
      <c r="G14" s="447">
        <f t="shared" si="0"/>
        <v>46205</v>
      </c>
      <c r="H14" s="629"/>
      <c r="I14" s="14"/>
      <c r="J14" s="450"/>
      <c r="K14" s="451"/>
      <c r="L14" s="14"/>
      <c r="M14" s="535"/>
      <c r="N14" s="535"/>
      <c r="S14"/>
    </row>
    <row r="15" spans="1:19" ht="15.75">
      <c r="A15" s="474" t="s">
        <v>281</v>
      </c>
      <c r="B15" s="138" t="s">
        <v>284</v>
      </c>
      <c r="C15" s="138">
        <v>108</v>
      </c>
      <c r="D15" s="625">
        <v>25000</v>
      </c>
      <c r="E15" s="626" t="s">
        <v>19</v>
      </c>
      <c r="F15" s="17">
        <v>46185</v>
      </c>
      <c r="G15" s="447">
        <f t="shared" si="0"/>
        <v>46205</v>
      </c>
      <c r="H15" s="627" t="s">
        <v>291</v>
      </c>
      <c r="I15" s="14"/>
      <c r="J15" s="450"/>
      <c r="K15" s="451"/>
      <c r="L15" s="14"/>
      <c r="M15" s="535"/>
      <c r="N15" s="535"/>
      <c r="S15"/>
    </row>
    <row r="16" spans="1:19" ht="15.75">
      <c r="A16" s="474" t="s">
        <v>281</v>
      </c>
      <c r="B16" s="138" t="s">
        <v>292</v>
      </c>
      <c r="C16" s="138">
        <v>111</v>
      </c>
      <c r="D16" s="617"/>
      <c r="E16" s="620"/>
      <c r="F16" s="17">
        <v>46185</v>
      </c>
      <c r="G16" s="447">
        <f t="shared" si="0"/>
        <v>46205</v>
      </c>
      <c r="H16" s="628"/>
      <c r="I16" s="14"/>
      <c r="J16" s="450"/>
      <c r="K16" s="451"/>
      <c r="L16" s="14"/>
      <c r="M16" s="535"/>
      <c r="N16" s="535"/>
      <c r="S16"/>
    </row>
    <row r="17" spans="1:19" ht="15.75">
      <c r="A17" s="474" t="s">
        <v>281</v>
      </c>
      <c r="B17" s="138" t="s">
        <v>293</v>
      </c>
      <c r="C17" s="138">
        <v>112</v>
      </c>
      <c r="D17" s="617"/>
      <c r="E17" s="620"/>
      <c r="F17" s="17">
        <v>46185</v>
      </c>
      <c r="G17" s="447">
        <f t="shared" si="0"/>
        <v>46205</v>
      </c>
      <c r="H17" s="628"/>
      <c r="I17" s="14"/>
      <c r="J17" s="450"/>
      <c r="K17" s="451"/>
      <c r="L17" s="14"/>
      <c r="M17" s="535"/>
      <c r="N17" s="535"/>
      <c r="S17"/>
    </row>
    <row r="18" spans="1:19" ht="15.75">
      <c r="A18" s="474" t="s">
        <v>281</v>
      </c>
      <c r="B18" s="138" t="s">
        <v>294</v>
      </c>
      <c r="C18" s="138">
        <v>134</v>
      </c>
      <c r="D18" s="617"/>
      <c r="E18" s="620"/>
      <c r="F18" s="17">
        <v>46185</v>
      </c>
      <c r="G18" s="447">
        <f t="shared" si="0"/>
        <v>46205</v>
      </c>
      <c r="H18" s="628"/>
      <c r="I18" s="14"/>
      <c r="J18" s="450"/>
      <c r="K18" s="451"/>
      <c r="L18" s="14"/>
      <c r="M18" s="535"/>
      <c r="N18" s="535"/>
      <c r="S18"/>
    </row>
    <row r="19" spans="1:19" ht="15.75">
      <c r="A19" s="474" t="s">
        <v>281</v>
      </c>
      <c r="B19" s="138" t="s">
        <v>294</v>
      </c>
      <c r="C19" s="19">
        <v>135</v>
      </c>
      <c r="D19" s="617"/>
      <c r="E19" s="621"/>
      <c r="F19" s="17">
        <v>46185</v>
      </c>
      <c r="G19" s="447">
        <f t="shared" si="0"/>
        <v>46205</v>
      </c>
      <c r="H19" s="628"/>
      <c r="I19" s="14"/>
      <c r="J19" s="450"/>
      <c r="K19" s="451"/>
      <c r="L19" s="14"/>
      <c r="M19" s="535"/>
      <c r="N19" s="535"/>
      <c r="S19"/>
    </row>
    <row r="20" spans="1:19" ht="15.75">
      <c r="A20" s="474" t="s">
        <v>281</v>
      </c>
      <c r="B20" s="138" t="s">
        <v>295</v>
      </c>
      <c r="C20" s="138">
        <v>113</v>
      </c>
      <c r="D20" s="625">
        <v>25000</v>
      </c>
      <c r="E20" s="626" t="s">
        <v>19</v>
      </c>
      <c r="F20" s="17">
        <v>46185</v>
      </c>
      <c r="G20" s="467">
        <f t="shared" si="0"/>
        <v>46205</v>
      </c>
      <c r="H20" s="630" t="s">
        <v>296</v>
      </c>
      <c r="I20" s="14"/>
      <c r="J20" s="450"/>
      <c r="K20" s="451"/>
      <c r="L20" s="14"/>
      <c r="M20" s="535"/>
      <c r="N20" s="535"/>
      <c r="S20"/>
    </row>
    <row r="21" spans="1:19" ht="15.75">
      <c r="A21" s="474" t="s">
        <v>281</v>
      </c>
      <c r="B21" s="138" t="s">
        <v>295</v>
      </c>
      <c r="C21" s="138">
        <v>114</v>
      </c>
      <c r="D21" s="617"/>
      <c r="E21" s="620"/>
      <c r="F21" s="17">
        <v>46185</v>
      </c>
      <c r="G21" s="467">
        <f t="shared" si="0"/>
        <v>46205</v>
      </c>
      <c r="H21" s="631"/>
      <c r="I21" s="14"/>
      <c r="J21" s="450"/>
      <c r="K21" s="451"/>
      <c r="L21" s="14"/>
      <c r="M21" s="535"/>
      <c r="N21" s="535"/>
      <c r="S21"/>
    </row>
    <row r="22" spans="1:19" ht="15.75">
      <c r="A22" s="474" t="s">
        <v>281</v>
      </c>
      <c r="B22" s="138" t="s">
        <v>297</v>
      </c>
      <c r="C22" s="138">
        <v>115</v>
      </c>
      <c r="D22" s="617"/>
      <c r="E22" s="620"/>
      <c r="F22" s="17">
        <v>46185</v>
      </c>
      <c r="G22" s="467">
        <f t="shared" si="0"/>
        <v>46205</v>
      </c>
      <c r="H22" s="631"/>
      <c r="I22" s="14"/>
      <c r="J22" s="450"/>
      <c r="K22" s="451"/>
      <c r="L22" s="14"/>
      <c r="M22" s="535"/>
      <c r="N22" s="535"/>
      <c r="S22"/>
    </row>
    <row r="23" spans="1:19" ht="15.75">
      <c r="A23" s="474" t="s">
        <v>281</v>
      </c>
      <c r="B23" s="138" t="s">
        <v>297</v>
      </c>
      <c r="C23" s="138">
        <v>116</v>
      </c>
      <c r="D23" s="617"/>
      <c r="E23" s="620"/>
      <c r="F23" s="17">
        <v>46185</v>
      </c>
      <c r="G23" s="467">
        <f t="shared" si="0"/>
        <v>46205</v>
      </c>
      <c r="H23" s="631"/>
      <c r="I23" s="14"/>
      <c r="J23" s="450"/>
      <c r="K23" s="451"/>
      <c r="L23" s="14"/>
      <c r="M23" s="535"/>
      <c r="N23" s="535"/>
      <c r="S23"/>
    </row>
    <row r="24" spans="1:19" ht="15.75">
      <c r="A24" s="474" t="s">
        <v>281</v>
      </c>
      <c r="B24" s="138" t="s">
        <v>298</v>
      </c>
      <c r="C24" s="138">
        <v>123</v>
      </c>
      <c r="D24" s="617"/>
      <c r="E24" s="621"/>
      <c r="F24" s="17">
        <v>46185</v>
      </c>
      <c r="G24" s="467">
        <f t="shared" si="0"/>
        <v>46205</v>
      </c>
      <c r="H24" s="631"/>
      <c r="I24" s="14"/>
      <c r="J24" s="450"/>
      <c r="K24" s="451"/>
      <c r="L24" s="14"/>
      <c r="M24" s="535"/>
      <c r="N24" s="535"/>
      <c r="S24"/>
    </row>
    <row r="25" spans="1:19" ht="15.75">
      <c r="A25" s="474" t="s">
        <v>281</v>
      </c>
      <c r="B25" s="138" t="s">
        <v>299</v>
      </c>
      <c r="C25" s="138">
        <v>117</v>
      </c>
      <c r="D25" s="625">
        <v>25000</v>
      </c>
      <c r="E25" s="626" t="s">
        <v>19</v>
      </c>
      <c r="F25" s="17">
        <v>46185</v>
      </c>
      <c r="G25" s="447">
        <f t="shared" si="0"/>
        <v>46205</v>
      </c>
      <c r="H25" s="623" t="s">
        <v>300</v>
      </c>
      <c r="I25" s="14"/>
      <c r="J25" s="450"/>
      <c r="K25" s="451"/>
      <c r="L25" s="14"/>
      <c r="M25" s="535"/>
      <c r="N25" s="535"/>
      <c r="S25"/>
    </row>
    <row r="26" spans="1:19" ht="15.75">
      <c r="A26" s="474" t="s">
        <v>281</v>
      </c>
      <c r="B26" s="138" t="s">
        <v>299</v>
      </c>
      <c r="C26" s="138">
        <v>118</v>
      </c>
      <c r="D26" s="617"/>
      <c r="E26" s="620"/>
      <c r="F26" s="17">
        <v>46185</v>
      </c>
      <c r="G26" s="447">
        <f t="shared" si="0"/>
        <v>46205</v>
      </c>
      <c r="H26" s="628"/>
      <c r="I26" s="14"/>
      <c r="J26" s="450"/>
      <c r="K26" s="451"/>
      <c r="L26" s="14"/>
      <c r="M26" s="535"/>
      <c r="N26" s="535"/>
      <c r="S26"/>
    </row>
    <row r="27" spans="1:19" ht="15.75">
      <c r="A27" s="474" t="s">
        <v>281</v>
      </c>
      <c r="B27" s="138" t="s">
        <v>301</v>
      </c>
      <c r="C27" s="138">
        <v>121</v>
      </c>
      <c r="D27" s="617"/>
      <c r="E27" s="620"/>
      <c r="F27" s="17">
        <v>46185</v>
      </c>
      <c r="G27" s="447">
        <f t="shared" si="0"/>
        <v>46205</v>
      </c>
      <c r="H27" s="628"/>
      <c r="I27" s="14"/>
      <c r="J27" s="450"/>
      <c r="K27" s="451"/>
      <c r="L27" s="14"/>
      <c r="M27" s="535"/>
      <c r="N27" s="535"/>
      <c r="S27"/>
    </row>
    <row r="28" spans="1:19" ht="15.75">
      <c r="A28" s="474" t="s">
        <v>281</v>
      </c>
      <c r="B28" s="138" t="s">
        <v>298</v>
      </c>
      <c r="C28" s="138">
        <v>124</v>
      </c>
      <c r="D28" s="617"/>
      <c r="E28" s="620"/>
      <c r="F28" s="17">
        <v>46185</v>
      </c>
      <c r="G28" s="447">
        <f t="shared" si="0"/>
        <v>46205</v>
      </c>
      <c r="H28" s="628"/>
      <c r="I28" s="14"/>
      <c r="J28" s="450"/>
      <c r="K28" s="451"/>
      <c r="L28" s="14"/>
      <c r="M28" s="535"/>
      <c r="N28" s="535"/>
      <c r="S28"/>
    </row>
    <row r="29" spans="1:19" ht="15.75">
      <c r="A29" s="474" t="s">
        <v>281</v>
      </c>
      <c r="B29" s="138" t="s">
        <v>248</v>
      </c>
      <c r="C29" s="138">
        <v>133</v>
      </c>
      <c r="D29" s="617"/>
      <c r="E29" s="621"/>
      <c r="F29" s="17">
        <v>46185</v>
      </c>
      <c r="G29" s="447">
        <f t="shared" si="0"/>
        <v>46205</v>
      </c>
      <c r="H29" s="629"/>
      <c r="I29" s="14"/>
      <c r="J29" s="450"/>
      <c r="K29" s="451"/>
      <c r="L29" s="14"/>
      <c r="M29" s="535"/>
      <c r="N29" s="535"/>
      <c r="S29"/>
    </row>
    <row r="30" spans="1:19" ht="15.75">
      <c r="A30" s="474" t="s">
        <v>281</v>
      </c>
      <c r="B30" s="138" t="s">
        <v>243</v>
      </c>
      <c r="C30" s="138">
        <v>119</v>
      </c>
      <c r="D30" s="632">
        <v>25000</v>
      </c>
      <c r="E30" s="626" t="s">
        <v>19</v>
      </c>
      <c r="F30" s="17">
        <v>46185</v>
      </c>
      <c r="G30" s="447">
        <f t="shared" si="0"/>
        <v>46205</v>
      </c>
      <c r="H30" s="627" t="s">
        <v>302</v>
      </c>
      <c r="I30" s="14"/>
      <c r="J30" s="450"/>
      <c r="K30" s="451"/>
      <c r="L30" s="14"/>
      <c r="M30" s="535"/>
      <c r="N30" s="535"/>
      <c r="S30"/>
    </row>
    <row r="31" spans="1:19" ht="15.75">
      <c r="A31" s="474" t="s">
        <v>281</v>
      </c>
      <c r="B31" s="138" t="s">
        <v>243</v>
      </c>
      <c r="C31" s="138">
        <v>120</v>
      </c>
      <c r="D31" s="633"/>
      <c r="E31" s="620"/>
      <c r="F31" s="17">
        <v>46185</v>
      </c>
      <c r="G31" s="447">
        <f t="shared" si="0"/>
        <v>46205</v>
      </c>
      <c r="H31" s="628"/>
      <c r="I31" s="14"/>
      <c r="J31" s="450"/>
      <c r="K31" s="451"/>
      <c r="L31" s="14"/>
      <c r="M31" s="535"/>
      <c r="N31" s="535"/>
      <c r="S31"/>
    </row>
    <row r="32" spans="1:19" ht="15.75">
      <c r="A32" s="474" t="s">
        <v>281</v>
      </c>
      <c r="B32" s="138" t="s">
        <v>301</v>
      </c>
      <c r="C32" s="138">
        <v>122</v>
      </c>
      <c r="D32" s="633"/>
      <c r="E32" s="620"/>
      <c r="F32" s="17">
        <v>46185</v>
      </c>
      <c r="G32" s="447">
        <f t="shared" si="0"/>
        <v>46205</v>
      </c>
      <c r="H32" s="628"/>
      <c r="I32" s="14"/>
      <c r="J32" s="450"/>
      <c r="K32" s="451"/>
      <c r="L32" s="14"/>
      <c r="M32" s="535"/>
      <c r="N32" s="535"/>
      <c r="S32"/>
    </row>
    <row r="33" spans="1:19" ht="15.75">
      <c r="A33" s="474" t="s">
        <v>281</v>
      </c>
      <c r="B33" s="138" t="s">
        <v>303</v>
      </c>
      <c r="C33" s="138">
        <v>127</v>
      </c>
      <c r="D33" s="633"/>
      <c r="E33" s="620"/>
      <c r="F33" s="17">
        <v>46185</v>
      </c>
      <c r="G33" s="447">
        <f t="shared" si="0"/>
        <v>46205</v>
      </c>
      <c r="H33" s="628"/>
      <c r="I33" s="14"/>
      <c r="J33" s="450"/>
      <c r="K33" s="451"/>
      <c r="L33" s="14"/>
      <c r="M33" s="535"/>
      <c r="N33" s="535"/>
      <c r="S33"/>
    </row>
    <row r="34" spans="1:19" ht="15.75">
      <c r="A34" s="474" t="s">
        <v>281</v>
      </c>
      <c r="B34" s="138" t="s">
        <v>248</v>
      </c>
      <c r="C34" s="19">
        <v>132</v>
      </c>
      <c r="D34" s="634"/>
      <c r="E34" s="621"/>
      <c r="F34" s="17">
        <v>46185</v>
      </c>
      <c r="G34" s="447">
        <f t="shared" si="0"/>
        <v>46205</v>
      </c>
      <c r="H34" s="629"/>
      <c r="I34" s="14"/>
      <c r="J34" s="450"/>
      <c r="K34" s="451"/>
      <c r="L34" s="14"/>
      <c r="M34" s="535"/>
      <c r="N34" s="535"/>
      <c r="S34"/>
    </row>
    <row r="35" spans="1:19" ht="15.75">
      <c r="A35" s="474" t="s">
        <v>281</v>
      </c>
      <c r="B35" s="138" t="s">
        <v>304</v>
      </c>
      <c r="C35" s="138">
        <v>125</v>
      </c>
      <c r="D35" s="632">
        <v>25000</v>
      </c>
      <c r="E35" s="626" t="s">
        <v>19</v>
      </c>
      <c r="F35" s="17">
        <v>46185</v>
      </c>
      <c r="G35" s="447">
        <f t="shared" si="0"/>
        <v>46205</v>
      </c>
      <c r="H35" s="627" t="s">
        <v>305</v>
      </c>
      <c r="I35" s="14"/>
      <c r="J35" s="450"/>
      <c r="K35" s="451"/>
      <c r="L35" s="14"/>
      <c r="M35" s="535"/>
      <c r="N35" s="535"/>
      <c r="S35"/>
    </row>
    <row r="36" spans="1:19" ht="15.75">
      <c r="A36" s="474" t="s">
        <v>281</v>
      </c>
      <c r="B36" s="138" t="s">
        <v>304</v>
      </c>
      <c r="C36" s="138">
        <v>126</v>
      </c>
      <c r="D36" s="633"/>
      <c r="E36" s="620"/>
      <c r="F36" s="17">
        <v>46185</v>
      </c>
      <c r="G36" s="447">
        <f t="shared" si="0"/>
        <v>46205</v>
      </c>
      <c r="H36" s="628"/>
      <c r="I36" s="14"/>
      <c r="J36" s="450"/>
      <c r="K36" s="451"/>
      <c r="L36" s="14"/>
      <c r="M36" s="535"/>
      <c r="N36" s="535"/>
      <c r="S36"/>
    </row>
    <row r="37" spans="1:19" ht="15.75">
      <c r="A37" s="474" t="s">
        <v>281</v>
      </c>
      <c r="B37" s="138" t="s">
        <v>303</v>
      </c>
      <c r="C37" s="138">
        <v>128</v>
      </c>
      <c r="D37" s="633"/>
      <c r="E37" s="620"/>
      <c r="F37" s="17">
        <v>46185</v>
      </c>
      <c r="G37" s="447">
        <f t="shared" si="0"/>
        <v>46205</v>
      </c>
      <c r="H37" s="628"/>
      <c r="I37" s="14"/>
      <c r="J37" s="450"/>
      <c r="K37" s="451"/>
      <c r="L37" s="14"/>
      <c r="M37" s="535"/>
      <c r="N37" s="535"/>
      <c r="S37"/>
    </row>
    <row r="38" spans="1:19" ht="15.75">
      <c r="A38" s="474" t="s">
        <v>281</v>
      </c>
      <c r="B38" s="138" t="s">
        <v>306</v>
      </c>
      <c r="C38" s="138">
        <v>129</v>
      </c>
      <c r="D38" s="633"/>
      <c r="E38" s="620"/>
      <c r="F38" s="17">
        <v>46185</v>
      </c>
      <c r="G38" s="447">
        <f t="shared" si="0"/>
        <v>46205</v>
      </c>
      <c r="H38" s="628"/>
      <c r="I38" s="14"/>
      <c r="J38" s="450"/>
      <c r="K38" s="451"/>
      <c r="L38" s="14"/>
      <c r="M38" s="535"/>
      <c r="N38" s="535"/>
      <c r="S38"/>
    </row>
    <row r="39" spans="1:19" ht="15.75">
      <c r="A39" s="474" t="s">
        <v>281</v>
      </c>
      <c r="B39" s="138" t="s">
        <v>306</v>
      </c>
      <c r="C39" s="138">
        <v>131</v>
      </c>
      <c r="D39" s="634"/>
      <c r="E39" s="621"/>
      <c r="F39" s="17">
        <v>46185</v>
      </c>
      <c r="G39" s="447">
        <f t="shared" si="0"/>
        <v>46205</v>
      </c>
      <c r="H39" s="629"/>
      <c r="I39" s="14"/>
      <c r="J39" s="450"/>
      <c r="K39" s="451"/>
      <c r="L39" s="14"/>
      <c r="M39" s="535"/>
      <c r="N39" s="535"/>
      <c r="S39"/>
    </row>
    <row r="40" spans="1:19" ht="15.75">
      <c r="A40" s="474" t="s">
        <v>281</v>
      </c>
      <c r="B40" s="138" t="s">
        <v>307</v>
      </c>
      <c r="C40" s="476">
        <v>136</v>
      </c>
      <c r="D40" s="632">
        <v>25000</v>
      </c>
      <c r="E40" s="626" t="s">
        <v>19</v>
      </c>
      <c r="F40" s="17">
        <v>46185</v>
      </c>
      <c r="G40" s="447">
        <f t="shared" si="0"/>
        <v>46205</v>
      </c>
      <c r="H40" s="627" t="s">
        <v>308</v>
      </c>
      <c r="I40" s="14"/>
      <c r="J40" s="450"/>
      <c r="K40" s="451"/>
      <c r="L40" s="14"/>
      <c r="M40" s="535"/>
      <c r="N40" s="535"/>
      <c r="S40"/>
    </row>
    <row r="41" spans="1:19" ht="15.75">
      <c r="A41" s="474" t="s">
        <v>281</v>
      </c>
      <c r="B41" s="138" t="s">
        <v>307</v>
      </c>
      <c r="C41" s="476">
        <v>137</v>
      </c>
      <c r="D41" s="633"/>
      <c r="E41" s="620"/>
      <c r="F41" s="17">
        <v>46185</v>
      </c>
      <c r="G41" s="447">
        <f t="shared" si="0"/>
        <v>46205</v>
      </c>
      <c r="H41" s="628"/>
      <c r="I41" s="14"/>
      <c r="J41" s="450"/>
      <c r="K41" s="451"/>
      <c r="L41" s="14"/>
      <c r="M41" s="535"/>
      <c r="N41" s="535"/>
      <c r="S41"/>
    </row>
    <row r="42" spans="1:19" ht="15.75">
      <c r="A42" s="474" t="s">
        <v>281</v>
      </c>
      <c r="B42" s="138" t="s">
        <v>288</v>
      </c>
      <c r="C42" s="476">
        <v>150</v>
      </c>
      <c r="D42" s="633"/>
      <c r="E42" s="620"/>
      <c r="F42" s="17">
        <v>46185</v>
      </c>
      <c r="G42" s="447">
        <f t="shared" si="0"/>
        <v>46205</v>
      </c>
      <c r="H42" s="628"/>
      <c r="I42" s="14"/>
      <c r="J42" s="450"/>
      <c r="K42" s="451"/>
      <c r="L42" s="14"/>
      <c r="M42" s="535"/>
      <c r="N42" s="535"/>
      <c r="S42"/>
    </row>
    <row r="43" spans="1:19" ht="15.75">
      <c r="A43" s="474" t="s">
        <v>281</v>
      </c>
      <c r="B43" s="138" t="s">
        <v>288</v>
      </c>
      <c r="C43" s="476">
        <v>151</v>
      </c>
      <c r="D43" s="633"/>
      <c r="E43" s="620"/>
      <c r="F43" s="17">
        <v>46185</v>
      </c>
      <c r="G43" s="447">
        <f t="shared" si="0"/>
        <v>46205</v>
      </c>
      <c r="H43" s="628"/>
      <c r="I43" s="14"/>
      <c r="J43" s="450"/>
      <c r="K43" s="451"/>
      <c r="L43" s="14"/>
      <c r="M43" s="535"/>
      <c r="N43" s="535"/>
      <c r="S43"/>
    </row>
    <row r="44" spans="1:19" ht="15.75">
      <c r="A44" s="474" t="s">
        <v>281</v>
      </c>
      <c r="B44" s="138" t="s">
        <v>292</v>
      </c>
      <c r="C44" s="476">
        <v>149</v>
      </c>
      <c r="D44" s="634"/>
      <c r="E44" s="621"/>
      <c r="F44" s="17">
        <v>46185</v>
      </c>
      <c r="G44" s="447">
        <f t="shared" si="0"/>
        <v>46205</v>
      </c>
      <c r="H44" s="629"/>
      <c r="I44" s="14"/>
      <c r="J44" s="450"/>
      <c r="K44" s="451"/>
      <c r="L44" s="14"/>
      <c r="M44" s="535"/>
      <c r="N44" s="535"/>
      <c r="S44"/>
    </row>
    <row r="45" spans="1:19" ht="15.75">
      <c r="A45" s="474" t="s">
        <v>281</v>
      </c>
      <c r="B45" s="138" t="s">
        <v>309</v>
      </c>
      <c r="C45" s="476">
        <v>143</v>
      </c>
      <c r="D45" s="632">
        <v>25000</v>
      </c>
      <c r="E45" s="626" t="s">
        <v>19</v>
      </c>
      <c r="F45" s="17">
        <v>46185</v>
      </c>
      <c r="G45" s="447">
        <f t="shared" si="0"/>
        <v>46205</v>
      </c>
      <c r="H45" s="627" t="s">
        <v>310</v>
      </c>
      <c r="I45" s="14"/>
      <c r="J45" s="450"/>
      <c r="K45" s="451"/>
      <c r="L45" s="14"/>
      <c r="M45" s="535"/>
      <c r="N45" s="535"/>
      <c r="S45"/>
    </row>
    <row r="46" spans="1:19" ht="15.75">
      <c r="A46" s="474" t="s">
        <v>281</v>
      </c>
      <c r="B46" s="138" t="s">
        <v>292</v>
      </c>
      <c r="C46" s="476">
        <v>148</v>
      </c>
      <c r="D46" s="633"/>
      <c r="E46" s="620"/>
      <c r="F46" s="17">
        <v>46185</v>
      </c>
      <c r="G46" s="447">
        <f t="shared" si="0"/>
        <v>46205</v>
      </c>
      <c r="H46" s="628"/>
      <c r="I46" s="14"/>
      <c r="J46" s="450"/>
      <c r="K46" s="451"/>
      <c r="L46" s="14"/>
      <c r="M46" s="535"/>
      <c r="N46" s="535"/>
      <c r="S46"/>
    </row>
    <row r="47" spans="1:19" ht="15.75">
      <c r="A47" s="474" t="s">
        <v>281</v>
      </c>
      <c r="B47" s="138" t="s">
        <v>303</v>
      </c>
      <c r="C47" s="476">
        <v>146</v>
      </c>
      <c r="D47" s="633"/>
      <c r="E47" s="620"/>
      <c r="F47" s="17">
        <v>46185</v>
      </c>
      <c r="G47" s="447">
        <f t="shared" si="0"/>
        <v>46205</v>
      </c>
      <c r="H47" s="628"/>
      <c r="I47" s="14"/>
      <c r="J47" s="450"/>
      <c r="K47" s="451"/>
      <c r="L47" s="14"/>
      <c r="M47" s="535"/>
      <c r="N47" s="535"/>
      <c r="S47"/>
    </row>
    <row r="48" spans="1:19" ht="15.75">
      <c r="A48" s="474" t="s">
        <v>281</v>
      </c>
      <c r="B48" s="138" t="s">
        <v>303</v>
      </c>
      <c r="C48" s="476">
        <v>147</v>
      </c>
      <c r="D48" s="633"/>
      <c r="E48" s="620"/>
      <c r="F48" s="17">
        <v>46185</v>
      </c>
      <c r="G48" s="447">
        <f t="shared" si="0"/>
        <v>46205</v>
      </c>
      <c r="H48" s="628"/>
      <c r="I48" s="14"/>
      <c r="J48" s="450"/>
      <c r="K48" s="451"/>
      <c r="L48" s="14"/>
      <c r="M48" s="535"/>
      <c r="N48" s="535"/>
      <c r="S48"/>
    </row>
    <row r="49" spans="1:19" ht="15.75">
      <c r="A49" s="474" t="s">
        <v>281</v>
      </c>
      <c r="B49" s="138" t="s">
        <v>248</v>
      </c>
      <c r="C49" s="476">
        <v>144</v>
      </c>
      <c r="D49" s="634"/>
      <c r="E49" s="621"/>
      <c r="F49" s="17">
        <v>46185</v>
      </c>
      <c r="G49" s="447">
        <f t="shared" si="0"/>
        <v>46205</v>
      </c>
      <c r="H49" s="629"/>
      <c r="I49" s="14"/>
      <c r="J49" s="450"/>
      <c r="K49" s="451"/>
      <c r="L49" s="14"/>
      <c r="M49" s="535"/>
      <c r="N49" s="535"/>
      <c r="S49"/>
    </row>
    <row r="50" spans="1:19" ht="15.75">
      <c r="A50" s="474" t="s">
        <v>281</v>
      </c>
      <c r="B50" s="138" t="s">
        <v>309</v>
      </c>
      <c r="C50" s="476">
        <v>142</v>
      </c>
      <c r="D50" s="632">
        <v>25000</v>
      </c>
      <c r="E50" s="626" t="s">
        <v>19</v>
      </c>
      <c r="F50" s="17">
        <v>46185</v>
      </c>
      <c r="G50" s="447">
        <f t="shared" si="0"/>
        <v>46205</v>
      </c>
      <c r="H50" s="627" t="s">
        <v>311</v>
      </c>
      <c r="I50" s="14"/>
      <c r="J50" s="450"/>
      <c r="K50" s="451"/>
      <c r="L50" s="14"/>
      <c r="M50" s="535"/>
      <c r="N50" s="535"/>
      <c r="S50"/>
    </row>
    <row r="51" spans="1:19" ht="15.75">
      <c r="A51" s="474" t="s">
        <v>281</v>
      </c>
      <c r="B51" s="138" t="s">
        <v>312</v>
      </c>
      <c r="C51" s="476">
        <v>140</v>
      </c>
      <c r="D51" s="633"/>
      <c r="E51" s="620"/>
      <c r="F51" s="17">
        <v>46185</v>
      </c>
      <c r="G51" s="447">
        <f t="shared" si="0"/>
        <v>46205</v>
      </c>
      <c r="H51" s="628"/>
      <c r="I51" s="14"/>
      <c r="J51" s="450"/>
      <c r="K51" s="451"/>
      <c r="L51" s="14"/>
      <c r="M51" s="535"/>
      <c r="N51" s="535"/>
      <c r="S51"/>
    </row>
    <row r="52" spans="1:19" ht="15.75">
      <c r="A52" s="474" t="s">
        <v>281</v>
      </c>
      <c r="B52" s="138" t="s">
        <v>312</v>
      </c>
      <c r="C52" s="476">
        <v>141</v>
      </c>
      <c r="D52" s="633"/>
      <c r="E52" s="620"/>
      <c r="F52" s="17">
        <v>46185</v>
      </c>
      <c r="G52" s="447">
        <f t="shared" si="0"/>
        <v>46205</v>
      </c>
      <c r="H52" s="628"/>
      <c r="I52" s="14"/>
      <c r="J52" s="450"/>
      <c r="K52" s="451"/>
      <c r="L52" s="14"/>
      <c r="M52" s="535"/>
      <c r="N52" s="535"/>
      <c r="S52"/>
    </row>
    <row r="53" spans="1:19" ht="15.75">
      <c r="A53" s="474" t="s">
        <v>281</v>
      </c>
      <c r="B53" s="138" t="s">
        <v>298</v>
      </c>
      <c r="C53" s="476">
        <v>138</v>
      </c>
      <c r="D53" s="633"/>
      <c r="E53" s="620"/>
      <c r="F53" s="17">
        <v>46185</v>
      </c>
      <c r="G53" s="447">
        <f t="shared" si="0"/>
        <v>46205</v>
      </c>
      <c r="H53" s="628"/>
      <c r="I53" s="14"/>
      <c r="J53" s="450"/>
      <c r="K53" s="451"/>
      <c r="L53" s="14"/>
      <c r="M53" s="535"/>
      <c r="N53" s="535"/>
      <c r="S53"/>
    </row>
    <row r="54" spans="1:19" ht="15.75">
      <c r="A54" s="474" t="s">
        <v>281</v>
      </c>
      <c r="B54" s="138" t="s">
        <v>298</v>
      </c>
      <c r="C54" s="476">
        <v>139</v>
      </c>
      <c r="D54" s="634"/>
      <c r="E54" s="621"/>
      <c r="F54" s="17">
        <v>46185</v>
      </c>
      <c r="G54" s="447">
        <f t="shared" si="0"/>
        <v>46205</v>
      </c>
      <c r="H54" s="629"/>
      <c r="I54" s="14"/>
      <c r="J54" s="450"/>
      <c r="K54" s="451"/>
      <c r="L54" s="14"/>
      <c r="M54" s="535"/>
      <c r="N54" s="535"/>
      <c r="S54"/>
    </row>
    <row r="55" spans="1:19" ht="15.75">
      <c r="A55" s="474" t="s">
        <v>281</v>
      </c>
      <c r="B55" s="138" t="s">
        <v>248</v>
      </c>
      <c r="C55" s="138">
        <v>145</v>
      </c>
      <c r="D55" s="625">
        <f>5000*5</f>
        <v>25000</v>
      </c>
      <c r="E55" s="626" t="s">
        <v>19</v>
      </c>
      <c r="F55" s="17">
        <v>46188</v>
      </c>
      <c r="G55" s="447">
        <f t="shared" ref="G55:G67" si="1">F55+21</f>
        <v>46209</v>
      </c>
      <c r="H55" s="635" t="s">
        <v>313</v>
      </c>
      <c r="I55" s="14"/>
      <c r="J55" s="450"/>
      <c r="K55" s="451"/>
      <c r="L55" s="14"/>
      <c r="M55" s="535"/>
      <c r="N55" s="535"/>
      <c r="S55"/>
    </row>
    <row r="56" spans="1:19" ht="15.75">
      <c r="A56" s="474" t="s">
        <v>281</v>
      </c>
      <c r="B56" s="138" t="s">
        <v>314</v>
      </c>
      <c r="C56" s="138">
        <v>160</v>
      </c>
      <c r="D56" s="617"/>
      <c r="E56" s="620"/>
      <c r="F56" s="17">
        <v>46188</v>
      </c>
      <c r="G56" s="447">
        <f t="shared" si="1"/>
        <v>46209</v>
      </c>
      <c r="H56" s="636"/>
      <c r="I56" s="14"/>
      <c r="J56" s="450"/>
      <c r="K56" s="451"/>
      <c r="L56" s="14"/>
      <c r="M56" s="535"/>
      <c r="N56" s="535"/>
      <c r="S56"/>
    </row>
    <row r="57" spans="1:19" ht="15.75">
      <c r="A57" s="474" t="s">
        <v>281</v>
      </c>
      <c r="B57" s="138" t="s">
        <v>314</v>
      </c>
      <c r="C57" s="138">
        <v>161</v>
      </c>
      <c r="D57" s="617"/>
      <c r="E57" s="620"/>
      <c r="F57" s="17">
        <v>46188</v>
      </c>
      <c r="G57" s="447">
        <f t="shared" si="1"/>
        <v>46209</v>
      </c>
      <c r="H57" s="636"/>
      <c r="I57" s="14"/>
      <c r="J57" s="450"/>
      <c r="K57" s="451"/>
      <c r="L57" s="14"/>
      <c r="M57" s="535"/>
      <c r="N57" s="535"/>
      <c r="S57"/>
    </row>
    <row r="58" spans="1:19" ht="15.75">
      <c r="A58" s="474" t="s">
        <v>281</v>
      </c>
      <c r="B58" s="138" t="s">
        <v>315</v>
      </c>
      <c r="C58" s="138">
        <v>162</v>
      </c>
      <c r="D58" s="617"/>
      <c r="E58" s="620"/>
      <c r="F58" s="17">
        <v>46188</v>
      </c>
      <c r="G58" s="447">
        <f t="shared" si="1"/>
        <v>46209</v>
      </c>
      <c r="H58" s="636"/>
      <c r="I58" s="14"/>
      <c r="J58" s="450"/>
      <c r="K58" s="451"/>
      <c r="L58" s="14"/>
      <c r="M58" s="535"/>
      <c r="N58" s="535"/>
      <c r="S58"/>
    </row>
    <row r="59" spans="1:19" ht="15.75">
      <c r="A59" s="474" t="s">
        <v>281</v>
      </c>
      <c r="B59" s="138" t="s">
        <v>316</v>
      </c>
      <c r="C59" s="138">
        <v>164</v>
      </c>
      <c r="D59" s="618"/>
      <c r="E59" s="621"/>
      <c r="F59" s="17">
        <v>46188</v>
      </c>
      <c r="G59" s="447">
        <f t="shared" si="1"/>
        <v>46209</v>
      </c>
      <c r="H59" s="636"/>
      <c r="I59" s="14"/>
      <c r="J59" s="450"/>
      <c r="K59" s="451"/>
      <c r="L59" s="14"/>
      <c r="M59" s="535"/>
      <c r="N59" s="535"/>
      <c r="S59"/>
    </row>
    <row r="60" spans="1:19" ht="15.75">
      <c r="A60" s="474" t="s">
        <v>281</v>
      </c>
      <c r="B60" s="138" t="s">
        <v>309</v>
      </c>
      <c r="C60" s="138">
        <v>155</v>
      </c>
      <c r="D60" s="625">
        <f>5000*4</f>
        <v>20000</v>
      </c>
      <c r="E60" s="626" t="s">
        <v>19</v>
      </c>
      <c r="F60" s="17">
        <v>46188</v>
      </c>
      <c r="G60" s="447">
        <f t="shared" si="1"/>
        <v>46209</v>
      </c>
      <c r="H60" s="627" t="s">
        <v>317</v>
      </c>
      <c r="I60" s="14"/>
      <c r="J60" s="450"/>
      <c r="K60" s="451"/>
      <c r="L60" s="14"/>
      <c r="M60" s="535"/>
      <c r="N60" s="535"/>
      <c r="S60"/>
    </row>
    <row r="61" spans="1:19" ht="15.75">
      <c r="A61" s="474" t="s">
        <v>281</v>
      </c>
      <c r="B61" s="138" t="s">
        <v>315</v>
      </c>
      <c r="C61" s="138">
        <v>163</v>
      </c>
      <c r="D61" s="637"/>
      <c r="E61" s="620"/>
      <c r="F61" s="17">
        <v>46188</v>
      </c>
      <c r="G61" s="447">
        <f t="shared" si="1"/>
        <v>46209</v>
      </c>
      <c r="H61" s="628"/>
      <c r="I61" s="14"/>
      <c r="J61" s="450"/>
      <c r="K61" s="451"/>
      <c r="L61" s="14"/>
      <c r="M61" s="535"/>
      <c r="N61" s="535"/>
      <c r="S61"/>
    </row>
    <row r="62" spans="1:19" ht="15.75">
      <c r="A62" s="474" t="s">
        <v>281</v>
      </c>
      <c r="B62" s="138" t="s">
        <v>316</v>
      </c>
      <c r="C62" s="138">
        <v>165</v>
      </c>
      <c r="D62" s="637"/>
      <c r="E62" s="620"/>
      <c r="F62" s="17">
        <v>46188</v>
      </c>
      <c r="G62" s="447">
        <f t="shared" si="1"/>
        <v>46209</v>
      </c>
      <c r="H62" s="628"/>
      <c r="I62" s="14"/>
      <c r="J62" s="450"/>
      <c r="K62" s="451"/>
      <c r="L62" s="14"/>
      <c r="M62" s="535"/>
      <c r="N62" s="535"/>
      <c r="S62"/>
    </row>
    <row r="63" spans="1:19" ht="15.75">
      <c r="A63" s="474" t="s">
        <v>281</v>
      </c>
      <c r="B63" s="138" t="s">
        <v>309</v>
      </c>
      <c r="C63" s="138">
        <v>154</v>
      </c>
      <c r="D63" s="637"/>
      <c r="E63" s="621"/>
      <c r="F63" s="17">
        <v>46188</v>
      </c>
      <c r="G63" s="447">
        <f t="shared" si="1"/>
        <v>46209</v>
      </c>
      <c r="H63" s="629"/>
      <c r="I63" s="14"/>
      <c r="J63" s="450"/>
      <c r="K63" s="451"/>
      <c r="L63" s="14"/>
      <c r="M63" s="535"/>
      <c r="N63" s="535"/>
      <c r="S63"/>
    </row>
    <row r="64" spans="1:19" ht="15.75">
      <c r="A64" s="474" t="s">
        <v>281</v>
      </c>
      <c r="B64" s="138" t="s">
        <v>284</v>
      </c>
      <c r="C64" s="138">
        <v>158</v>
      </c>
      <c r="D64" s="625">
        <f>5000*4</f>
        <v>20000</v>
      </c>
      <c r="E64" s="626" t="s">
        <v>19</v>
      </c>
      <c r="F64" s="17">
        <v>46188</v>
      </c>
      <c r="G64" s="447">
        <f t="shared" si="1"/>
        <v>46209</v>
      </c>
      <c r="H64" s="627" t="s">
        <v>318</v>
      </c>
      <c r="I64" s="14"/>
      <c r="J64" s="450"/>
      <c r="K64" s="451"/>
      <c r="L64" s="14"/>
      <c r="M64" s="535"/>
      <c r="N64" s="535"/>
      <c r="S64"/>
    </row>
    <row r="65" spans="1:19" ht="15.75">
      <c r="A65" s="474" t="s">
        <v>281</v>
      </c>
      <c r="B65" s="138" t="s">
        <v>284</v>
      </c>
      <c r="C65" s="138">
        <v>159</v>
      </c>
      <c r="D65" s="617"/>
      <c r="E65" s="620"/>
      <c r="F65" s="17">
        <v>46188</v>
      </c>
      <c r="G65" s="447">
        <f t="shared" si="1"/>
        <v>46209</v>
      </c>
      <c r="H65" s="628"/>
      <c r="I65" s="14"/>
      <c r="J65" s="450"/>
      <c r="K65" s="451"/>
      <c r="L65" s="14"/>
      <c r="M65" s="535"/>
      <c r="N65" s="535"/>
      <c r="S65"/>
    </row>
    <row r="66" spans="1:19" ht="15.75">
      <c r="A66" s="474" t="s">
        <v>281</v>
      </c>
      <c r="B66" s="138" t="s">
        <v>319</v>
      </c>
      <c r="C66" s="138">
        <v>156</v>
      </c>
      <c r="D66" s="617"/>
      <c r="E66" s="620"/>
      <c r="F66" s="17">
        <v>46188</v>
      </c>
      <c r="G66" s="447">
        <f t="shared" si="1"/>
        <v>46209</v>
      </c>
      <c r="H66" s="628"/>
      <c r="I66" s="14"/>
      <c r="J66" s="450"/>
      <c r="K66" s="451"/>
      <c r="L66" s="14"/>
      <c r="M66" s="535"/>
      <c r="N66" s="535"/>
      <c r="S66"/>
    </row>
    <row r="67" spans="1:19" ht="15.75">
      <c r="A67" s="474" t="s">
        <v>281</v>
      </c>
      <c r="B67" s="138" t="s">
        <v>319</v>
      </c>
      <c r="C67" s="138">
        <v>157</v>
      </c>
      <c r="D67" s="618"/>
      <c r="E67" s="621"/>
      <c r="F67" s="17">
        <v>46188</v>
      </c>
      <c r="G67" s="447">
        <f t="shared" si="1"/>
        <v>46209</v>
      </c>
      <c r="H67" s="629"/>
      <c r="I67" s="14"/>
      <c r="J67" s="450"/>
      <c r="K67" s="451"/>
      <c r="L67" s="14"/>
      <c r="M67" s="535"/>
      <c r="N67" s="535"/>
      <c r="S67"/>
    </row>
    <row r="68" spans="1:19" s="54" customFormat="1" ht="15.75" hidden="1">
      <c r="A68" s="474" t="s">
        <v>320</v>
      </c>
      <c r="B68" s="474"/>
      <c r="C68" s="474"/>
      <c r="D68" s="477">
        <v>53000</v>
      </c>
      <c r="E68" s="474"/>
      <c r="F68" s="447">
        <v>46209</v>
      </c>
      <c r="G68" s="447">
        <v>46209</v>
      </c>
      <c r="H68" s="448" t="s">
        <v>321</v>
      </c>
    </row>
    <row r="69" spans="1:19" s="54" customFormat="1" ht="15.75" hidden="1">
      <c r="A69" s="474" t="s">
        <v>322</v>
      </c>
      <c r="B69" s="474"/>
      <c r="C69" s="38"/>
      <c r="D69" s="477">
        <v>15042</v>
      </c>
      <c r="E69" s="38"/>
      <c r="F69" s="447">
        <v>46210</v>
      </c>
      <c r="G69" s="447">
        <v>46210</v>
      </c>
      <c r="H69" s="448" t="s">
        <v>321</v>
      </c>
    </row>
    <row r="70" spans="1:19" s="54" customFormat="1" ht="15.75" hidden="1">
      <c r="A70" s="474" t="s">
        <v>322</v>
      </c>
      <c r="B70" s="474"/>
      <c r="C70" s="38"/>
      <c r="D70" s="477">
        <v>15042</v>
      </c>
      <c r="E70" s="38"/>
      <c r="F70" s="447">
        <v>46210</v>
      </c>
      <c r="G70" s="447">
        <v>46210</v>
      </c>
      <c r="H70" s="448" t="s">
        <v>321</v>
      </c>
    </row>
    <row r="71" spans="1:19" s="54" customFormat="1" ht="15.75" hidden="1">
      <c r="A71" s="474" t="s">
        <v>323</v>
      </c>
      <c r="B71" s="474"/>
      <c r="C71" s="38"/>
      <c r="D71" s="477">
        <v>14626.95</v>
      </c>
      <c r="E71" s="38" t="s">
        <v>19</v>
      </c>
      <c r="F71" s="17">
        <v>46212</v>
      </c>
      <c r="G71" s="447">
        <v>46212</v>
      </c>
      <c r="H71" s="18" t="s">
        <v>324</v>
      </c>
      <c r="J71" s="450"/>
      <c r="K71" s="451"/>
    </row>
    <row r="72" spans="1:19" s="54" customFormat="1" ht="15.75" hidden="1">
      <c r="A72" s="474" t="s">
        <v>325</v>
      </c>
      <c r="B72" s="474"/>
      <c r="C72" s="38"/>
      <c r="D72" s="477">
        <v>9000</v>
      </c>
      <c r="E72" s="38" t="s">
        <v>326</v>
      </c>
      <c r="F72" s="17">
        <v>46213</v>
      </c>
      <c r="G72" s="447">
        <v>46213</v>
      </c>
      <c r="H72" s="18" t="s">
        <v>324</v>
      </c>
      <c r="J72" s="450"/>
      <c r="K72" s="451"/>
    </row>
    <row r="73" spans="1:19" s="54" customFormat="1" ht="15.75" hidden="1">
      <c r="A73" s="474" t="s">
        <v>327</v>
      </c>
      <c r="B73" s="474"/>
      <c r="C73" s="38"/>
      <c r="D73" s="477">
        <v>50000</v>
      </c>
      <c r="E73" s="38" t="s">
        <v>19</v>
      </c>
      <c r="F73" s="17">
        <v>46216</v>
      </c>
      <c r="G73" s="447">
        <v>46216</v>
      </c>
      <c r="H73" s="18" t="s">
        <v>324</v>
      </c>
      <c r="J73" s="450"/>
      <c r="K73" s="451"/>
    </row>
    <row r="74" spans="1:19" s="54" customFormat="1" ht="15.75" hidden="1">
      <c r="A74" s="461" t="s">
        <v>328</v>
      </c>
      <c r="B74" s="138"/>
      <c r="C74" s="38"/>
      <c r="D74" s="458">
        <v>74000</v>
      </c>
      <c r="E74" s="38" t="s">
        <v>19</v>
      </c>
      <c r="F74" s="17">
        <v>46216</v>
      </c>
      <c r="G74" s="447">
        <v>46216</v>
      </c>
      <c r="H74" s="18" t="s">
        <v>324</v>
      </c>
      <c r="J74" s="450"/>
      <c r="K74" s="451"/>
    </row>
    <row r="75" spans="1:19" s="54" customFormat="1" ht="15.75" hidden="1">
      <c r="A75" s="461" t="s">
        <v>329</v>
      </c>
      <c r="B75" s="138"/>
      <c r="C75" s="38"/>
      <c r="D75" s="458">
        <v>504.15</v>
      </c>
      <c r="E75" s="38" t="s">
        <v>19</v>
      </c>
      <c r="F75" s="17">
        <v>46217</v>
      </c>
      <c r="G75" s="447">
        <v>46217</v>
      </c>
      <c r="H75" s="18" t="s">
        <v>324</v>
      </c>
      <c r="J75" s="450"/>
      <c r="K75" s="451"/>
    </row>
    <row r="76" spans="1:19" s="54" customFormat="1" ht="15.75" hidden="1">
      <c r="A76" s="461" t="s">
        <v>329</v>
      </c>
      <c r="B76" s="138"/>
      <c r="C76" s="38"/>
      <c r="D76" s="458">
        <v>421.35</v>
      </c>
      <c r="E76" s="38" t="s">
        <v>19</v>
      </c>
      <c r="F76" s="17">
        <v>46217</v>
      </c>
      <c r="G76" s="447">
        <v>46217</v>
      </c>
      <c r="H76" s="18" t="s">
        <v>324</v>
      </c>
      <c r="J76" s="450"/>
      <c r="K76" s="451"/>
    </row>
    <row r="77" spans="1:19" s="54" customFormat="1" ht="15.75" hidden="1">
      <c r="A77" s="461" t="s">
        <v>329</v>
      </c>
      <c r="B77" s="138"/>
      <c r="C77" s="38"/>
      <c r="D77" s="458">
        <v>504.15</v>
      </c>
      <c r="E77" s="38" t="s">
        <v>19</v>
      </c>
      <c r="F77" s="17">
        <v>46217</v>
      </c>
      <c r="G77" s="447">
        <v>46217</v>
      </c>
      <c r="H77" s="18" t="s">
        <v>324</v>
      </c>
      <c r="J77" s="450"/>
      <c r="K77" s="451"/>
    </row>
    <row r="78" spans="1:19" s="54" customFormat="1" ht="15.75" hidden="1">
      <c r="A78" s="461" t="s">
        <v>329</v>
      </c>
      <c r="B78" s="138"/>
      <c r="C78" s="38"/>
      <c r="D78" s="458">
        <v>421.35</v>
      </c>
      <c r="E78" s="38" t="s">
        <v>19</v>
      </c>
      <c r="F78" s="17">
        <v>46217</v>
      </c>
      <c r="G78" s="447">
        <v>46217</v>
      </c>
      <c r="H78" s="18" t="s">
        <v>324</v>
      </c>
      <c r="J78" s="450"/>
      <c r="K78" s="451"/>
    </row>
    <row r="79" spans="1:19" s="54" customFormat="1" ht="15.75" hidden="1">
      <c r="A79" s="461" t="s">
        <v>323</v>
      </c>
      <c r="B79" s="138"/>
      <c r="C79" s="38"/>
      <c r="D79" s="458">
        <v>13500</v>
      </c>
      <c r="E79" s="38" t="s">
        <v>19</v>
      </c>
      <c r="F79" s="17">
        <v>46217</v>
      </c>
      <c r="G79" s="447">
        <v>46217</v>
      </c>
      <c r="H79" s="18" t="s">
        <v>324</v>
      </c>
      <c r="J79" s="450"/>
      <c r="K79" s="451"/>
    </row>
    <row r="80" spans="1:19" s="54" customFormat="1" ht="15.75" hidden="1">
      <c r="A80" s="461"/>
      <c r="B80" s="138"/>
      <c r="C80" s="38"/>
      <c r="D80" s="458"/>
      <c r="E80" s="38"/>
      <c r="F80" s="17"/>
      <c r="G80" s="447"/>
      <c r="H80" s="18"/>
      <c r="J80" s="450"/>
      <c r="K80" s="451"/>
    </row>
    <row r="81" spans="1:19" ht="15.75">
      <c r="A81" s="474" t="s">
        <v>281</v>
      </c>
      <c r="B81" s="138" t="s">
        <v>294</v>
      </c>
      <c r="C81" s="19">
        <v>166</v>
      </c>
      <c r="D81" s="637">
        <f>5000*5</f>
        <v>25000</v>
      </c>
      <c r="E81" s="626" t="s">
        <v>19</v>
      </c>
      <c r="F81" s="17">
        <v>46192</v>
      </c>
      <c r="G81" s="447">
        <f t="shared" ref="G81:G90" si="2">F81+21</f>
        <v>46213</v>
      </c>
      <c r="H81" s="638" t="s">
        <v>330</v>
      </c>
      <c r="J81" s="450"/>
      <c r="K81" s="451"/>
    </row>
    <row r="82" spans="1:19" ht="15.75">
      <c r="A82" s="474" t="s">
        <v>281</v>
      </c>
      <c r="B82" s="138" t="s">
        <v>294</v>
      </c>
      <c r="C82" s="19">
        <v>167</v>
      </c>
      <c r="D82" s="637"/>
      <c r="E82" s="620"/>
      <c r="F82" s="17">
        <v>46192</v>
      </c>
      <c r="G82" s="447">
        <f t="shared" si="2"/>
        <v>46213</v>
      </c>
      <c r="H82" s="628"/>
      <c r="J82" s="450"/>
      <c r="K82" s="451"/>
    </row>
    <row r="83" spans="1:19" ht="15.75" customHeight="1">
      <c r="A83" s="474" t="s">
        <v>281</v>
      </c>
      <c r="B83" s="138" t="s">
        <v>331</v>
      </c>
      <c r="C83" s="19">
        <v>170</v>
      </c>
      <c r="D83" s="637"/>
      <c r="E83" s="620"/>
      <c r="F83" s="17">
        <v>46192</v>
      </c>
      <c r="G83" s="447">
        <f t="shared" si="2"/>
        <v>46213</v>
      </c>
      <c r="H83" s="628"/>
      <c r="J83" s="450"/>
      <c r="K83" s="451"/>
    </row>
    <row r="84" spans="1:19" ht="15.75" customHeight="1">
      <c r="A84" s="474" t="s">
        <v>281</v>
      </c>
      <c r="B84" s="138" t="s">
        <v>331</v>
      </c>
      <c r="C84" s="19">
        <v>171</v>
      </c>
      <c r="D84" s="637"/>
      <c r="E84" s="620"/>
      <c r="F84" s="17">
        <v>46192</v>
      </c>
      <c r="G84" s="447">
        <f t="shared" si="2"/>
        <v>46213</v>
      </c>
      <c r="H84" s="628"/>
      <c r="J84" s="450"/>
      <c r="K84" s="451"/>
    </row>
    <row r="85" spans="1:19" ht="15.75" customHeight="1">
      <c r="A85" s="474" t="s">
        <v>281</v>
      </c>
      <c r="B85" s="138" t="s">
        <v>316</v>
      </c>
      <c r="C85" s="19">
        <v>168</v>
      </c>
      <c r="D85" s="637"/>
      <c r="E85" s="621"/>
      <c r="F85" s="17">
        <v>46192</v>
      </c>
      <c r="G85" s="447">
        <f t="shared" si="2"/>
        <v>46213</v>
      </c>
      <c r="H85" s="629"/>
      <c r="I85" s="14"/>
      <c r="J85" s="450"/>
      <c r="K85" s="451"/>
      <c r="L85" s="14"/>
      <c r="M85" s="535"/>
      <c r="N85" s="535"/>
      <c r="S85"/>
    </row>
    <row r="86" spans="1:19" ht="15.75" customHeight="1">
      <c r="A86" s="474" t="s">
        <v>281</v>
      </c>
      <c r="B86" s="138" t="s">
        <v>316</v>
      </c>
      <c r="C86" s="19">
        <v>169</v>
      </c>
      <c r="D86" s="637">
        <f>5000*5</f>
        <v>25000</v>
      </c>
      <c r="E86" s="626" t="s">
        <v>19</v>
      </c>
      <c r="F86" s="17">
        <v>46192</v>
      </c>
      <c r="G86" s="447">
        <f t="shared" si="2"/>
        <v>46213</v>
      </c>
      <c r="H86" s="638" t="s">
        <v>332</v>
      </c>
      <c r="I86" s="14"/>
      <c r="J86" s="450"/>
      <c r="K86" s="451"/>
      <c r="L86" s="14"/>
      <c r="M86" s="535"/>
      <c r="N86" s="535"/>
      <c r="S86"/>
    </row>
    <row r="87" spans="1:19" ht="15.75" customHeight="1">
      <c r="A87" s="474" t="s">
        <v>281</v>
      </c>
      <c r="B87" s="138" t="s">
        <v>241</v>
      </c>
      <c r="C87" s="19">
        <v>172</v>
      </c>
      <c r="D87" s="637"/>
      <c r="E87" s="620"/>
      <c r="F87" s="17">
        <v>46192</v>
      </c>
      <c r="G87" s="447">
        <f t="shared" si="2"/>
        <v>46213</v>
      </c>
      <c r="H87" s="628"/>
      <c r="I87" s="14"/>
      <c r="J87" s="450"/>
      <c r="K87" s="451"/>
      <c r="L87" s="14"/>
      <c r="M87" s="535"/>
      <c r="N87" s="535"/>
      <c r="S87"/>
    </row>
    <row r="88" spans="1:19" ht="15.75" customHeight="1">
      <c r="A88" s="474" t="s">
        <v>281</v>
      </c>
      <c r="B88" s="138" t="s">
        <v>241</v>
      </c>
      <c r="C88" s="19">
        <v>173</v>
      </c>
      <c r="D88" s="637"/>
      <c r="E88" s="620"/>
      <c r="F88" s="17">
        <v>46192</v>
      </c>
      <c r="G88" s="447">
        <f t="shared" si="2"/>
        <v>46213</v>
      </c>
      <c r="H88" s="628"/>
      <c r="I88" s="14"/>
      <c r="J88" s="450"/>
      <c r="K88" s="451"/>
      <c r="L88" s="14"/>
      <c r="M88" s="535"/>
      <c r="N88" s="535"/>
      <c r="S88"/>
    </row>
    <row r="89" spans="1:19" ht="15.75" customHeight="1">
      <c r="A89" s="474" t="s">
        <v>281</v>
      </c>
      <c r="B89" s="138" t="s">
        <v>333</v>
      </c>
      <c r="C89" s="19">
        <v>174</v>
      </c>
      <c r="D89" s="637"/>
      <c r="E89" s="620"/>
      <c r="F89" s="17">
        <v>46192</v>
      </c>
      <c r="G89" s="447">
        <f t="shared" si="2"/>
        <v>46213</v>
      </c>
      <c r="H89" s="628"/>
      <c r="I89" s="14"/>
      <c r="J89" s="450"/>
      <c r="K89" s="451"/>
      <c r="L89" s="14"/>
      <c r="M89" s="535"/>
      <c r="N89" s="535"/>
      <c r="S89"/>
    </row>
    <row r="90" spans="1:19" ht="15.75">
      <c r="A90" s="474" t="s">
        <v>281</v>
      </c>
      <c r="B90" s="138" t="s">
        <v>333</v>
      </c>
      <c r="C90" s="19">
        <v>175</v>
      </c>
      <c r="D90" s="637"/>
      <c r="E90" s="621"/>
      <c r="F90" s="17">
        <v>46192</v>
      </c>
      <c r="G90" s="447">
        <f t="shared" si="2"/>
        <v>46213</v>
      </c>
      <c r="H90" s="629"/>
      <c r="I90" s="14"/>
      <c r="J90" s="450"/>
      <c r="K90" s="451"/>
      <c r="L90" s="14"/>
      <c r="M90" s="535"/>
      <c r="N90" s="535"/>
      <c r="S90"/>
    </row>
    <row r="91" spans="1:19" ht="15.75" hidden="1">
      <c r="A91" s="474" t="s">
        <v>334</v>
      </c>
      <c r="B91" s="19"/>
      <c r="C91" s="19"/>
      <c r="D91" s="556">
        <v>11000</v>
      </c>
      <c r="E91" s="552" t="s">
        <v>19</v>
      </c>
      <c r="F91" s="17">
        <v>46188</v>
      </c>
      <c r="G91" s="17">
        <v>46188</v>
      </c>
      <c r="H91" s="399" t="s">
        <v>152</v>
      </c>
      <c r="I91" s="14"/>
      <c r="J91" s="450"/>
      <c r="K91" s="451"/>
      <c r="L91" s="14"/>
      <c r="M91" s="535"/>
      <c r="N91" s="535"/>
      <c r="S91"/>
    </row>
    <row r="92" spans="1:19" ht="15.75">
      <c r="A92" s="474" t="s">
        <v>281</v>
      </c>
      <c r="B92" s="19" t="s">
        <v>245</v>
      </c>
      <c r="C92" s="19">
        <v>176</v>
      </c>
      <c r="D92" s="637">
        <f>5000*5</f>
        <v>25000</v>
      </c>
      <c r="E92" s="626" t="s">
        <v>19</v>
      </c>
      <c r="F92" s="447">
        <v>46199</v>
      </c>
      <c r="G92" s="447">
        <f t="shared" ref="G92:G123" si="3">F92+21</f>
        <v>46220</v>
      </c>
      <c r="H92" s="638" t="s">
        <v>335</v>
      </c>
      <c r="I92" s="14"/>
      <c r="J92" s="450"/>
      <c r="K92" s="451"/>
      <c r="L92" s="14"/>
      <c r="M92" s="535"/>
      <c r="N92" s="535"/>
      <c r="S92"/>
    </row>
    <row r="93" spans="1:19" ht="15.75">
      <c r="A93" s="474" t="s">
        <v>281</v>
      </c>
      <c r="B93" s="19" t="s">
        <v>245</v>
      </c>
      <c r="C93" s="19">
        <v>177</v>
      </c>
      <c r="D93" s="637"/>
      <c r="E93" s="620"/>
      <c r="F93" s="447">
        <v>46199</v>
      </c>
      <c r="G93" s="447">
        <f t="shared" si="3"/>
        <v>46220</v>
      </c>
      <c r="H93" s="628"/>
      <c r="I93" s="14"/>
      <c r="J93" s="450"/>
      <c r="K93" s="451"/>
      <c r="L93" s="14"/>
      <c r="M93" s="535"/>
      <c r="N93" s="535"/>
      <c r="S93"/>
    </row>
    <row r="94" spans="1:19" ht="15.75" customHeight="1">
      <c r="A94" s="474" t="s">
        <v>281</v>
      </c>
      <c r="B94" s="138" t="s">
        <v>232</v>
      </c>
      <c r="C94" s="19">
        <v>204</v>
      </c>
      <c r="D94" s="637"/>
      <c r="E94" s="620"/>
      <c r="F94" s="447">
        <v>46199</v>
      </c>
      <c r="G94" s="447">
        <f t="shared" si="3"/>
        <v>46220</v>
      </c>
      <c r="H94" s="628"/>
      <c r="I94" s="14"/>
      <c r="J94" s="450"/>
      <c r="K94" s="451"/>
      <c r="L94" s="14"/>
      <c r="M94" s="535"/>
      <c r="N94" s="535"/>
      <c r="S94"/>
    </row>
    <row r="95" spans="1:19" ht="15.75" customHeight="1">
      <c r="A95" s="474" t="s">
        <v>281</v>
      </c>
      <c r="B95" s="138" t="s">
        <v>232</v>
      </c>
      <c r="C95" s="19">
        <v>205</v>
      </c>
      <c r="D95" s="637"/>
      <c r="E95" s="620"/>
      <c r="F95" s="447">
        <v>46199</v>
      </c>
      <c r="G95" s="447">
        <f t="shared" si="3"/>
        <v>46220</v>
      </c>
      <c r="H95" s="628"/>
      <c r="I95" s="14"/>
      <c r="J95" s="450"/>
      <c r="K95" s="451"/>
      <c r="L95" s="14"/>
      <c r="M95" s="535"/>
      <c r="N95" s="535"/>
      <c r="S95"/>
    </row>
    <row r="96" spans="1:19" ht="15.75" customHeight="1">
      <c r="A96" s="474" t="s">
        <v>281</v>
      </c>
      <c r="B96" s="19" t="s">
        <v>333</v>
      </c>
      <c r="C96" s="19">
        <v>191</v>
      </c>
      <c r="D96" s="637"/>
      <c r="E96" s="621"/>
      <c r="F96" s="447">
        <v>46199</v>
      </c>
      <c r="G96" s="447">
        <f t="shared" si="3"/>
        <v>46220</v>
      </c>
      <c r="H96" s="629"/>
      <c r="I96" s="14"/>
      <c r="J96" s="450"/>
      <c r="K96" s="451"/>
      <c r="L96" s="14"/>
      <c r="M96" s="535"/>
      <c r="N96" s="535"/>
      <c r="S96"/>
    </row>
    <row r="97" spans="1:19" ht="15.75" customHeight="1">
      <c r="A97" s="474" t="s">
        <v>281</v>
      </c>
      <c r="B97" s="19" t="s">
        <v>333</v>
      </c>
      <c r="C97" s="19">
        <v>192</v>
      </c>
      <c r="D97" s="625">
        <f>5000*5</f>
        <v>25000</v>
      </c>
      <c r="E97" s="626" t="s">
        <v>19</v>
      </c>
      <c r="F97" s="447">
        <v>46199</v>
      </c>
      <c r="G97" s="447">
        <f t="shared" si="3"/>
        <v>46220</v>
      </c>
      <c r="H97" s="638" t="s">
        <v>336</v>
      </c>
      <c r="I97" s="14"/>
      <c r="J97" s="450"/>
      <c r="K97" s="451"/>
      <c r="L97" s="14"/>
      <c r="M97" s="535"/>
      <c r="N97" s="535"/>
      <c r="S97"/>
    </row>
    <row r="98" spans="1:19" ht="15.75" customHeight="1">
      <c r="A98" s="474" t="s">
        <v>281</v>
      </c>
      <c r="B98" s="138" t="s">
        <v>241</v>
      </c>
      <c r="C98" s="19">
        <v>200</v>
      </c>
      <c r="D98" s="617"/>
      <c r="E98" s="620"/>
      <c r="F98" s="447">
        <v>46199</v>
      </c>
      <c r="G98" s="447">
        <f t="shared" si="3"/>
        <v>46220</v>
      </c>
      <c r="H98" s="628"/>
      <c r="I98" s="14"/>
      <c r="J98" s="450"/>
      <c r="K98" s="451"/>
      <c r="L98" s="14"/>
      <c r="M98" s="535"/>
      <c r="N98" s="535"/>
      <c r="S98"/>
    </row>
    <row r="99" spans="1:19" ht="15.75" customHeight="1">
      <c r="A99" s="474" t="s">
        <v>281</v>
      </c>
      <c r="B99" s="138" t="s">
        <v>241</v>
      </c>
      <c r="C99" s="19">
        <v>201</v>
      </c>
      <c r="D99" s="617"/>
      <c r="E99" s="620"/>
      <c r="F99" s="447">
        <v>46199</v>
      </c>
      <c r="G99" s="447">
        <f t="shared" si="3"/>
        <v>46220</v>
      </c>
      <c r="H99" s="628"/>
      <c r="I99" s="14"/>
      <c r="J99" s="450"/>
      <c r="K99" s="451"/>
      <c r="L99" s="14"/>
      <c r="M99" s="535"/>
      <c r="N99" s="535"/>
      <c r="S99"/>
    </row>
    <row r="100" spans="1:19" ht="15.75" customHeight="1">
      <c r="A100" s="474" t="s">
        <v>281</v>
      </c>
      <c r="B100" s="138" t="s">
        <v>267</v>
      </c>
      <c r="C100" s="19">
        <v>202</v>
      </c>
      <c r="D100" s="617"/>
      <c r="E100" s="620"/>
      <c r="F100" s="447">
        <v>46199</v>
      </c>
      <c r="G100" s="447">
        <f t="shared" si="3"/>
        <v>46220</v>
      </c>
      <c r="H100" s="628"/>
      <c r="I100" s="14"/>
      <c r="J100" s="450"/>
      <c r="K100" s="451"/>
      <c r="L100" s="14"/>
      <c r="M100" s="535"/>
      <c r="N100" s="535"/>
      <c r="S100"/>
    </row>
    <row r="101" spans="1:19" ht="15.75" customHeight="1">
      <c r="A101" s="474" t="s">
        <v>281</v>
      </c>
      <c r="B101" s="138" t="s">
        <v>267</v>
      </c>
      <c r="C101" s="19">
        <v>203</v>
      </c>
      <c r="D101" s="618"/>
      <c r="E101" s="621"/>
      <c r="F101" s="447">
        <v>46199</v>
      </c>
      <c r="G101" s="447">
        <f t="shared" si="3"/>
        <v>46220</v>
      </c>
      <c r="H101" s="629"/>
      <c r="I101" s="14"/>
      <c r="J101" s="450"/>
      <c r="K101" s="451"/>
      <c r="L101" s="14"/>
      <c r="M101" s="535"/>
      <c r="N101" s="535"/>
      <c r="S101"/>
    </row>
    <row r="102" spans="1:19" ht="15.75" customHeight="1">
      <c r="A102" s="474" t="s">
        <v>281</v>
      </c>
      <c r="B102" s="138" t="s">
        <v>241</v>
      </c>
      <c r="C102" s="19">
        <v>211</v>
      </c>
      <c r="D102" s="637">
        <f>5000*5</f>
        <v>25000</v>
      </c>
      <c r="E102" s="626" t="s">
        <v>19</v>
      </c>
      <c r="F102" s="17">
        <v>46209</v>
      </c>
      <c r="G102" s="447">
        <f t="shared" si="3"/>
        <v>46230</v>
      </c>
      <c r="H102" s="638" t="s">
        <v>337</v>
      </c>
      <c r="I102" s="14"/>
      <c r="J102" s="450"/>
      <c r="K102" s="451"/>
      <c r="L102" s="14"/>
      <c r="M102" s="535"/>
      <c r="N102" s="535"/>
      <c r="S102"/>
    </row>
    <row r="103" spans="1:19" ht="15.75" customHeight="1">
      <c r="A103" s="474" t="s">
        <v>281</v>
      </c>
      <c r="B103" s="138" t="s">
        <v>241</v>
      </c>
      <c r="C103" s="19">
        <v>212</v>
      </c>
      <c r="D103" s="637"/>
      <c r="E103" s="620"/>
      <c r="F103" s="17">
        <v>46209</v>
      </c>
      <c r="G103" s="447">
        <f t="shared" si="3"/>
        <v>46230</v>
      </c>
      <c r="H103" s="628"/>
      <c r="I103" s="14"/>
      <c r="J103" s="450"/>
      <c r="K103" s="451"/>
      <c r="L103" s="14"/>
      <c r="M103" s="535"/>
      <c r="N103" s="535"/>
      <c r="S103"/>
    </row>
    <row r="104" spans="1:19" ht="15.75" customHeight="1">
      <c r="A104" s="474" t="s">
        <v>281</v>
      </c>
      <c r="B104" s="138" t="s">
        <v>228</v>
      </c>
      <c r="C104" s="138">
        <v>217</v>
      </c>
      <c r="D104" s="637"/>
      <c r="E104" s="620"/>
      <c r="F104" s="17">
        <v>46209</v>
      </c>
      <c r="G104" s="447">
        <f t="shared" si="3"/>
        <v>46230</v>
      </c>
      <c r="H104" s="628"/>
      <c r="I104" s="14"/>
      <c r="J104" s="450"/>
      <c r="K104" s="451"/>
      <c r="L104" s="14"/>
      <c r="M104" s="535"/>
      <c r="N104" s="535"/>
      <c r="S104"/>
    </row>
    <row r="105" spans="1:19" ht="15.75" customHeight="1">
      <c r="A105" s="474" t="s">
        <v>281</v>
      </c>
      <c r="B105" s="138" t="s">
        <v>260</v>
      </c>
      <c r="C105" s="138">
        <v>223</v>
      </c>
      <c r="D105" s="637"/>
      <c r="E105" s="620"/>
      <c r="F105" s="17">
        <v>46209</v>
      </c>
      <c r="G105" s="447">
        <f t="shared" si="3"/>
        <v>46230</v>
      </c>
      <c r="H105" s="628"/>
      <c r="I105" s="14"/>
      <c r="J105" s="450"/>
      <c r="K105" s="451"/>
      <c r="L105" s="14"/>
      <c r="M105" s="535"/>
      <c r="N105" s="535"/>
      <c r="S105"/>
    </row>
    <row r="106" spans="1:19" ht="15.75" customHeight="1">
      <c r="A106" s="474" t="s">
        <v>281</v>
      </c>
      <c r="B106" s="138" t="s">
        <v>260</v>
      </c>
      <c r="C106" s="138">
        <v>224</v>
      </c>
      <c r="D106" s="637"/>
      <c r="E106" s="621"/>
      <c r="F106" s="447">
        <v>46209</v>
      </c>
      <c r="G106" s="447">
        <f t="shared" si="3"/>
        <v>46230</v>
      </c>
      <c r="H106" s="629"/>
      <c r="I106" s="14"/>
      <c r="J106" s="450"/>
      <c r="K106" s="451"/>
      <c r="L106" s="14"/>
      <c r="M106" s="535"/>
      <c r="N106" s="535"/>
      <c r="S106"/>
    </row>
    <row r="107" spans="1:19" ht="15.75" customHeight="1">
      <c r="A107" s="474" t="s">
        <v>281</v>
      </c>
      <c r="B107" s="138" t="s">
        <v>220</v>
      </c>
      <c r="C107" s="138">
        <v>213</v>
      </c>
      <c r="D107" s="637">
        <f>5000*6</f>
        <v>30000</v>
      </c>
      <c r="E107" s="639" t="s">
        <v>19</v>
      </c>
      <c r="F107" s="49">
        <v>46209</v>
      </c>
      <c r="G107" s="447">
        <f t="shared" si="3"/>
        <v>46230</v>
      </c>
      <c r="H107" s="636" t="s">
        <v>338</v>
      </c>
      <c r="I107" s="14"/>
      <c r="J107" s="450"/>
      <c r="K107" s="451"/>
      <c r="L107" s="14"/>
      <c r="M107" s="535"/>
      <c r="N107" s="535"/>
      <c r="S107"/>
    </row>
    <row r="108" spans="1:19" ht="15.75" customHeight="1">
      <c r="A108" s="474" t="s">
        <v>281</v>
      </c>
      <c r="B108" s="138" t="s">
        <v>220</v>
      </c>
      <c r="C108" s="138">
        <v>214</v>
      </c>
      <c r="D108" s="637"/>
      <c r="E108" s="639"/>
      <c r="F108" s="49">
        <v>46209</v>
      </c>
      <c r="G108" s="447">
        <f t="shared" si="3"/>
        <v>46230</v>
      </c>
      <c r="H108" s="636"/>
      <c r="I108" s="14"/>
      <c r="J108" s="450"/>
      <c r="K108" s="451"/>
      <c r="L108" s="14"/>
      <c r="M108" s="535"/>
      <c r="N108" s="535"/>
      <c r="S108"/>
    </row>
    <row r="109" spans="1:19" ht="15.75" customHeight="1">
      <c r="A109" s="474" t="s">
        <v>281</v>
      </c>
      <c r="B109" s="138" t="s">
        <v>223</v>
      </c>
      <c r="C109" s="138">
        <v>215</v>
      </c>
      <c r="D109" s="637"/>
      <c r="E109" s="639"/>
      <c r="F109" s="49">
        <v>46209</v>
      </c>
      <c r="G109" s="447">
        <f t="shared" si="3"/>
        <v>46230</v>
      </c>
      <c r="H109" s="636"/>
      <c r="I109" s="14"/>
      <c r="J109" s="450"/>
      <c r="K109" s="451"/>
      <c r="L109" s="14"/>
      <c r="M109" s="535"/>
      <c r="N109" s="535"/>
      <c r="S109"/>
    </row>
    <row r="110" spans="1:19" ht="15.75" customHeight="1">
      <c r="A110" s="474" t="s">
        <v>281</v>
      </c>
      <c r="B110" s="138" t="s">
        <v>223</v>
      </c>
      <c r="C110" s="138">
        <v>216</v>
      </c>
      <c r="D110" s="637"/>
      <c r="E110" s="639"/>
      <c r="F110" s="49">
        <v>46209</v>
      </c>
      <c r="G110" s="447">
        <f t="shared" si="3"/>
        <v>46230</v>
      </c>
      <c r="H110" s="636"/>
      <c r="I110" s="14"/>
      <c r="J110" s="450"/>
      <c r="K110" s="451"/>
      <c r="L110" s="14"/>
      <c r="M110" s="535"/>
      <c r="N110" s="535"/>
      <c r="S110"/>
    </row>
    <row r="111" spans="1:19" ht="15.75" customHeight="1">
      <c r="A111" s="474" t="s">
        <v>281</v>
      </c>
      <c r="B111" s="138" t="s">
        <v>225</v>
      </c>
      <c r="C111" s="138">
        <v>219</v>
      </c>
      <c r="D111" s="637"/>
      <c r="E111" s="639"/>
      <c r="F111" s="49">
        <v>46209</v>
      </c>
      <c r="G111" s="447">
        <f t="shared" si="3"/>
        <v>46230</v>
      </c>
      <c r="H111" s="636"/>
      <c r="I111" s="14"/>
      <c r="J111" s="450"/>
      <c r="K111" s="451"/>
      <c r="L111" s="14"/>
      <c r="M111" s="535"/>
      <c r="N111" s="535"/>
      <c r="S111"/>
    </row>
    <row r="112" spans="1:19" ht="15.75" customHeight="1">
      <c r="A112" s="474" t="s">
        <v>281</v>
      </c>
      <c r="B112" s="138" t="s">
        <v>225</v>
      </c>
      <c r="C112" s="138">
        <v>220</v>
      </c>
      <c r="D112" s="637"/>
      <c r="E112" s="639"/>
      <c r="F112" s="49">
        <v>46209</v>
      </c>
      <c r="G112" s="447">
        <f t="shared" si="3"/>
        <v>46230</v>
      </c>
      <c r="H112" s="636"/>
      <c r="I112" s="14"/>
      <c r="J112" s="450"/>
      <c r="K112" s="451"/>
      <c r="L112" s="14"/>
      <c r="M112" s="535"/>
      <c r="N112" s="535"/>
      <c r="S112"/>
    </row>
    <row r="113" spans="1:19" ht="15.75" customHeight="1">
      <c r="A113" s="474" t="s">
        <v>281</v>
      </c>
      <c r="B113" s="138" t="s">
        <v>228</v>
      </c>
      <c r="C113" s="138">
        <v>218</v>
      </c>
      <c r="D113" s="625">
        <f>5000*3</f>
        <v>15000</v>
      </c>
      <c r="E113" s="639" t="s">
        <v>19</v>
      </c>
      <c r="F113" s="49">
        <v>46209</v>
      </c>
      <c r="G113" s="50">
        <f t="shared" si="3"/>
        <v>46230</v>
      </c>
      <c r="H113" s="638" t="s">
        <v>339</v>
      </c>
      <c r="I113" s="14"/>
      <c r="J113" s="450"/>
      <c r="K113" s="451"/>
      <c r="L113" s="14"/>
      <c r="M113" s="535"/>
      <c r="N113" s="535"/>
      <c r="S113"/>
    </row>
    <row r="114" spans="1:19" ht="15.75" customHeight="1">
      <c r="A114" s="474" t="s">
        <v>281</v>
      </c>
      <c r="B114" s="138" t="s">
        <v>263</v>
      </c>
      <c r="C114" s="138">
        <v>225</v>
      </c>
      <c r="D114" s="617"/>
      <c r="E114" s="639"/>
      <c r="F114" s="49">
        <v>46209</v>
      </c>
      <c r="G114" s="50">
        <f t="shared" si="3"/>
        <v>46230</v>
      </c>
      <c r="H114" s="628"/>
      <c r="I114" s="14"/>
      <c r="J114" s="450"/>
      <c r="K114" s="451"/>
      <c r="L114" s="14"/>
      <c r="M114" s="535"/>
      <c r="N114" s="535"/>
      <c r="S114"/>
    </row>
    <row r="115" spans="1:19" ht="15.75" customHeight="1">
      <c r="A115" s="474" t="s">
        <v>281</v>
      </c>
      <c r="B115" s="138" t="s">
        <v>234</v>
      </c>
      <c r="C115" s="138">
        <v>229</v>
      </c>
      <c r="D115" s="618"/>
      <c r="E115" s="639"/>
      <c r="F115" s="49">
        <v>46209</v>
      </c>
      <c r="G115" s="50">
        <f t="shared" si="3"/>
        <v>46230</v>
      </c>
      <c r="H115" s="629"/>
      <c r="I115" s="14"/>
      <c r="J115" s="450"/>
      <c r="K115" s="451"/>
      <c r="L115" s="14"/>
      <c r="M115" s="535"/>
      <c r="N115" s="535"/>
      <c r="S115"/>
    </row>
    <row r="116" spans="1:19" ht="15.75" customHeight="1">
      <c r="A116" s="474" t="s">
        <v>281</v>
      </c>
      <c r="B116" s="138" t="s">
        <v>263</v>
      </c>
      <c r="C116" s="138">
        <v>226</v>
      </c>
      <c r="D116" s="625">
        <f>5000*5</f>
        <v>25000</v>
      </c>
      <c r="E116" s="626" t="s">
        <v>19</v>
      </c>
      <c r="F116" s="17">
        <v>46209</v>
      </c>
      <c r="G116" s="447">
        <f t="shared" si="3"/>
        <v>46230</v>
      </c>
      <c r="H116" s="638" t="s">
        <v>340</v>
      </c>
      <c r="I116" s="14"/>
      <c r="J116" s="450"/>
      <c r="K116" s="451"/>
      <c r="L116" s="14"/>
      <c r="M116" s="535"/>
      <c r="N116" s="535"/>
      <c r="S116"/>
    </row>
    <row r="117" spans="1:19" ht="15.75" customHeight="1">
      <c r="A117" s="474" t="s">
        <v>281</v>
      </c>
      <c r="B117" s="138" t="s">
        <v>232</v>
      </c>
      <c r="C117" s="138">
        <v>227</v>
      </c>
      <c r="D117" s="617"/>
      <c r="E117" s="620"/>
      <c r="F117" s="17">
        <v>46209</v>
      </c>
      <c r="G117" s="447">
        <f t="shared" si="3"/>
        <v>46230</v>
      </c>
      <c r="H117" s="628"/>
      <c r="I117" s="14"/>
      <c r="J117" s="450"/>
      <c r="K117" s="451"/>
      <c r="L117" s="14"/>
      <c r="M117" s="535"/>
      <c r="N117" s="535"/>
      <c r="S117"/>
    </row>
    <row r="118" spans="1:19" ht="15.75" customHeight="1">
      <c r="A118" s="474" t="s">
        <v>281</v>
      </c>
      <c r="B118" s="138" t="s">
        <v>232</v>
      </c>
      <c r="C118" s="138">
        <v>228</v>
      </c>
      <c r="D118" s="617"/>
      <c r="E118" s="620"/>
      <c r="F118" s="17">
        <v>46209</v>
      </c>
      <c r="G118" s="447">
        <f t="shared" si="3"/>
        <v>46230</v>
      </c>
      <c r="H118" s="628"/>
      <c r="I118" s="14"/>
      <c r="J118" s="450"/>
      <c r="K118" s="451"/>
      <c r="L118" s="14"/>
      <c r="M118" s="535"/>
      <c r="N118" s="535"/>
      <c r="S118"/>
    </row>
    <row r="119" spans="1:19" ht="15.75" customHeight="1">
      <c r="A119" s="474" t="s">
        <v>281</v>
      </c>
      <c r="B119" s="138" t="s">
        <v>234</v>
      </c>
      <c r="C119" s="138">
        <v>230</v>
      </c>
      <c r="D119" s="617"/>
      <c r="E119" s="620"/>
      <c r="F119" s="17">
        <v>46209</v>
      </c>
      <c r="G119" s="447">
        <f t="shared" si="3"/>
        <v>46230</v>
      </c>
      <c r="H119" s="628"/>
      <c r="I119" s="14"/>
      <c r="J119" s="450"/>
      <c r="K119" s="451"/>
      <c r="L119" s="14"/>
      <c r="M119" s="535"/>
      <c r="N119" s="535"/>
      <c r="S119"/>
    </row>
    <row r="120" spans="1:19" ht="15.75" customHeight="1">
      <c r="A120" s="474" t="s">
        <v>281</v>
      </c>
      <c r="B120" s="138" t="s">
        <v>241</v>
      </c>
      <c r="C120" s="138">
        <v>237</v>
      </c>
      <c r="D120" s="618"/>
      <c r="E120" s="621"/>
      <c r="F120" s="17">
        <v>46209</v>
      </c>
      <c r="G120" s="447">
        <f t="shared" si="3"/>
        <v>46230</v>
      </c>
      <c r="H120" s="629"/>
      <c r="I120" s="14"/>
      <c r="J120" s="450"/>
      <c r="K120" s="451"/>
      <c r="L120" s="14"/>
      <c r="M120" s="535"/>
      <c r="N120" s="535"/>
      <c r="S120"/>
    </row>
    <row r="121" spans="1:19" ht="15.75" customHeight="1">
      <c r="A121" s="474" t="s">
        <v>281</v>
      </c>
      <c r="B121" s="138" t="s">
        <v>241</v>
      </c>
      <c r="C121" s="138">
        <v>238</v>
      </c>
      <c r="D121" s="625">
        <f>5000*4</f>
        <v>20000</v>
      </c>
      <c r="E121" s="639" t="s">
        <v>19</v>
      </c>
      <c r="F121" s="17">
        <v>46209</v>
      </c>
      <c r="G121" s="447">
        <f t="shared" si="3"/>
        <v>46230</v>
      </c>
      <c r="H121" s="638" t="s">
        <v>341</v>
      </c>
      <c r="I121" s="14"/>
      <c r="J121" s="450"/>
      <c r="K121" s="451"/>
      <c r="L121" s="14"/>
      <c r="M121" s="535"/>
      <c r="N121" s="535"/>
      <c r="S121"/>
    </row>
    <row r="122" spans="1:19" ht="15.75" customHeight="1">
      <c r="A122" s="474" t="s">
        <v>281</v>
      </c>
      <c r="B122" s="138" t="s">
        <v>245</v>
      </c>
      <c r="C122" s="138">
        <v>243</v>
      </c>
      <c r="D122" s="617"/>
      <c r="E122" s="639"/>
      <c r="F122" s="17">
        <v>46209</v>
      </c>
      <c r="G122" s="447">
        <f t="shared" si="3"/>
        <v>46230</v>
      </c>
      <c r="H122" s="628"/>
      <c r="I122" s="14"/>
      <c r="J122" s="450"/>
      <c r="K122" s="451"/>
      <c r="L122" s="14"/>
      <c r="M122" s="535"/>
      <c r="N122" s="535"/>
      <c r="S122"/>
    </row>
    <row r="123" spans="1:19" ht="15.75" customHeight="1">
      <c r="A123" s="474" t="s">
        <v>281</v>
      </c>
      <c r="B123" s="138" t="s">
        <v>245</v>
      </c>
      <c r="C123" s="138">
        <v>244</v>
      </c>
      <c r="D123" s="617"/>
      <c r="E123" s="639"/>
      <c r="F123" s="17">
        <v>46209</v>
      </c>
      <c r="G123" s="447">
        <f t="shared" si="3"/>
        <v>46230</v>
      </c>
      <c r="H123" s="628"/>
      <c r="I123" s="14"/>
      <c r="J123" s="450"/>
      <c r="K123" s="451"/>
      <c r="L123" s="14"/>
      <c r="M123" s="535"/>
      <c r="N123" s="535"/>
      <c r="S123"/>
    </row>
    <row r="124" spans="1:19" ht="15.75" customHeight="1">
      <c r="A124" s="474" t="s">
        <v>281</v>
      </c>
      <c r="B124" s="138" t="s">
        <v>248</v>
      </c>
      <c r="C124" s="138">
        <v>245</v>
      </c>
      <c r="D124" s="618"/>
      <c r="E124" s="639"/>
      <c r="F124" s="17">
        <v>46209</v>
      </c>
      <c r="G124" s="447">
        <f t="shared" ref="G124:G153" si="4">F124+21</f>
        <v>46230</v>
      </c>
      <c r="H124" s="629"/>
      <c r="I124" s="14"/>
      <c r="J124" s="450"/>
      <c r="K124" s="451"/>
      <c r="L124" s="14"/>
      <c r="M124" s="535"/>
      <c r="N124" s="535"/>
      <c r="S124"/>
    </row>
    <row r="125" spans="1:19" ht="15.75" customHeight="1">
      <c r="A125" s="474" t="s">
        <v>281</v>
      </c>
      <c r="B125" s="138" t="s">
        <v>248</v>
      </c>
      <c r="C125" s="138">
        <v>246</v>
      </c>
      <c r="D125" s="625">
        <f>5000*5</f>
        <v>25000</v>
      </c>
      <c r="E125" s="639" t="s">
        <v>19</v>
      </c>
      <c r="F125" s="17">
        <v>46209</v>
      </c>
      <c r="G125" s="447">
        <f t="shared" si="4"/>
        <v>46230</v>
      </c>
      <c r="H125" s="636" t="s">
        <v>342</v>
      </c>
      <c r="I125" s="14"/>
      <c r="J125" s="450"/>
      <c r="K125" s="451"/>
      <c r="L125" s="14"/>
      <c r="M125" s="535"/>
      <c r="N125" s="535"/>
      <c r="S125"/>
    </row>
    <row r="126" spans="1:19" ht="15.75" customHeight="1">
      <c r="A126" s="474" t="s">
        <v>281</v>
      </c>
      <c r="B126" s="138" t="s">
        <v>241</v>
      </c>
      <c r="C126" s="138">
        <v>248</v>
      </c>
      <c r="D126" s="617"/>
      <c r="E126" s="639"/>
      <c r="F126" s="17">
        <v>46209</v>
      </c>
      <c r="G126" s="447">
        <f t="shared" si="4"/>
        <v>46230</v>
      </c>
      <c r="H126" s="636"/>
      <c r="I126" s="14"/>
      <c r="J126" s="450"/>
      <c r="K126" s="451"/>
      <c r="L126" s="14"/>
      <c r="M126" s="535"/>
      <c r="N126" s="535"/>
      <c r="S126"/>
    </row>
    <row r="127" spans="1:19" ht="15.75" customHeight="1">
      <c r="A127" s="474" t="s">
        <v>281</v>
      </c>
      <c r="B127" s="138" t="s">
        <v>241</v>
      </c>
      <c r="C127" s="138">
        <v>249</v>
      </c>
      <c r="D127" s="617"/>
      <c r="E127" s="639"/>
      <c r="F127" s="17">
        <v>46209</v>
      </c>
      <c r="G127" s="447">
        <f t="shared" si="4"/>
        <v>46230</v>
      </c>
      <c r="H127" s="636"/>
      <c r="I127" s="14"/>
      <c r="J127" s="450"/>
      <c r="K127" s="451"/>
      <c r="L127" s="14"/>
      <c r="M127" s="535"/>
      <c r="N127" s="535"/>
      <c r="S127"/>
    </row>
    <row r="128" spans="1:19" ht="15.75" customHeight="1">
      <c r="A128" s="474" t="s">
        <v>281</v>
      </c>
      <c r="B128" s="138" t="s">
        <v>256</v>
      </c>
      <c r="C128" s="138">
        <v>250</v>
      </c>
      <c r="D128" s="617"/>
      <c r="E128" s="639"/>
      <c r="F128" s="17">
        <v>46209</v>
      </c>
      <c r="G128" s="447">
        <f t="shared" si="4"/>
        <v>46230</v>
      </c>
      <c r="H128" s="636"/>
      <c r="I128" s="14"/>
      <c r="J128" s="450"/>
      <c r="K128" s="451"/>
      <c r="L128" s="14"/>
      <c r="M128" s="535"/>
      <c r="N128" s="535"/>
      <c r="S128"/>
    </row>
    <row r="129" spans="1:19" ht="15.75" customHeight="1">
      <c r="A129" s="474" t="s">
        <v>281</v>
      </c>
      <c r="B129" s="138" t="s">
        <v>256</v>
      </c>
      <c r="C129" s="138">
        <v>251</v>
      </c>
      <c r="D129" s="618"/>
      <c r="E129" s="639"/>
      <c r="F129" s="17">
        <v>46209</v>
      </c>
      <c r="G129" s="447">
        <f t="shared" si="4"/>
        <v>46230</v>
      </c>
      <c r="H129" s="636"/>
      <c r="I129" s="14"/>
      <c r="J129" s="450"/>
      <c r="K129" s="451"/>
      <c r="L129" s="14"/>
      <c r="M129" s="535"/>
      <c r="N129" s="535"/>
      <c r="S129"/>
    </row>
    <row r="130" spans="1:19" ht="15.75">
      <c r="A130" s="474" t="s">
        <v>281</v>
      </c>
      <c r="B130" s="138" t="s">
        <v>253</v>
      </c>
      <c r="C130" s="138">
        <v>247</v>
      </c>
      <c r="D130" s="454">
        <v>4500</v>
      </c>
      <c r="E130" s="557" t="s">
        <v>19</v>
      </c>
      <c r="F130" s="17">
        <v>46209</v>
      </c>
      <c r="G130" s="447">
        <f t="shared" si="4"/>
        <v>46230</v>
      </c>
      <c r="H130" s="400" t="s">
        <v>343</v>
      </c>
      <c r="I130" s="14"/>
      <c r="J130" s="450"/>
      <c r="K130" s="451"/>
      <c r="L130" s="14"/>
      <c r="M130" s="535"/>
      <c r="N130" s="535"/>
      <c r="S130"/>
    </row>
    <row r="131" spans="1:19" ht="15.75" customHeight="1">
      <c r="A131" s="474" t="s">
        <v>281</v>
      </c>
      <c r="B131" s="138" t="s">
        <v>245</v>
      </c>
      <c r="C131" s="138">
        <v>252</v>
      </c>
      <c r="D131" s="637">
        <f>5*5000</f>
        <v>25000</v>
      </c>
      <c r="E131" s="626" t="s">
        <v>19</v>
      </c>
      <c r="F131" s="17">
        <v>46213</v>
      </c>
      <c r="G131" s="447">
        <f t="shared" si="4"/>
        <v>46234</v>
      </c>
      <c r="H131" s="627" t="s">
        <v>344</v>
      </c>
      <c r="I131" s="14"/>
      <c r="J131" s="450"/>
      <c r="K131" s="451"/>
      <c r="L131" s="14"/>
      <c r="M131" s="535"/>
      <c r="N131" s="535"/>
      <c r="S131"/>
    </row>
    <row r="132" spans="1:19" ht="15.75" customHeight="1">
      <c r="A132" s="474" t="s">
        <v>281</v>
      </c>
      <c r="B132" s="138" t="s">
        <v>245</v>
      </c>
      <c r="C132" s="138">
        <v>253</v>
      </c>
      <c r="D132" s="637"/>
      <c r="E132" s="620"/>
      <c r="F132" s="17">
        <v>46213</v>
      </c>
      <c r="G132" s="447">
        <f t="shared" si="4"/>
        <v>46234</v>
      </c>
      <c r="H132" s="623"/>
      <c r="I132" s="14"/>
      <c r="J132" s="450"/>
      <c r="K132" s="451"/>
      <c r="L132" s="14"/>
      <c r="M132" s="535"/>
      <c r="N132" s="535"/>
      <c r="S132"/>
    </row>
    <row r="133" spans="1:19" ht="15.75" customHeight="1">
      <c r="A133" s="474" t="s">
        <v>281</v>
      </c>
      <c r="B133" s="138" t="s">
        <v>260</v>
      </c>
      <c r="C133" s="138">
        <v>254</v>
      </c>
      <c r="D133" s="637"/>
      <c r="E133" s="620"/>
      <c r="F133" s="17">
        <v>46213</v>
      </c>
      <c r="G133" s="447">
        <f t="shared" si="4"/>
        <v>46234</v>
      </c>
      <c r="H133" s="623"/>
      <c r="I133" s="14"/>
      <c r="J133" s="450"/>
      <c r="K133" s="451"/>
      <c r="L133" s="14"/>
      <c r="M133" s="535"/>
      <c r="N133" s="535"/>
      <c r="S133"/>
    </row>
    <row r="134" spans="1:19" ht="15.75" customHeight="1">
      <c r="A134" s="474" t="s">
        <v>281</v>
      </c>
      <c r="B134" s="138" t="s">
        <v>260</v>
      </c>
      <c r="C134" s="138">
        <v>255</v>
      </c>
      <c r="D134" s="637"/>
      <c r="E134" s="620"/>
      <c r="F134" s="17">
        <v>46213</v>
      </c>
      <c r="G134" s="447">
        <f t="shared" si="4"/>
        <v>46234</v>
      </c>
      <c r="H134" s="623"/>
      <c r="I134" s="14"/>
      <c r="J134" s="450"/>
      <c r="K134" s="451"/>
      <c r="L134" s="14"/>
      <c r="M134" s="535"/>
      <c r="N134" s="535"/>
      <c r="S134"/>
    </row>
    <row r="135" spans="1:19" ht="15.75" customHeight="1">
      <c r="A135" s="474" t="s">
        <v>281</v>
      </c>
      <c r="B135" s="138" t="s">
        <v>263</v>
      </c>
      <c r="C135" s="138">
        <v>258</v>
      </c>
      <c r="D135" s="637"/>
      <c r="E135" s="621"/>
      <c r="F135" s="17">
        <v>46213</v>
      </c>
      <c r="G135" s="447">
        <f t="shared" si="4"/>
        <v>46234</v>
      </c>
      <c r="H135" s="624"/>
      <c r="I135" s="14"/>
      <c r="J135" s="450"/>
      <c r="K135" s="451"/>
      <c r="L135" s="14"/>
      <c r="M135" s="535"/>
      <c r="N135" s="535"/>
      <c r="S135"/>
    </row>
    <row r="136" spans="1:19" ht="15.75" customHeight="1">
      <c r="A136" s="474" t="s">
        <v>281</v>
      </c>
      <c r="B136" s="138" t="s">
        <v>263</v>
      </c>
      <c r="C136" s="52">
        <v>259</v>
      </c>
      <c r="D136" s="637">
        <f>5*5000</f>
        <v>25000</v>
      </c>
      <c r="E136" s="639" t="s">
        <v>19</v>
      </c>
      <c r="F136" s="17">
        <v>46213</v>
      </c>
      <c r="G136" s="447">
        <f t="shared" si="4"/>
        <v>46234</v>
      </c>
      <c r="H136" s="627" t="s">
        <v>345</v>
      </c>
      <c r="I136" s="14"/>
      <c r="J136" s="450"/>
      <c r="K136" s="451"/>
      <c r="L136" s="14"/>
      <c r="M136" s="535"/>
      <c r="N136" s="535"/>
      <c r="S136"/>
    </row>
    <row r="137" spans="1:19" ht="15.75" customHeight="1">
      <c r="A137" s="474" t="s">
        <v>281</v>
      </c>
      <c r="B137" s="138" t="s">
        <v>265</v>
      </c>
      <c r="C137" s="52">
        <v>260</v>
      </c>
      <c r="D137" s="637"/>
      <c r="E137" s="639"/>
      <c r="F137" s="17">
        <v>46213</v>
      </c>
      <c r="G137" s="447">
        <f t="shared" si="4"/>
        <v>46234</v>
      </c>
      <c r="H137" s="623"/>
      <c r="I137" s="14"/>
      <c r="J137" s="450"/>
      <c r="K137" s="451"/>
      <c r="L137" s="14"/>
      <c r="M137" s="535"/>
      <c r="N137" s="535"/>
      <c r="S137"/>
    </row>
    <row r="138" spans="1:19" ht="15.75" customHeight="1">
      <c r="A138" s="474" t="s">
        <v>281</v>
      </c>
      <c r="B138" s="138" t="s">
        <v>265</v>
      </c>
      <c r="C138" s="52">
        <v>261</v>
      </c>
      <c r="D138" s="637"/>
      <c r="E138" s="639"/>
      <c r="F138" s="17">
        <v>46213</v>
      </c>
      <c r="G138" s="447">
        <f t="shared" si="4"/>
        <v>46234</v>
      </c>
      <c r="H138" s="623"/>
      <c r="I138" s="14"/>
      <c r="J138" s="450"/>
      <c r="K138" s="451"/>
      <c r="L138" s="14"/>
      <c r="M138" s="535"/>
      <c r="N138" s="535"/>
      <c r="S138"/>
    </row>
    <row r="139" spans="1:19" ht="15.75" customHeight="1">
      <c r="A139" s="474" t="s">
        <v>281</v>
      </c>
      <c r="B139" s="138" t="s">
        <v>267</v>
      </c>
      <c r="C139" s="52">
        <v>262</v>
      </c>
      <c r="D139" s="637"/>
      <c r="E139" s="639"/>
      <c r="F139" s="17">
        <v>46213</v>
      </c>
      <c r="G139" s="447">
        <f t="shared" si="4"/>
        <v>46234</v>
      </c>
      <c r="H139" s="623"/>
      <c r="I139" s="14"/>
      <c r="J139" s="450"/>
      <c r="K139" s="451"/>
      <c r="L139" s="14"/>
      <c r="M139" s="535"/>
      <c r="N139" s="535"/>
      <c r="S139"/>
    </row>
    <row r="140" spans="1:19" ht="15.75" customHeight="1">
      <c r="A140" s="474" t="s">
        <v>281</v>
      </c>
      <c r="B140" s="138" t="s">
        <v>267</v>
      </c>
      <c r="C140" s="52">
        <v>263</v>
      </c>
      <c r="D140" s="637"/>
      <c r="E140" s="639"/>
      <c r="F140" s="17">
        <v>46213</v>
      </c>
      <c r="G140" s="447">
        <f t="shared" si="4"/>
        <v>46234</v>
      </c>
      <c r="H140" s="624"/>
      <c r="I140" s="14"/>
      <c r="J140" s="450"/>
      <c r="K140" s="451"/>
      <c r="L140" s="14"/>
      <c r="M140" s="535"/>
      <c r="N140" s="535"/>
      <c r="S140"/>
    </row>
    <row r="141" spans="1:19" ht="15.75" customHeight="1">
      <c r="A141" s="474" t="s">
        <v>281</v>
      </c>
      <c r="B141" s="138" t="s">
        <v>236</v>
      </c>
      <c r="C141" s="52">
        <v>231</v>
      </c>
      <c r="D141" s="637">
        <f>5000*6</f>
        <v>30000</v>
      </c>
      <c r="E141" s="626" t="s">
        <v>19</v>
      </c>
      <c r="F141" s="17">
        <v>46213</v>
      </c>
      <c r="G141" s="447">
        <f t="shared" si="4"/>
        <v>46234</v>
      </c>
      <c r="H141" s="627" t="s">
        <v>346</v>
      </c>
      <c r="I141" s="14"/>
      <c r="J141" s="450"/>
      <c r="K141" s="451"/>
      <c r="L141" s="14"/>
      <c r="M141" s="535"/>
      <c r="N141" s="535"/>
      <c r="S141"/>
    </row>
    <row r="142" spans="1:19" ht="15.75" customHeight="1">
      <c r="A142" s="474" t="s">
        <v>281</v>
      </c>
      <c r="B142" s="138" t="s">
        <v>236</v>
      </c>
      <c r="C142" s="52">
        <v>232</v>
      </c>
      <c r="D142" s="637"/>
      <c r="E142" s="620"/>
      <c r="F142" s="17">
        <v>46213</v>
      </c>
      <c r="G142" s="447">
        <f t="shared" si="4"/>
        <v>46234</v>
      </c>
      <c r="H142" s="623"/>
      <c r="I142" s="14"/>
      <c r="J142" s="450"/>
      <c r="K142" s="451"/>
      <c r="L142" s="14"/>
      <c r="M142" s="535"/>
      <c r="N142" s="535"/>
      <c r="S142"/>
    </row>
    <row r="143" spans="1:19" ht="15.75" customHeight="1">
      <c r="A143" s="474" t="s">
        <v>281</v>
      </c>
      <c r="B143" s="138" t="s">
        <v>250</v>
      </c>
      <c r="C143" s="52">
        <v>241</v>
      </c>
      <c r="D143" s="637"/>
      <c r="E143" s="620"/>
      <c r="F143" s="17">
        <v>46213</v>
      </c>
      <c r="G143" s="447">
        <f t="shared" si="4"/>
        <v>46234</v>
      </c>
      <c r="H143" s="623"/>
      <c r="I143" s="14"/>
      <c r="J143" s="450"/>
      <c r="K143" s="451"/>
      <c r="L143" s="14"/>
      <c r="M143" s="535"/>
      <c r="N143" s="535"/>
      <c r="S143"/>
    </row>
    <row r="144" spans="1:19" ht="15.75" customHeight="1">
      <c r="A144" s="474" t="s">
        <v>281</v>
      </c>
      <c r="B144" s="138" t="s">
        <v>250</v>
      </c>
      <c r="C144" s="52">
        <v>242</v>
      </c>
      <c r="D144" s="637"/>
      <c r="E144" s="620"/>
      <c r="F144" s="17">
        <v>46213</v>
      </c>
      <c r="G144" s="447">
        <f t="shared" si="4"/>
        <v>46234</v>
      </c>
      <c r="H144" s="623"/>
      <c r="I144" s="14"/>
      <c r="J144" s="450"/>
      <c r="K144" s="451"/>
      <c r="L144" s="14"/>
      <c r="M144" s="535"/>
      <c r="N144" s="535"/>
      <c r="S144"/>
    </row>
    <row r="145" spans="1:19" ht="15.75" customHeight="1">
      <c r="A145" s="474" t="s">
        <v>281</v>
      </c>
      <c r="B145" s="138" t="s">
        <v>238</v>
      </c>
      <c r="C145" s="52">
        <v>235</v>
      </c>
      <c r="D145" s="637"/>
      <c r="E145" s="620"/>
      <c r="F145" s="17">
        <v>46213</v>
      </c>
      <c r="G145" s="447">
        <f t="shared" si="4"/>
        <v>46234</v>
      </c>
      <c r="H145" s="623"/>
      <c r="I145" s="14"/>
      <c r="J145" s="450"/>
      <c r="K145" s="451"/>
      <c r="L145" s="14"/>
      <c r="M145" s="535"/>
      <c r="N145" s="535"/>
      <c r="S145"/>
    </row>
    <row r="146" spans="1:19" ht="15.75" customHeight="1">
      <c r="A146" s="474" t="s">
        <v>281</v>
      </c>
      <c r="B146" s="138" t="s">
        <v>238</v>
      </c>
      <c r="C146" s="52">
        <v>236</v>
      </c>
      <c r="D146" s="625"/>
      <c r="E146" s="620"/>
      <c r="F146" s="17">
        <v>46213</v>
      </c>
      <c r="G146" s="447">
        <f t="shared" si="4"/>
        <v>46234</v>
      </c>
      <c r="H146" s="624"/>
      <c r="I146" s="14"/>
      <c r="J146" s="450"/>
      <c r="K146" s="451"/>
      <c r="L146" s="14"/>
      <c r="M146" s="535"/>
      <c r="N146" s="535"/>
      <c r="S146"/>
    </row>
    <row r="147" spans="1:19" ht="15.75" customHeight="1">
      <c r="A147" s="474" t="s">
        <v>281</v>
      </c>
      <c r="B147" s="138" t="s">
        <v>270</v>
      </c>
      <c r="C147" s="52">
        <v>293</v>
      </c>
      <c r="D147" s="625">
        <f>8563.86*4</f>
        <v>34255.440000000002</v>
      </c>
      <c r="E147" s="626" t="s">
        <v>19</v>
      </c>
      <c r="F147" s="64">
        <v>46220</v>
      </c>
      <c r="G147" s="447">
        <f t="shared" si="4"/>
        <v>46241</v>
      </c>
      <c r="H147" s="626" t="s">
        <v>347</v>
      </c>
      <c r="I147" s="14"/>
      <c r="J147" s="450"/>
      <c r="K147" s="451"/>
      <c r="L147" s="14"/>
      <c r="M147" s="535"/>
      <c r="N147" s="535"/>
      <c r="S147"/>
    </row>
    <row r="148" spans="1:19" ht="15.75" customHeight="1">
      <c r="A148" s="474" t="s">
        <v>281</v>
      </c>
      <c r="B148" s="138" t="s">
        <v>270</v>
      </c>
      <c r="C148" s="52">
        <v>294</v>
      </c>
      <c r="D148" s="617"/>
      <c r="E148" s="620"/>
      <c r="F148" s="64">
        <v>46220</v>
      </c>
      <c r="G148" s="447">
        <f t="shared" si="4"/>
        <v>46241</v>
      </c>
      <c r="H148" s="620"/>
      <c r="I148" s="14"/>
      <c r="J148" s="450"/>
      <c r="K148" s="451"/>
      <c r="L148" s="14"/>
      <c r="M148" s="535"/>
      <c r="N148" s="535"/>
      <c r="S148"/>
    </row>
    <row r="149" spans="1:19" ht="15.75" customHeight="1">
      <c r="A149" s="474" t="s">
        <v>281</v>
      </c>
      <c r="B149" s="138" t="s">
        <v>272</v>
      </c>
      <c r="C149" s="52">
        <v>295</v>
      </c>
      <c r="D149" s="617"/>
      <c r="E149" s="620"/>
      <c r="F149" s="64">
        <v>46220</v>
      </c>
      <c r="G149" s="447">
        <f t="shared" si="4"/>
        <v>46241</v>
      </c>
      <c r="H149" s="620"/>
      <c r="I149" s="14"/>
      <c r="J149" s="450"/>
      <c r="K149" s="451"/>
      <c r="L149" s="14"/>
      <c r="M149" s="535"/>
      <c r="N149" s="535"/>
      <c r="S149"/>
    </row>
    <row r="150" spans="1:19" ht="15.75" customHeight="1">
      <c r="A150" s="474" t="s">
        <v>281</v>
      </c>
      <c r="B150" s="138" t="s">
        <v>272</v>
      </c>
      <c r="C150" s="52">
        <v>296</v>
      </c>
      <c r="D150" s="618"/>
      <c r="E150" s="620"/>
      <c r="F150" s="64">
        <v>46220</v>
      </c>
      <c r="G150" s="447">
        <f t="shared" si="4"/>
        <v>46241</v>
      </c>
      <c r="H150" s="621"/>
      <c r="I150" s="14"/>
      <c r="J150" s="450"/>
      <c r="K150" s="451"/>
      <c r="L150" s="14"/>
      <c r="M150" s="535"/>
      <c r="N150" s="535"/>
      <c r="S150"/>
    </row>
    <row r="151" spans="1:19" ht="15.75" customHeight="1">
      <c r="A151" s="474" t="s">
        <v>281</v>
      </c>
      <c r="B151" s="138" t="s">
        <v>245</v>
      </c>
      <c r="C151" s="138">
        <v>297</v>
      </c>
      <c r="D151" s="625">
        <f>5000*3</f>
        <v>15000</v>
      </c>
      <c r="E151" s="626" t="s">
        <v>19</v>
      </c>
      <c r="F151" s="64">
        <v>46220</v>
      </c>
      <c r="G151" s="447">
        <f t="shared" si="4"/>
        <v>46241</v>
      </c>
      <c r="H151" s="627" t="s">
        <v>348</v>
      </c>
      <c r="I151" s="14"/>
      <c r="J151" s="450"/>
      <c r="K151" s="451"/>
      <c r="L151" s="14"/>
      <c r="M151" s="535"/>
      <c r="N151" s="535"/>
      <c r="S151"/>
    </row>
    <row r="152" spans="1:19" ht="15.75" customHeight="1">
      <c r="A152" s="474" t="s">
        <v>281</v>
      </c>
      <c r="B152" s="138" t="s">
        <v>245</v>
      </c>
      <c r="C152" s="138">
        <v>299</v>
      </c>
      <c r="D152" s="617"/>
      <c r="E152" s="620"/>
      <c r="F152" s="64">
        <v>46220</v>
      </c>
      <c r="G152" s="447">
        <f t="shared" si="4"/>
        <v>46241</v>
      </c>
      <c r="H152" s="623"/>
      <c r="I152" s="14"/>
      <c r="J152" s="450"/>
      <c r="K152" s="451"/>
      <c r="L152" s="14"/>
      <c r="M152" s="535"/>
      <c r="N152" s="535"/>
      <c r="S152"/>
    </row>
    <row r="153" spans="1:19" ht="15.75">
      <c r="A153" s="474" t="s">
        <v>281</v>
      </c>
      <c r="B153" s="138" t="s">
        <v>275</v>
      </c>
      <c r="C153" s="138">
        <v>303</v>
      </c>
      <c r="D153" s="618"/>
      <c r="E153" s="621"/>
      <c r="F153" s="64">
        <v>46220</v>
      </c>
      <c r="G153" s="447">
        <f t="shared" si="4"/>
        <v>46241</v>
      </c>
      <c r="H153" s="624"/>
      <c r="I153" s="14"/>
      <c r="J153" s="450"/>
      <c r="K153" s="451"/>
      <c r="L153" s="14"/>
      <c r="M153" s="535"/>
      <c r="N153" s="535"/>
      <c r="S153"/>
    </row>
    <row r="154" spans="1:19" ht="15.75" hidden="1">
      <c r="A154" s="460" t="s">
        <v>240</v>
      </c>
      <c r="B154" s="138" t="s">
        <v>241</v>
      </c>
      <c r="C154" s="138">
        <v>304</v>
      </c>
      <c r="D154" s="550"/>
      <c r="E154" s="552"/>
      <c r="F154" s="64">
        <v>46220</v>
      </c>
      <c r="G154" s="447">
        <f>F154+59</f>
        <v>46279</v>
      </c>
      <c r="H154" s="555" t="s">
        <v>349</v>
      </c>
      <c r="I154" s="14"/>
      <c r="J154" s="450"/>
      <c r="K154" s="451"/>
      <c r="L154" s="14"/>
      <c r="M154" s="535"/>
      <c r="N154" s="535"/>
      <c r="S154"/>
    </row>
    <row r="155" spans="1:19" ht="15.75" hidden="1">
      <c r="A155" s="460" t="s">
        <v>240</v>
      </c>
      <c r="B155" s="138" t="s">
        <v>241</v>
      </c>
      <c r="C155" s="138">
        <v>305</v>
      </c>
      <c r="D155" s="550"/>
      <c r="E155" s="552"/>
      <c r="F155" s="64">
        <v>46220</v>
      </c>
      <c r="G155" s="447">
        <f>F155+59</f>
        <v>46279</v>
      </c>
      <c r="H155" s="555"/>
      <c r="I155" s="14"/>
      <c r="J155" s="450"/>
      <c r="K155" s="451"/>
      <c r="L155" s="14"/>
      <c r="M155" s="535"/>
      <c r="N155" s="535"/>
      <c r="S155"/>
    </row>
    <row r="156" spans="1:19" ht="15.75" hidden="1">
      <c r="A156" s="460" t="s">
        <v>278</v>
      </c>
      <c r="B156" s="138" t="s">
        <v>279</v>
      </c>
      <c r="C156" s="138">
        <v>307</v>
      </c>
      <c r="D156" s="36"/>
      <c r="E156" s="552"/>
      <c r="F156" s="64">
        <v>46220</v>
      </c>
      <c r="G156" s="447">
        <f t="shared" ref="G156:G161" si="5">F156+21</f>
        <v>46241</v>
      </c>
      <c r="H156" s="449"/>
      <c r="I156" s="14"/>
      <c r="J156" s="450"/>
      <c r="K156" s="451"/>
      <c r="L156" s="14"/>
      <c r="M156" s="535"/>
      <c r="N156" s="535"/>
      <c r="S156"/>
    </row>
    <row r="157" spans="1:19" ht="15.75" hidden="1">
      <c r="A157" s="460" t="s">
        <v>278</v>
      </c>
      <c r="B157" s="138" t="s">
        <v>279</v>
      </c>
      <c r="C157" s="138">
        <v>308</v>
      </c>
      <c r="D157" s="36"/>
      <c r="E157" s="552"/>
      <c r="F157" s="64">
        <v>46220</v>
      </c>
      <c r="G157" s="447">
        <f t="shared" si="5"/>
        <v>46241</v>
      </c>
      <c r="H157" s="449"/>
      <c r="I157" s="14"/>
      <c r="J157" s="450"/>
      <c r="K157" s="451"/>
      <c r="L157" s="14"/>
      <c r="M157" s="535"/>
      <c r="N157" s="535"/>
      <c r="S157"/>
    </row>
    <row r="158" spans="1:19" ht="15.75" hidden="1">
      <c r="A158" s="474"/>
      <c r="B158" s="138"/>
      <c r="C158" s="138"/>
      <c r="D158" s="36"/>
      <c r="E158" s="552"/>
      <c r="F158" s="17">
        <v>46226</v>
      </c>
      <c r="G158" s="447">
        <f t="shared" si="5"/>
        <v>46247</v>
      </c>
      <c r="H158" s="449"/>
      <c r="I158" s="14"/>
      <c r="J158" s="450"/>
      <c r="K158" s="451"/>
      <c r="L158" s="14"/>
      <c r="M158" s="535"/>
      <c r="N158" s="535"/>
      <c r="S158"/>
    </row>
    <row r="159" spans="1:19" ht="15.75" hidden="1">
      <c r="A159" s="474"/>
      <c r="B159" s="138"/>
      <c r="C159" s="138"/>
      <c r="D159" s="36"/>
      <c r="E159" s="552"/>
      <c r="F159" s="17">
        <v>46227</v>
      </c>
      <c r="G159" s="447">
        <f t="shared" si="5"/>
        <v>46248</v>
      </c>
      <c r="H159" s="449"/>
      <c r="I159" s="14"/>
      <c r="J159" s="450"/>
      <c r="K159" s="451"/>
      <c r="L159" s="14"/>
      <c r="M159" s="535"/>
      <c r="N159" s="535"/>
      <c r="S159"/>
    </row>
    <row r="160" spans="1:19" ht="15.75" hidden="1">
      <c r="A160" s="474"/>
      <c r="B160" s="138"/>
      <c r="C160" s="138"/>
      <c r="D160" s="36"/>
      <c r="E160" s="552"/>
      <c r="F160" s="17">
        <v>46228</v>
      </c>
      <c r="G160" s="447">
        <f t="shared" si="5"/>
        <v>46249</v>
      </c>
      <c r="H160" s="449"/>
      <c r="I160" s="14"/>
      <c r="J160" s="450"/>
      <c r="K160" s="451"/>
      <c r="L160" s="14"/>
      <c r="M160" s="535"/>
      <c r="N160" s="535"/>
      <c r="S160"/>
    </row>
    <row r="161" spans="1:19" ht="15.75" hidden="1">
      <c r="A161" s="474"/>
      <c r="B161" s="138"/>
      <c r="C161" s="138"/>
      <c r="D161" s="36"/>
      <c r="E161" s="552"/>
      <c r="F161" s="17">
        <v>46229</v>
      </c>
      <c r="G161" s="447">
        <f t="shared" si="5"/>
        <v>46250</v>
      </c>
      <c r="H161" s="449"/>
      <c r="I161" s="14"/>
      <c r="J161" s="450"/>
      <c r="K161" s="451"/>
      <c r="L161" s="14"/>
      <c r="M161" s="535"/>
      <c r="N161" s="535"/>
      <c r="S161"/>
    </row>
    <row r="162" spans="1:19" ht="15.75" hidden="1">
      <c r="A162" s="38"/>
      <c r="B162" s="19"/>
      <c r="C162" s="19"/>
      <c r="D162" s="36"/>
      <c r="E162" s="552"/>
      <c r="F162" s="17"/>
      <c r="G162" s="447"/>
      <c r="H162" s="449"/>
      <c r="I162" s="14"/>
      <c r="J162" s="450"/>
      <c r="K162" s="451"/>
      <c r="L162" s="14"/>
      <c r="M162" s="535"/>
      <c r="N162" s="535"/>
      <c r="S162"/>
    </row>
    <row r="163" spans="1:19" ht="15.75" hidden="1">
      <c r="A163" s="38"/>
      <c r="B163" s="19"/>
      <c r="C163" s="19"/>
      <c r="D163" s="36"/>
      <c r="E163" s="552"/>
      <c r="F163" s="17"/>
      <c r="G163" s="447"/>
      <c r="H163" s="449"/>
      <c r="I163" s="14"/>
      <c r="J163" s="450"/>
      <c r="K163" s="451"/>
      <c r="L163" s="14"/>
      <c r="M163" s="535"/>
      <c r="N163" s="535"/>
      <c r="S163"/>
    </row>
    <row r="164" spans="1:19" ht="15.75" hidden="1">
      <c r="A164" s="38"/>
      <c r="B164" s="19"/>
      <c r="C164" s="19"/>
      <c r="D164" s="36"/>
      <c r="E164" s="552"/>
      <c r="F164" s="17"/>
      <c r="G164" s="447"/>
      <c r="H164" s="449"/>
      <c r="I164" s="14"/>
      <c r="J164" s="450"/>
      <c r="K164" s="451"/>
      <c r="L164" s="14"/>
      <c r="M164" s="535"/>
      <c r="N164" s="535"/>
      <c r="S164"/>
    </row>
    <row r="165" spans="1:19" ht="15.75" hidden="1">
      <c r="A165" s="38"/>
      <c r="B165" s="19"/>
      <c r="C165" s="19"/>
      <c r="D165" s="36"/>
      <c r="E165" s="552"/>
      <c r="F165" s="17"/>
      <c r="G165" s="447"/>
      <c r="H165" s="449"/>
      <c r="I165" s="14"/>
      <c r="J165" s="450"/>
      <c r="K165" s="451"/>
      <c r="L165" s="14"/>
      <c r="M165" s="535"/>
      <c r="N165" s="535"/>
      <c r="S165"/>
    </row>
    <row r="166" spans="1:19" ht="15.75" hidden="1">
      <c r="A166" s="38"/>
      <c r="B166" s="19"/>
      <c r="C166" s="19"/>
      <c r="D166" s="36"/>
      <c r="E166" s="552"/>
      <c r="F166" s="17"/>
      <c r="G166" s="447"/>
      <c r="H166" s="449"/>
      <c r="I166" s="14"/>
      <c r="J166" s="450"/>
      <c r="K166" s="451"/>
      <c r="L166" s="14"/>
      <c r="M166" s="535"/>
      <c r="N166" s="535"/>
      <c r="S166"/>
    </row>
    <row r="167" spans="1:19" ht="15.75" hidden="1">
      <c r="A167" s="38"/>
      <c r="B167" s="19"/>
      <c r="C167" s="19"/>
      <c r="D167" s="36"/>
      <c r="E167" s="552"/>
      <c r="F167" s="17"/>
      <c r="G167" s="447"/>
      <c r="H167" s="449"/>
      <c r="I167" s="14"/>
      <c r="J167" s="450"/>
      <c r="K167" s="451"/>
      <c r="L167" s="14"/>
      <c r="M167" s="535"/>
      <c r="N167" s="535"/>
      <c r="S167"/>
    </row>
    <row r="168" spans="1:19" ht="15.75" hidden="1">
      <c r="A168" s="38"/>
      <c r="B168" s="19"/>
      <c r="C168" s="19"/>
      <c r="D168" s="36"/>
      <c r="E168" s="552"/>
      <c r="F168" s="17"/>
      <c r="G168" s="447"/>
      <c r="H168" s="449"/>
      <c r="I168" s="14"/>
      <c r="J168" s="450"/>
      <c r="K168" s="451"/>
      <c r="L168" s="14"/>
      <c r="M168" s="535"/>
      <c r="N168" s="535"/>
      <c r="S168"/>
    </row>
    <row r="169" spans="1:19" ht="15.75" hidden="1">
      <c r="A169" s="38"/>
      <c r="B169" s="19"/>
      <c r="C169" s="19"/>
      <c r="D169" s="36"/>
      <c r="E169" s="552"/>
      <c r="F169" s="17"/>
      <c r="G169" s="447"/>
      <c r="H169" s="449"/>
      <c r="I169" s="14"/>
      <c r="J169" s="450"/>
      <c r="K169" s="451"/>
      <c r="L169" s="14"/>
      <c r="M169" s="535"/>
      <c r="N169" s="535"/>
      <c r="S169"/>
    </row>
    <row r="170" spans="1:19" ht="15.75" hidden="1">
      <c r="A170" s="38"/>
      <c r="B170" s="19"/>
      <c r="C170" s="19"/>
      <c r="D170" s="36"/>
      <c r="E170" s="552"/>
      <c r="F170" s="17"/>
      <c r="G170" s="447">
        <f t="shared" ref="G170:G185" si="6">F170+20</f>
        <v>20</v>
      </c>
      <c r="H170" s="449"/>
      <c r="I170" s="14"/>
      <c r="J170" s="450"/>
      <c r="K170" s="451"/>
      <c r="L170" s="14"/>
      <c r="M170" s="535"/>
      <c r="N170" s="535"/>
      <c r="S170"/>
    </row>
    <row r="171" spans="1:19" ht="15.75" hidden="1">
      <c r="A171" s="38"/>
      <c r="B171" s="19"/>
      <c r="C171" s="19"/>
      <c r="D171" s="36"/>
      <c r="E171" s="552"/>
      <c r="F171" s="17"/>
      <c r="G171" s="447">
        <f t="shared" si="6"/>
        <v>20</v>
      </c>
      <c r="H171" s="449"/>
      <c r="I171" s="14"/>
      <c r="J171" s="450"/>
      <c r="K171" s="451"/>
      <c r="L171" s="14"/>
      <c r="M171" s="535"/>
      <c r="N171" s="535"/>
      <c r="S171"/>
    </row>
    <row r="172" spans="1:19" ht="15.75" hidden="1">
      <c r="A172" s="38"/>
      <c r="B172" s="19"/>
      <c r="C172" s="19"/>
      <c r="D172" s="36"/>
      <c r="E172" s="552"/>
      <c r="F172" s="17"/>
      <c r="G172" s="447">
        <f t="shared" si="6"/>
        <v>20</v>
      </c>
      <c r="H172" s="449"/>
      <c r="I172" s="14"/>
      <c r="J172" s="450"/>
      <c r="K172" s="451"/>
      <c r="L172" s="14"/>
      <c r="M172" s="535"/>
      <c r="N172" s="535"/>
      <c r="S172"/>
    </row>
    <row r="173" spans="1:19" ht="15.75" hidden="1">
      <c r="A173" s="38"/>
      <c r="B173" s="19"/>
      <c r="C173" s="19"/>
      <c r="D173" s="36"/>
      <c r="E173" s="552"/>
      <c r="F173" s="17"/>
      <c r="G173" s="447">
        <f t="shared" si="6"/>
        <v>20</v>
      </c>
      <c r="H173" s="449"/>
      <c r="I173" s="14"/>
      <c r="J173" s="450"/>
      <c r="K173" s="451"/>
      <c r="L173" s="14"/>
      <c r="M173" s="535"/>
      <c r="N173" s="535"/>
      <c r="S173"/>
    </row>
    <row r="174" spans="1:19" ht="15.75" hidden="1">
      <c r="A174" s="38"/>
      <c r="B174" s="19"/>
      <c r="C174" s="19"/>
      <c r="D174" s="36"/>
      <c r="E174" s="552"/>
      <c r="F174" s="17"/>
      <c r="G174" s="447">
        <f t="shared" si="6"/>
        <v>20</v>
      </c>
      <c r="H174" s="449"/>
      <c r="I174" s="14"/>
      <c r="J174" s="450"/>
      <c r="K174" s="451"/>
      <c r="L174" s="14"/>
      <c r="M174" s="535"/>
      <c r="N174" s="535"/>
      <c r="S174"/>
    </row>
    <row r="175" spans="1:19" ht="15.75" hidden="1">
      <c r="A175" s="38"/>
      <c r="B175" s="19"/>
      <c r="C175" s="19"/>
      <c r="D175" s="36"/>
      <c r="E175" s="552"/>
      <c r="F175" s="17"/>
      <c r="G175" s="447">
        <f t="shared" si="6"/>
        <v>20</v>
      </c>
      <c r="H175" s="449"/>
      <c r="I175" s="14"/>
      <c r="J175" s="450"/>
      <c r="K175" s="451"/>
      <c r="L175" s="14"/>
      <c r="M175" s="535"/>
      <c r="N175" s="535"/>
      <c r="S175"/>
    </row>
    <row r="176" spans="1:19" ht="15.75" hidden="1">
      <c r="A176" s="38"/>
      <c r="B176" s="19"/>
      <c r="C176" s="19"/>
      <c r="D176" s="36"/>
      <c r="E176" s="552"/>
      <c r="F176" s="17"/>
      <c r="G176" s="447">
        <f t="shared" si="6"/>
        <v>20</v>
      </c>
      <c r="H176" s="449"/>
      <c r="I176" s="14"/>
      <c r="J176" s="450"/>
      <c r="K176" s="451"/>
      <c r="L176" s="14"/>
      <c r="M176" s="535"/>
      <c r="N176" s="535"/>
      <c r="S176"/>
    </row>
    <row r="177" spans="1:19" ht="15.75" hidden="1">
      <c r="A177" s="38"/>
      <c r="B177" s="19"/>
      <c r="C177" s="19"/>
      <c r="D177" s="36"/>
      <c r="E177" s="552"/>
      <c r="F177" s="17"/>
      <c r="G177" s="447">
        <f t="shared" si="6"/>
        <v>20</v>
      </c>
      <c r="H177" s="449"/>
      <c r="I177" s="14"/>
      <c r="J177" s="450"/>
      <c r="K177" s="451"/>
      <c r="L177" s="14"/>
      <c r="M177" s="535"/>
      <c r="N177" s="535"/>
      <c r="S177"/>
    </row>
    <row r="178" spans="1:19" ht="15.75" hidden="1">
      <c r="A178" s="38"/>
      <c r="B178" s="19"/>
      <c r="C178" s="19"/>
      <c r="D178" s="36"/>
      <c r="E178" s="552"/>
      <c r="F178" s="17"/>
      <c r="G178" s="447">
        <f t="shared" si="6"/>
        <v>20</v>
      </c>
      <c r="H178" s="449"/>
      <c r="I178" s="14"/>
      <c r="J178" s="450"/>
      <c r="K178" s="451"/>
      <c r="L178" s="14"/>
      <c r="M178" s="535"/>
      <c r="N178" s="535"/>
      <c r="S178"/>
    </row>
    <row r="179" spans="1:19" ht="15.75" hidden="1">
      <c r="A179" s="38"/>
      <c r="B179" s="19"/>
      <c r="C179" s="19"/>
      <c r="D179" s="36"/>
      <c r="E179" s="552"/>
      <c r="F179" s="17"/>
      <c r="G179" s="447">
        <f t="shared" si="6"/>
        <v>20</v>
      </c>
      <c r="H179" s="449"/>
      <c r="I179" s="14"/>
      <c r="J179" s="450"/>
      <c r="K179" s="451"/>
      <c r="L179" s="14"/>
      <c r="M179" s="535"/>
      <c r="N179" s="535"/>
      <c r="S179"/>
    </row>
    <row r="180" spans="1:19" ht="15.75" hidden="1">
      <c r="A180" s="38"/>
      <c r="B180" s="19"/>
      <c r="C180" s="19"/>
      <c r="D180" s="36"/>
      <c r="E180" s="552"/>
      <c r="F180" s="17"/>
      <c r="G180" s="447">
        <f t="shared" si="6"/>
        <v>20</v>
      </c>
      <c r="H180" s="449"/>
      <c r="I180" s="14"/>
      <c r="J180" s="450"/>
      <c r="K180" s="451"/>
      <c r="L180" s="14"/>
      <c r="M180" s="535"/>
      <c r="N180" s="535"/>
      <c r="S180"/>
    </row>
    <row r="181" spans="1:19" ht="15.75" hidden="1">
      <c r="A181" s="38"/>
      <c r="B181" s="19"/>
      <c r="C181" s="19"/>
      <c r="D181" s="36"/>
      <c r="E181" s="552"/>
      <c r="F181" s="17"/>
      <c r="G181" s="447">
        <f t="shared" si="6"/>
        <v>20</v>
      </c>
      <c r="H181" s="449"/>
      <c r="I181" s="14"/>
      <c r="J181" s="450"/>
      <c r="K181" s="451"/>
      <c r="L181" s="14"/>
      <c r="M181" s="535"/>
      <c r="N181" s="535"/>
      <c r="S181"/>
    </row>
    <row r="182" spans="1:19" ht="15.75" hidden="1">
      <c r="A182" s="38"/>
      <c r="B182" s="19"/>
      <c r="C182" s="19"/>
      <c r="D182" s="36"/>
      <c r="E182" s="552"/>
      <c r="F182" s="17"/>
      <c r="G182" s="447">
        <f t="shared" si="6"/>
        <v>20</v>
      </c>
      <c r="H182" s="449"/>
      <c r="I182" s="14"/>
      <c r="J182" s="450"/>
      <c r="K182" s="451"/>
      <c r="L182" s="14"/>
      <c r="M182" s="535"/>
      <c r="N182" s="535"/>
      <c r="S182"/>
    </row>
    <row r="183" spans="1:19" ht="15.75" hidden="1">
      <c r="A183" s="38"/>
      <c r="B183" s="19"/>
      <c r="C183" s="19"/>
      <c r="D183" s="36"/>
      <c r="E183" s="552"/>
      <c r="F183" s="17"/>
      <c r="G183" s="447">
        <f t="shared" si="6"/>
        <v>20</v>
      </c>
      <c r="H183" s="449"/>
      <c r="I183" s="14"/>
      <c r="J183" s="450"/>
      <c r="K183" s="451"/>
      <c r="L183" s="14"/>
      <c r="M183" s="535"/>
      <c r="N183" s="535"/>
      <c r="S183"/>
    </row>
    <row r="184" spans="1:19" ht="15.75" hidden="1">
      <c r="A184" s="38"/>
      <c r="B184" s="19"/>
      <c r="C184" s="19"/>
      <c r="D184" s="36"/>
      <c r="E184" s="552"/>
      <c r="F184" s="17"/>
      <c r="G184" s="447">
        <f t="shared" si="6"/>
        <v>20</v>
      </c>
      <c r="H184" s="449"/>
      <c r="I184" s="14"/>
      <c r="J184" s="450"/>
      <c r="K184" s="451"/>
      <c r="L184" s="14"/>
      <c r="M184" s="535"/>
      <c r="N184" s="535"/>
      <c r="S184"/>
    </row>
    <row r="185" spans="1:19" ht="16.5" hidden="1" thickBot="1">
      <c r="A185" s="32"/>
      <c r="B185" s="19"/>
      <c r="C185" s="19"/>
      <c r="D185" s="33"/>
      <c r="E185" s="554"/>
      <c r="F185" s="17"/>
      <c r="G185" s="447">
        <f t="shared" si="6"/>
        <v>20</v>
      </c>
      <c r="H185" s="449"/>
      <c r="I185" s="14"/>
      <c r="J185" s="450"/>
      <c r="K185" s="451"/>
      <c r="L185" s="14"/>
      <c r="M185" s="589"/>
      <c r="N185" s="590"/>
      <c r="O185"/>
      <c r="P185"/>
      <c r="Q185"/>
      <c r="R185"/>
      <c r="S185"/>
    </row>
    <row r="186" spans="1:19" ht="16.5" hidden="1" thickBot="1">
      <c r="A186" s="614"/>
      <c r="B186" s="614"/>
      <c r="C186" s="614"/>
      <c r="D186" s="614"/>
      <c r="E186" s="614"/>
      <c r="F186" s="614"/>
      <c r="G186" s="615"/>
      <c r="H186" s="20"/>
      <c r="I186" s="14"/>
      <c r="J186" s="469" t="s">
        <v>211</v>
      </c>
      <c r="K186" s="470">
        <f>SUM(K3:K185)</f>
        <v>0</v>
      </c>
      <c r="L186" s="14"/>
      <c r="M186" s="25"/>
      <c r="N186" s="14"/>
      <c r="O186"/>
      <c r="P186"/>
      <c r="Q186"/>
      <c r="R186"/>
      <c r="S186"/>
    </row>
  </sheetData>
  <autoFilter ref="A2:T186" xr:uid="{B05F07B1-BE1D-4454-81DD-F94CBA91BD88}">
    <filterColumn colId="0">
      <filters>
        <filter val="XCMG BRASIL INDUSTRIA LTDA"/>
      </filters>
    </filterColumn>
    <filterColumn colId="9" showButton="0"/>
    <filterColumn colId="12" showButton="0"/>
  </autoFilter>
  <mergeCells count="95">
    <mergeCell ref="D151:D153"/>
    <mergeCell ref="E151:E153"/>
    <mergeCell ref="H151:H153"/>
    <mergeCell ref="M185:N185"/>
    <mergeCell ref="A186:G186"/>
    <mergeCell ref="D141:D146"/>
    <mergeCell ref="E141:E146"/>
    <mergeCell ref="H141:H146"/>
    <mergeCell ref="D147:D150"/>
    <mergeCell ref="E147:E150"/>
    <mergeCell ref="H147:H150"/>
    <mergeCell ref="D131:D135"/>
    <mergeCell ref="E131:E135"/>
    <mergeCell ref="H131:H135"/>
    <mergeCell ref="D136:D140"/>
    <mergeCell ref="E136:E140"/>
    <mergeCell ref="H136:H140"/>
    <mergeCell ref="D121:D124"/>
    <mergeCell ref="E121:E124"/>
    <mergeCell ref="H121:H124"/>
    <mergeCell ref="D125:D129"/>
    <mergeCell ref="E125:E129"/>
    <mergeCell ref="H125:H129"/>
    <mergeCell ref="D113:D115"/>
    <mergeCell ref="E113:E115"/>
    <mergeCell ref="H113:H115"/>
    <mergeCell ref="D116:D120"/>
    <mergeCell ref="E116:E120"/>
    <mergeCell ref="H116:H120"/>
    <mergeCell ref="D102:D106"/>
    <mergeCell ref="E102:E106"/>
    <mergeCell ref="H102:H106"/>
    <mergeCell ref="D107:D112"/>
    <mergeCell ref="E107:E112"/>
    <mergeCell ref="H107:H112"/>
    <mergeCell ref="D92:D96"/>
    <mergeCell ref="E92:E96"/>
    <mergeCell ref="H92:H96"/>
    <mergeCell ref="D97:D101"/>
    <mergeCell ref="E97:E101"/>
    <mergeCell ref="H97:H101"/>
    <mergeCell ref="D81:D85"/>
    <mergeCell ref="E81:E85"/>
    <mergeCell ref="H81:H85"/>
    <mergeCell ref="D86:D90"/>
    <mergeCell ref="E86:E90"/>
    <mergeCell ref="H86:H90"/>
    <mergeCell ref="D60:D63"/>
    <mergeCell ref="E60:E63"/>
    <mergeCell ref="H60:H63"/>
    <mergeCell ref="D64:D67"/>
    <mergeCell ref="E64:E67"/>
    <mergeCell ref="H64:H67"/>
    <mergeCell ref="D50:D54"/>
    <mergeCell ref="E50:E54"/>
    <mergeCell ref="H50:H54"/>
    <mergeCell ref="D55:D59"/>
    <mergeCell ref="E55:E59"/>
    <mergeCell ref="H55:H59"/>
    <mergeCell ref="D40:D44"/>
    <mergeCell ref="E40:E44"/>
    <mergeCell ref="H40:H44"/>
    <mergeCell ref="D45:D49"/>
    <mergeCell ref="E45:E49"/>
    <mergeCell ref="H45:H49"/>
    <mergeCell ref="D30:D34"/>
    <mergeCell ref="E30:E34"/>
    <mergeCell ref="H30:H34"/>
    <mergeCell ref="D35:D39"/>
    <mergeCell ref="E35:E39"/>
    <mergeCell ref="H35:H39"/>
    <mergeCell ref="D20:D24"/>
    <mergeCell ref="E20:E24"/>
    <mergeCell ref="H20:H24"/>
    <mergeCell ref="D25:D29"/>
    <mergeCell ref="E25:E29"/>
    <mergeCell ref="H25:H29"/>
    <mergeCell ref="D15:D19"/>
    <mergeCell ref="E15:E19"/>
    <mergeCell ref="H15:H19"/>
    <mergeCell ref="A1:F1"/>
    <mergeCell ref="J1:K1"/>
    <mergeCell ref="D11:D14"/>
    <mergeCell ref="E11:E14"/>
    <mergeCell ref="H11:H14"/>
    <mergeCell ref="M1:N1"/>
    <mergeCell ref="J2:K2"/>
    <mergeCell ref="M2:N2"/>
    <mergeCell ref="D3:D8"/>
    <mergeCell ref="E3:E8"/>
    <mergeCell ref="H3:H8"/>
    <mergeCell ref="M5:N5"/>
    <mergeCell ref="M6:N6"/>
    <mergeCell ref="M7:N7"/>
    <mergeCell ref="M8:N8"/>
  </mergeCells>
  <conditionalFormatting sqref="F3:F67 F81:F185">
    <cfRule type="cellIs" dxfId="16" priority="2" operator="lessThan">
      <formula>$H$1</formula>
    </cfRule>
  </conditionalFormatting>
  <conditionalFormatting sqref="G91">
    <cfRule type="cellIs" dxfId="15" priority="1" operator="lessThan">
      <formula>$H$1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B19F-8465-465D-B4F0-B4B6558B973F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F891-CC21-41DF-9018-C0BE2F784FF4}">
  <sheetPr filterMode="1">
    <pageSetUpPr fitToPage="1"/>
  </sheetPr>
  <dimension ref="A1:XFD884"/>
  <sheetViews>
    <sheetView tabSelected="1" zoomScale="72" zoomScaleNormal="72" workbookViewId="0">
      <pane ySplit="1" topLeftCell="A545" activePane="bottomLeft" state="frozen"/>
      <selection pane="bottomLeft" activeCell="E774" sqref="E774"/>
    </sheetView>
  </sheetViews>
  <sheetFormatPr defaultRowHeight="15.75"/>
  <cols>
    <col min="1" max="1" width="23.5703125" style="431" customWidth="1"/>
    <col min="2" max="2" width="108.7109375" style="70" customWidth="1"/>
    <col min="3" max="3" width="2.85546875" style="441" customWidth="1"/>
    <col min="4" max="4" width="15.28515625" style="412" customWidth="1"/>
    <col min="5" max="5" width="21.140625" style="432" customWidth="1"/>
    <col min="6" max="6" width="12.7109375" style="88" customWidth="1"/>
    <col min="7" max="7" width="17.85546875" style="157" customWidth="1"/>
    <col min="8" max="8" width="23" style="412" customWidth="1"/>
    <col min="9" max="9" width="2.42578125" style="70" customWidth="1"/>
    <col min="10" max="10" width="18.7109375" style="429" customWidth="1"/>
    <col min="11" max="11" width="14.7109375" style="70" customWidth="1"/>
    <col min="12" max="12" width="2.7109375" style="70" customWidth="1"/>
    <col min="13" max="13" width="84.28515625" style="429" customWidth="1"/>
    <col min="14" max="14" width="10.5703125" style="403" customWidth="1"/>
    <col min="15" max="15" width="12.42578125" style="403" bestFit="1" customWidth="1"/>
    <col min="16" max="16" width="8.85546875" style="70"/>
    <col min="17" max="18" width="12.7109375" style="404" customWidth="1"/>
    <col min="19" max="36" width="8.85546875" style="70"/>
    <col min="37" max="16384" width="9.140625" style="14"/>
  </cols>
  <sheetData>
    <row r="1" spans="1:36" s="405" customFormat="1" ht="31.15" customHeight="1">
      <c r="A1" s="573" t="s">
        <v>350</v>
      </c>
      <c r="B1" s="574"/>
      <c r="C1" s="575"/>
      <c r="D1" s="576"/>
      <c r="E1" s="577"/>
      <c r="F1" s="578"/>
      <c r="G1" s="156" t="s">
        <v>351</v>
      </c>
      <c r="H1" s="401">
        <f ca="1">TODAY()</f>
        <v>46318</v>
      </c>
      <c r="I1" s="70"/>
      <c r="J1" s="579" t="s">
        <v>352</v>
      </c>
      <c r="K1" s="580"/>
      <c r="L1" s="70"/>
      <c r="M1" s="402"/>
      <c r="N1" s="403"/>
      <c r="O1" s="403"/>
      <c r="P1" s="70"/>
      <c r="Q1" s="404"/>
      <c r="R1" s="404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</row>
    <row r="2" spans="1:36" s="415" customFormat="1">
      <c r="A2" s="406" t="s">
        <v>353</v>
      </c>
      <c r="B2" s="407" t="s">
        <v>354</v>
      </c>
      <c r="C2" s="438" t="s">
        <v>355</v>
      </c>
      <c r="D2" s="407" t="s">
        <v>356</v>
      </c>
      <c r="E2" s="408" t="s">
        <v>357</v>
      </c>
      <c r="F2" s="409" t="s">
        <v>358</v>
      </c>
      <c r="G2" s="410" t="s">
        <v>359</v>
      </c>
      <c r="H2" s="411" t="s">
        <v>360</v>
      </c>
      <c r="I2" s="412"/>
      <c r="J2" s="581" t="s">
        <v>361</v>
      </c>
      <c r="K2" s="582"/>
      <c r="L2" s="412"/>
      <c r="M2" s="413" t="s">
        <v>362</v>
      </c>
      <c r="N2" s="414"/>
      <c r="O2" s="414"/>
      <c r="P2" s="412"/>
      <c r="Q2" s="414"/>
      <c r="R2" s="414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</row>
    <row r="3" spans="1:36" s="326" customFormat="1" ht="15" customHeight="1">
      <c r="A3" s="433" t="s">
        <v>363</v>
      </c>
      <c r="B3" s="114" t="s">
        <v>364</v>
      </c>
      <c r="C3" s="442">
        <v>21644802000104</v>
      </c>
      <c r="D3" s="135" t="s">
        <v>365</v>
      </c>
      <c r="E3" s="121">
        <v>22077.79</v>
      </c>
      <c r="F3" s="350">
        <v>46305</v>
      </c>
      <c r="G3" s="350" t="s">
        <v>366</v>
      </c>
      <c r="H3" s="135"/>
      <c r="J3" s="563"/>
      <c r="K3" s="564"/>
      <c r="M3" s="224" t="s">
        <v>367</v>
      </c>
      <c r="N3" s="320"/>
      <c r="O3" s="320"/>
      <c r="Q3" s="328"/>
      <c r="R3" s="328"/>
    </row>
    <row r="4" spans="1:36" s="326" customFormat="1" ht="15" hidden="1" customHeight="1">
      <c r="A4" s="433" t="s">
        <v>368</v>
      </c>
      <c r="B4" s="114" t="s">
        <v>369</v>
      </c>
      <c r="C4" s="442">
        <v>22703335000109</v>
      </c>
      <c r="D4" s="135"/>
      <c r="E4" s="121">
        <v>5000</v>
      </c>
      <c r="F4" s="350">
        <v>46298</v>
      </c>
      <c r="G4" s="350">
        <v>46317</v>
      </c>
      <c r="H4" s="498"/>
      <c r="J4" s="563"/>
      <c r="K4" s="564"/>
      <c r="M4" s="560" t="s">
        <v>370</v>
      </c>
      <c r="N4" s="320"/>
      <c r="O4" s="320"/>
      <c r="Q4" s="328"/>
      <c r="R4" s="328"/>
    </row>
    <row r="5" spans="1:36" s="326" customFormat="1" ht="15" hidden="1" customHeight="1">
      <c r="A5" s="433" t="s">
        <v>368</v>
      </c>
      <c r="B5" s="114" t="s">
        <v>371</v>
      </c>
      <c r="C5" s="442">
        <v>15996153876</v>
      </c>
      <c r="D5" s="135" t="s">
        <v>372</v>
      </c>
      <c r="E5" s="121">
        <v>6000</v>
      </c>
      <c r="F5" s="350">
        <v>46304</v>
      </c>
      <c r="G5" s="350">
        <v>46317</v>
      </c>
      <c r="H5" s="498"/>
      <c r="J5" s="563"/>
      <c r="K5" s="564"/>
      <c r="L5" s="522"/>
      <c r="M5" s="560" t="s">
        <v>22</v>
      </c>
      <c r="N5" s="320"/>
      <c r="O5" s="320"/>
      <c r="Q5" s="328"/>
    </row>
    <row r="6" spans="1:36" s="326" customFormat="1" ht="15" hidden="1" customHeight="1">
      <c r="A6" s="433" t="s">
        <v>373</v>
      </c>
      <c r="B6" s="114" t="s">
        <v>374</v>
      </c>
      <c r="C6" s="442">
        <v>7.5691409290138298E+46</v>
      </c>
      <c r="D6" s="135" t="s">
        <v>375</v>
      </c>
      <c r="E6" s="121">
        <v>4394</v>
      </c>
      <c r="F6" s="350">
        <v>46265</v>
      </c>
      <c r="G6" s="478">
        <v>46317</v>
      </c>
      <c r="H6" s="119"/>
      <c r="J6" s="563"/>
      <c r="K6" s="564"/>
      <c r="L6" s="523"/>
      <c r="M6" s="108"/>
      <c r="N6" s="320"/>
      <c r="O6" s="320"/>
      <c r="Q6" s="328"/>
    </row>
    <row r="7" spans="1:36" s="58" customFormat="1" ht="15" hidden="1" customHeight="1">
      <c r="A7" s="433" t="s">
        <v>373</v>
      </c>
      <c r="B7" s="114" t="s">
        <v>376</v>
      </c>
      <c r="C7" s="114"/>
      <c r="D7" s="135"/>
      <c r="E7" s="121">
        <v>88</v>
      </c>
      <c r="F7" s="478">
        <v>46301</v>
      </c>
      <c r="G7" s="350">
        <v>46317</v>
      </c>
      <c r="H7" s="350" t="s">
        <v>19</v>
      </c>
      <c r="I7" s="70"/>
      <c r="J7" s="563"/>
      <c r="K7" s="564"/>
      <c r="L7" s="427"/>
      <c r="M7" s="560" t="s">
        <v>377</v>
      </c>
      <c r="N7" s="403"/>
      <c r="O7" s="403"/>
      <c r="P7" s="70"/>
      <c r="Q7" s="404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</row>
    <row r="8" spans="1:36" s="326" customFormat="1" ht="15" customHeight="1">
      <c r="A8" s="433" t="s">
        <v>373</v>
      </c>
      <c r="B8" s="437" t="s">
        <v>378</v>
      </c>
      <c r="C8" s="443"/>
      <c r="D8" s="114"/>
      <c r="E8" s="110">
        <v>100</v>
      </c>
      <c r="F8" s="478">
        <v>46310</v>
      </c>
      <c r="G8" s="350" t="s">
        <v>366</v>
      </c>
      <c r="H8" s="119"/>
      <c r="J8" s="563"/>
      <c r="K8" s="564"/>
      <c r="L8" s="122"/>
      <c r="M8" s="560"/>
      <c r="N8" s="320"/>
      <c r="O8" s="320"/>
      <c r="Q8" s="328"/>
    </row>
    <row r="9" spans="1:36" s="326" customFormat="1" ht="15" customHeight="1">
      <c r="A9" s="433" t="s">
        <v>373</v>
      </c>
      <c r="B9" s="445" t="s">
        <v>379</v>
      </c>
      <c r="C9" s="444"/>
      <c r="D9" s="446"/>
      <c r="E9" s="110">
        <v>410</v>
      </c>
      <c r="F9" s="478">
        <v>46310</v>
      </c>
      <c r="G9" s="350" t="s">
        <v>366</v>
      </c>
      <c r="H9" s="119"/>
      <c r="J9" s="563"/>
      <c r="K9" s="564"/>
      <c r="L9" s="122"/>
      <c r="M9" s="560"/>
      <c r="N9" s="320"/>
      <c r="O9" s="320"/>
      <c r="Q9" s="328"/>
    </row>
    <row r="10" spans="1:36" s="326" customFormat="1" ht="15" hidden="1" customHeight="1">
      <c r="A10" s="433" t="s">
        <v>380</v>
      </c>
      <c r="B10" s="256" t="s">
        <v>381</v>
      </c>
      <c r="C10" s="524" t="s">
        <v>382</v>
      </c>
      <c r="D10" s="325" t="s">
        <v>383</v>
      </c>
      <c r="E10" s="121">
        <v>7057.11</v>
      </c>
      <c r="F10" s="350">
        <v>46305</v>
      </c>
      <c r="G10" s="350">
        <v>46317</v>
      </c>
      <c r="H10" s="135"/>
      <c r="J10" s="563"/>
      <c r="K10" s="564"/>
      <c r="L10" s="122"/>
      <c r="M10" s="560" t="s">
        <v>384</v>
      </c>
      <c r="N10" s="320"/>
      <c r="O10" s="320"/>
      <c r="Q10" s="328"/>
    </row>
    <row r="11" spans="1:36" s="326" customFormat="1" ht="15" hidden="1" customHeight="1">
      <c r="A11" s="433" t="s">
        <v>380</v>
      </c>
      <c r="B11" s="256" t="s">
        <v>385</v>
      </c>
      <c r="C11" s="525" t="s">
        <v>386</v>
      </c>
      <c r="D11" s="325" t="s">
        <v>372</v>
      </c>
      <c r="E11" s="121">
        <v>10455.11</v>
      </c>
      <c r="F11" s="350">
        <v>46310</v>
      </c>
      <c r="G11" s="350">
        <v>46317</v>
      </c>
      <c r="H11" s="119"/>
      <c r="J11" s="563"/>
      <c r="K11" s="564"/>
      <c r="L11" s="122"/>
      <c r="M11" s="560" t="s">
        <v>387</v>
      </c>
      <c r="N11" s="320"/>
      <c r="O11" s="320"/>
      <c r="Q11" s="328"/>
    </row>
    <row r="12" spans="1:36" s="326" customFormat="1" ht="15" customHeight="1">
      <c r="A12" s="433" t="s">
        <v>380</v>
      </c>
      <c r="B12" s="256" t="s">
        <v>388</v>
      </c>
      <c r="C12" s="444"/>
      <c r="D12" s="325"/>
      <c r="E12" s="121">
        <v>2506.33</v>
      </c>
      <c r="F12" s="350">
        <v>46310</v>
      </c>
      <c r="G12" s="350" t="s">
        <v>366</v>
      </c>
      <c r="H12" s="498"/>
      <c r="J12" s="563"/>
      <c r="K12" s="564"/>
      <c r="L12" s="122"/>
      <c r="M12" s="526" t="s">
        <v>49</v>
      </c>
      <c r="N12" s="320"/>
      <c r="O12" s="320"/>
      <c r="Q12" s="328"/>
    </row>
    <row r="13" spans="1:36" s="326" customFormat="1" ht="15" hidden="1" customHeight="1">
      <c r="A13" s="433" t="s">
        <v>389</v>
      </c>
      <c r="B13" s="114" t="s">
        <v>390</v>
      </c>
      <c r="C13" s="527" t="s">
        <v>391</v>
      </c>
      <c r="D13" s="135"/>
      <c r="E13" s="121">
        <f>2700/2</f>
        <v>1350</v>
      </c>
      <c r="F13" s="478">
        <v>46301</v>
      </c>
      <c r="G13" s="350">
        <v>46317</v>
      </c>
      <c r="H13" s="125"/>
      <c r="J13" s="563"/>
      <c r="K13" s="564"/>
      <c r="L13" s="122"/>
      <c r="M13" s="126" t="s">
        <v>52</v>
      </c>
      <c r="N13" s="320"/>
      <c r="O13" s="320"/>
      <c r="Q13" s="328"/>
    </row>
    <row r="14" spans="1:36" s="528" customFormat="1" ht="15" hidden="1" customHeight="1">
      <c r="A14" s="433" t="s">
        <v>389</v>
      </c>
      <c r="B14" s="114" t="s">
        <v>392</v>
      </c>
      <c r="C14" s="442">
        <v>18039742000196</v>
      </c>
      <c r="D14" s="135"/>
      <c r="E14" s="121">
        <f>18000*1.5%</f>
        <v>270</v>
      </c>
      <c r="F14" s="350">
        <v>46316</v>
      </c>
      <c r="G14" s="350">
        <v>46317</v>
      </c>
      <c r="H14" s="119"/>
      <c r="J14" s="563"/>
      <c r="K14" s="564"/>
      <c r="L14" s="182"/>
      <c r="M14" s="486" t="s">
        <v>54</v>
      </c>
      <c r="N14" s="315"/>
      <c r="O14" s="315"/>
      <c r="Q14" s="529"/>
    </row>
    <row r="15" spans="1:36" s="528" customFormat="1" ht="15" hidden="1" customHeight="1">
      <c r="A15" s="433" t="s">
        <v>389</v>
      </c>
      <c r="B15" s="114" t="s">
        <v>393</v>
      </c>
      <c r="C15" s="442">
        <v>18039742000196</v>
      </c>
      <c r="D15" s="135"/>
      <c r="E15" s="121">
        <f>25000*1.5%</f>
        <v>375</v>
      </c>
      <c r="F15" s="350">
        <v>46316</v>
      </c>
      <c r="G15" s="350">
        <v>46317</v>
      </c>
      <c r="H15" s="119"/>
      <c r="J15" s="563" t="s">
        <v>355</v>
      </c>
      <c r="K15" s="564"/>
      <c r="L15" s="182"/>
      <c r="M15" s="436" t="s">
        <v>56</v>
      </c>
      <c r="N15" s="315"/>
      <c r="O15" s="315"/>
      <c r="Q15" s="529"/>
    </row>
    <row r="16" spans="1:36" s="528" customFormat="1" ht="15" hidden="1" customHeight="1">
      <c r="A16" s="433" t="s">
        <v>389</v>
      </c>
      <c r="B16" s="114" t="s">
        <v>394</v>
      </c>
      <c r="C16" s="442"/>
      <c r="D16" s="135"/>
      <c r="E16" s="121">
        <f>18000*1.6%</f>
        <v>288</v>
      </c>
      <c r="F16" s="350">
        <v>46316</v>
      </c>
      <c r="G16" s="350">
        <v>46317</v>
      </c>
      <c r="H16" s="119"/>
      <c r="J16" s="563" t="s">
        <v>395</v>
      </c>
      <c r="K16" s="564"/>
      <c r="L16" s="182"/>
      <c r="M16" s="436"/>
      <c r="N16" s="315"/>
      <c r="O16" s="315"/>
      <c r="Q16" s="529"/>
    </row>
    <row r="17" spans="1:36" s="528" customFormat="1" ht="15" hidden="1" customHeight="1">
      <c r="A17" s="433" t="s">
        <v>389</v>
      </c>
      <c r="B17" s="114" t="s">
        <v>396</v>
      </c>
      <c r="C17" s="442">
        <v>1000</v>
      </c>
      <c r="D17" s="135"/>
      <c r="E17" s="121">
        <f>25000*1.6%</f>
        <v>400</v>
      </c>
      <c r="F17" s="350">
        <v>46316</v>
      </c>
      <c r="G17" s="350">
        <v>46317</v>
      </c>
      <c r="H17" s="119"/>
      <c r="J17" s="563"/>
      <c r="K17" s="564"/>
      <c r="L17" s="182"/>
      <c r="M17" s="486" t="s">
        <v>397</v>
      </c>
      <c r="N17" s="315"/>
      <c r="O17" s="315"/>
      <c r="Q17" s="529"/>
    </row>
    <row r="18" spans="1:36" s="418" customFormat="1" ht="15" hidden="1" customHeight="1">
      <c r="A18" s="433" t="s">
        <v>398</v>
      </c>
      <c r="B18" s="114" t="s">
        <v>399</v>
      </c>
      <c r="C18" s="114"/>
      <c r="D18" s="479"/>
      <c r="E18" s="121">
        <v>5703.02</v>
      </c>
      <c r="F18" s="350">
        <v>46265</v>
      </c>
      <c r="G18" s="478">
        <v>46317</v>
      </c>
      <c r="H18" s="173" t="s">
        <v>19</v>
      </c>
      <c r="I18" s="77"/>
      <c r="J18" s="563"/>
      <c r="K18" s="564"/>
      <c r="L18" s="435"/>
      <c r="M18" s="436"/>
      <c r="N18" s="416"/>
      <c r="O18" s="416"/>
      <c r="P18" s="77"/>
      <c r="Q18" s="41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</row>
    <row r="19" spans="1:36" s="418" customFormat="1" ht="15" hidden="1" customHeight="1">
      <c r="A19" s="433" t="s">
        <v>398</v>
      </c>
      <c r="B19" s="114" t="s">
        <v>400</v>
      </c>
      <c r="C19" s="114"/>
      <c r="D19" s="479"/>
      <c r="E19" s="121">
        <v>853.6</v>
      </c>
      <c r="F19" s="350">
        <v>46270</v>
      </c>
      <c r="G19" s="478">
        <v>46317</v>
      </c>
      <c r="H19" s="173" t="s">
        <v>19</v>
      </c>
      <c r="I19" s="77"/>
      <c r="J19" s="563"/>
      <c r="K19" s="564"/>
      <c r="L19" s="435"/>
      <c r="M19" s="436"/>
      <c r="N19" s="416"/>
      <c r="O19" s="416"/>
      <c r="P19" s="77"/>
      <c r="Q19" s="41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</row>
    <row r="20" spans="1:36" s="418" customFormat="1" ht="15" hidden="1" customHeight="1">
      <c r="A20" s="433" t="s">
        <v>398</v>
      </c>
      <c r="B20" s="114" t="s">
        <v>401</v>
      </c>
      <c r="C20" s="114"/>
      <c r="D20" s="135"/>
      <c r="E20" s="121">
        <v>273.33</v>
      </c>
      <c r="F20" s="350">
        <v>46293</v>
      </c>
      <c r="G20" s="350">
        <v>46317</v>
      </c>
      <c r="H20" s="119" t="s">
        <v>19</v>
      </c>
      <c r="I20" s="77"/>
      <c r="J20" s="563"/>
      <c r="K20" s="564"/>
      <c r="L20" s="435"/>
      <c r="M20" s="436"/>
      <c r="N20" s="416"/>
      <c r="O20" s="416"/>
      <c r="P20" s="77"/>
      <c r="Q20" s="41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</row>
    <row r="21" spans="1:36" s="528" customFormat="1" ht="15" hidden="1" customHeight="1">
      <c r="A21" s="433" t="s">
        <v>398</v>
      </c>
      <c r="B21" s="114" t="s">
        <v>402</v>
      </c>
      <c r="C21" s="530" t="s">
        <v>403</v>
      </c>
      <c r="D21" s="135"/>
      <c r="E21" s="121">
        <v>1668.32</v>
      </c>
      <c r="F21" s="350">
        <v>46295</v>
      </c>
      <c r="G21" s="478">
        <v>46317</v>
      </c>
      <c r="H21" s="498"/>
      <c r="J21" s="563"/>
      <c r="K21" s="564"/>
      <c r="L21" s="182"/>
      <c r="M21" s="436" t="s">
        <v>404</v>
      </c>
      <c r="N21" s="315"/>
      <c r="O21" s="315"/>
      <c r="Q21" s="529"/>
    </row>
    <row r="22" spans="1:36" s="418" customFormat="1" ht="15" hidden="1" customHeight="1">
      <c r="A22" s="433" t="s">
        <v>398</v>
      </c>
      <c r="B22" s="114" t="s">
        <v>405</v>
      </c>
      <c r="C22" s="114"/>
      <c r="D22" s="135"/>
      <c r="E22" s="121">
        <v>295.94</v>
      </c>
      <c r="F22" s="350">
        <v>46295</v>
      </c>
      <c r="G22" s="350">
        <v>46317</v>
      </c>
      <c r="H22" s="119" t="s">
        <v>19</v>
      </c>
      <c r="I22" s="77"/>
      <c r="J22" s="565"/>
      <c r="K22" s="566"/>
      <c r="L22" s="435"/>
      <c r="M22" s="436"/>
      <c r="N22" s="416"/>
      <c r="O22" s="416"/>
      <c r="P22" s="77"/>
      <c r="Q22" s="41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</row>
    <row r="23" spans="1:36" s="326" customFormat="1" ht="15" customHeight="1">
      <c r="A23" s="433" t="s">
        <v>398</v>
      </c>
      <c r="B23" s="114" t="s">
        <v>406</v>
      </c>
      <c r="C23" s="442"/>
      <c r="D23" s="135"/>
      <c r="E23" s="121">
        <v>4473.33</v>
      </c>
      <c r="F23" s="350">
        <v>46296</v>
      </c>
      <c r="G23" s="478" t="s">
        <v>366</v>
      </c>
      <c r="H23" s="119"/>
      <c r="J23" s="563"/>
      <c r="K23" s="564"/>
      <c r="L23" s="122"/>
      <c r="M23" s="480" t="s">
        <v>76</v>
      </c>
      <c r="N23" s="320"/>
      <c r="O23" s="320"/>
      <c r="Q23" s="328"/>
    </row>
    <row r="24" spans="1:36" s="326" customFormat="1" ht="15" hidden="1" customHeight="1">
      <c r="A24" s="433" t="s">
        <v>398</v>
      </c>
      <c r="B24" s="114" t="s">
        <v>407</v>
      </c>
      <c r="C24" s="442">
        <v>35031469000172</v>
      </c>
      <c r="D24" s="135" t="s">
        <v>408</v>
      </c>
      <c r="E24" s="121">
        <f>1020-93</f>
        <v>927</v>
      </c>
      <c r="F24" s="350">
        <v>46302</v>
      </c>
      <c r="G24" s="350">
        <v>46317</v>
      </c>
      <c r="H24" s="173"/>
      <c r="J24" s="563"/>
      <c r="K24" s="564"/>
      <c r="L24" s="122"/>
      <c r="M24" s="481" t="s">
        <v>82</v>
      </c>
      <c r="N24" s="320"/>
      <c r="O24" s="320"/>
      <c r="Q24" s="328"/>
    </row>
    <row r="25" spans="1:36" s="326" customFormat="1" ht="15" hidden="1" customHeight="1">
      <c r="A25" s="433" t="s">
        <v>398</v>
      </c>
      <c r="B25" s="114" t="s">
        <v>409</v>
      </c>
      <c r="C25" s="442">
        <v>35031469000172</v>
      </c>
      <c r="D25" s="135" t="s">
        <v>410</v>
      </c>
      <c r="E25" s="121">
        <v>1134.75</v>
      </c>
      <c r="F25" s="350">
        <v>46302</v>
      </c>
      <c r="G25" s="350">
        <v>46317</v>
      </c>
      <c r="H25" s="173"/>
      <c r="J25" s="563"/>
      <c r="K25" s="564"/>
      <c r="L25" s="122"/>
      <c r="M25" s="480" t="s">
        <v>84</v>
      </c>
      <c r="N25" s="320"/>
      <c r="O25" s="320"/>
      <c r="Q25" s="328"/>
    </row>
    <row r="26" spans="1:36" s="58" customFormat="1" ht="15" hidden="1" customHeight="1">
      <c r="A26" s="433" t="s">
        <v>398</v>
      </c>
      <c r="B26" s="114" t="s">
        <v>411</v>
      </c>
      <c r="C26" s="114"/>
      <c r="D26" s="135"/>
      <c r="E26" s="121">
        <v>1335</v>
      </c>
      <c r="F26" s="350">
        <v>46305</v>
      </c>
      <c r="G26" s="350">
        <v>46317</v>
      </c>
      <c r="H26" s="350" t="s">
        <v>19</v>
      </c>
      <c r="I26" s="70"/>
      <c r="J26" s="563"/>
      <c r="K26" s="564"/>
      <c r="L26" s="427"/>
      <c r="M26" s="224" t="s">
        <v>87</v>
      </c>
      <c r="N26" s="403"/>
      <c r="O26" s="403"/>
      <c r="P26" s="70"/>
      <c r="Q26" s="404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</row>
    <row r="27" spans="1:36" s="326" customFormat="1" ht="15" hidden="1" customHeight="1">
      <c r="A27" s="433" t="s">
        <v>398</v>
      </c>
      <c r="B27" s="114" t="s">
        <v>412</v>
      </c>
      <c r="C27" s="442" t="s">
        <v>413</v>
      </c>
      <c r="D27" s="135"/>
      <c r="E27" s="121">
        <v>160</v>
      </c>
      <c r="F27" s="350">
        <v>46308</v>
      </c>
      <c r="G27" s="350">
        <v>46317</v>
      </c>
      <c r="H27" s="498"/>
      <c r="J27" s="563" t="s">
        <v>355</v>
      </c>
      <c r="K27" s="564"/>
      <c r="L27" s="122"/>
      <c r="M27" s="224" t="s">
        <v>99</v>
      </c>
      <c r="N27" s="320"/>
      <c r="O27" s="320"/>
      <c r="Q27" s="328"/>
    </row>
    <row r="28" spans="1:36" s="58" customFormat="1" ht="15" hidden="1" customHeight="1">
      <c r="A28" s="433" t="s">
        <v>398</v>
      </c>
      <c r="B28" s="114" t="s">
        <v>414</v>
      </c>
      <c r="C28" s="114"/>
      <c r="D28" s="135"/>
      <c r="E28" s="121">
        <v>386.2</v>
      </c>
      <c r="F28" s="350">
        <v>46310</v>
      </c>
      <c r="G28" s="350">
        <v>46317</v>
      </c>
      <c r="H28" s="119" t="s">
        <v>19</v>
      </c>
      <c r="I28" s="70"/>
      <c r="J28" s="563"/>
      <c r="K28" s="564"/>
      <c r="L28" s="427"/>
      <c r="M28" s="224"/>
      <c r="N28" s="403"/>
      <c r="O28" s="403"/>
      <c r="P28" s="70"/>
      <c r="Q28" s="404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</row>
    <row r="29" spans="1:36" s="326" customFormat="1" ht="15" hidden="1" customHeight="1">
      <c r="A29" s="433" t="s">
        <v>398</v>
      </c>
      <c r="B29" s="114" t="s">
        <v>415</v>
      </c>
      <c r="C29" s="442" t="s">
        <v>413</v>
      </c>
      <c r="D29" s="135"/>
      <c r="E29" s="121">
        <v>222.91</v>
      </c>
      <c r="F29" s="350">
        <v>46308</v>
      </c>
      <c r="G29" s="350">
        <v>46317</v>
      </c>
      <c r="H29" s="498"/>
      <c r="J29" s="563"/>
      <c r="K29" s="564"/>
      <c r="L29" s="122"/>
      <c r="M29" s="224" t="s">
        <v>101</v>
      </c>
      <c r="N29" s="320"/>
      <c r="O29" s="320"/>
      <c r="Q29" s="328"/>
    </row>
    <row r="30" spans="1:36" s="326" customFormat="1" ht="15" hidden="1" customHeight="1">
      <c r="A30" s="433" t="s">
        <v>398</v>
      </c>
      <c r="B30" s="114" t="s">
        <v>416</v>
      </c>
      <c r="C30" s="442" t="s">
        <v>413</v>
      </c>
      <c r="D30" s="135"/>
      <c r="E30" s="121">
        <v>28</v>
      </c>
      <c r="F30" s="350">
        <v>46311</v>
      </c>
      <c r="G30" s="350">
        <v>46317</v>
      </c>
      <c r="H30" s="498"/>
      <c r="J30" s="563"/>
      <c r="K30" s="564"/>
      <c r="L30" s="122"/>
      <c r="M30" s="526" t="s">
        <v>104</v>
      </c>
      <c r="N30" s="320"/>
      <c r="O30" s="320"/>
      <c r="Q30" s="328"/>
    </row>
    <row r="31" spans="1:36" s="326" customFormat="1" ht="15" hidden="1" customHeight="1">
      <c r="A31" s="433" t="s">
        <v>398</v>
      </c>
      <c r="B31" s="114" t="s">
        <v>417</v>
      </c>
      <c r="C31" s="442" t="s">
        <v>413</v>
      </c>
      <c r="D31" s="135"/>
      <c r="E31" s="121">
        <v>799.99</v>
      </c>
      <c r="F31" s="350">
        <v>46314</v>
      </c>
      <c r="G31" s="350">
        <v>46317</v>
      </c>
      <c r="H31" s="498"/>
      <c r="J31" s="563"/>
      <c r="K31" s="564"/>
      <c r="L31" s="122"/>
      <c r="M31" s="224" t="s">
        <v>106</v>
      </c>
      <c r="N31" s="320"/>
      <c r="O31" s="320"/>
      <c r="Q31" s="328"/>
    </row>
    <row r="32" spans="1:36" s="326" customFormat="1" ht="15" hidden="1" customHeight="1">
      <c r="A32" s="433" t="s">
        <v>398</v>
      </c>
      <c r="B32" s="114" t="s">
        <v>418</v>
      </c>
      <c r="C32" s="442" t="s">
        <v>413</v>
      </c>
      <c r="D32" s="135"/>
      <c r="E32" s="121">
        <v>182</v>
      </c>
      <c r="F32" s="350">
        <v>46314</v>
      </c>
      <c r="G32" s="350">
        <v>46317</v>
      </c>
      <c r="H32" s="498"/>
      <c r="J32" s="563"/>
      <c r="K32" s="564"/>
      <c r="L32" s="122"/>
      <c r="M32" s="108"/>
      <c r="N32" s="320"/>
      <c r="O32" s="320"/>
      <c r="Q32" s="328"/>
    </row>
    <row r="33" spans="1:36" s="326" customFormat="1" ht="15" hidden="1" customHeight="1">
      <c r="A33" s="433" t="s">
        <v>398</v>
      </c>
      <c r="B33" s="114" t="s">
        <v>419</v>
      </c>
      <c r="C33" s="442" t="s">
        <v>413</v>
      </c>
      <c r="D33" s="135"/>
      <c r="E33" s="121">
        <v>238.7</v>
      </c>
      <c r="F33" s="350">
        <v>46315</v>
      </c>
      <c r="G33" s="350">
        <v>46317</v>
      </c>
      <c r="H33" s="498"/>
      <c r="J33" s="563"/>
      <c r="K33" s="564"/>
      <c r="L33" s="122"/>
      <c r="M33" s="108"/>
      <c r="N33" s="320"/>
      <c r="O33" s="320"/>
      <c r="Q33" s="328"/>
    </row>
    <row r="34" spans="1:36" s="326" customFormat="1" ht="15" customHeight="1">
      <c r="A34" s="433" t="s">
        <v>398</v>
      </c>
      <c r="B34" s="114" t="s">
        <v>420</v>
      </c>
      <c r="C34" s="442" t="s">
        <v>413</v>
      </c>
      <c r="D34" s="135"/>
      <c r="E34" s="121">
        <v>238.69</v>
      </c>
      <c r="F34" s="350">
        <v>46316</v>
      </c>
      <c r="G34" s="350" t="s">
        <v>366</v>
      </c>
      <c r="H34" s="498"/>
      <c r="J34" s="563"/>
      <c r="K34" s="564"/>
      <c r="L34" s="122"/>
      <c r="M34" s="526" t="s">
        <v>112</v>
      </c>
      <c r="N34" s="320"/>
      <c r="O34" s="320"/>
      <c r="Q34" s="328"/>
    </row>
    <row r="35" spans="1:36" s="58" customFormat="1" ht="15" hidden="1" customHeight="1">
      <c r="A35" s="433" t="s">
        <v>398</v>
      </c>
      <c r="B35" s="114" t="s">
        <v>421</v>
      </c>
      <c r="C35" s="114"/>
      <c r="D35" s="135"/>
      <c r="E35" s="121">
        <v>2795</v>
      </c>
      <c r="F35" s="350">
        <v>46305</v>
      </c>
      <c r="G35" s="350">
        <v>46317</v>
      </c>
      <c r="H35" s="350" t="s">
        <v>19</v>
      </c>
      <c r="I35" s="70"/>
      <c r="J35" s="563"/>
      <c r="K35" s="564"/>
      <c r="L35" s="427"/>
      <c r="M35" s="224" t="s">
        <v>116</v>
      </c>
      <c r="N35" s="403"/>
      <c r="O35" s="403"/>
      <c r="P35" s="70"/>
      <c r="Q35" s="404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</row>
    <row r="36" spans="1:36" s="326" customFormat="1" ht="15" hidden="1" customHeight="1">
      <c r="A36" s="433" t="s">
        <v>422</v>
      </c>
      <c r="B36" s="114" t="s">
        <v>423</v>
      </c>
      <c r="C36" s="442">
        <v>42993214000156</v>
      </c>
      <c r="D36" s="135" t="s">
        <v>424</v>
      </c>
      <c r="E36" s="121">
        <f>4670/3</f>
        <v>1556.6666666666667</v>
      </c>
      <c r="F36" s="350">
        <v>46265</v>
      </c>
      <c r="G36" s="478">
        <v>46317</v>
      </c>
      <c r="H36" s="350"/>
      <c r="J36" s="563"/>
      <c r="K36" s="564"/>
      <c r="L36" s="122"/>
      <c r="M36" s="560"/>
      <c r="N36" s="320"/>
      <c r="O36" s="320"/>
      <c r="Q36" s="328"/>
    </row>
    <row r="37" spans="1:36" s="326" customFormat="1" ht="15" hidden="1" customHeight="1">
      <c r="A37" s="433" t="s">
        <v>422</v>
      </c>
      <c r="B37" s="114" t="s">
        <v>423</v>
      </c>
      <c r="C37" s="442">
        <v>42993214000156</v>
      </c>
      <c r="D37" s="135" t="s">
        <v>424</v>
      </c>
      <c r="E37" s="121">
        <f>4670/3</f>
        <v>1556.6666666666667</v>
      </c>
      <c r="F37" s="350">
        <v>46286</v>
      </c>
      <c r="G37" s="478">
        <v>46317</v>
      </c>
      <c r="H37" s="350"/>
      <c r="J37" s="563"/>
      <c r="K37" s="564"/>
      <c r="L37" s="122"/>
      <c r="M37" s="526"/>
      <c r="N37" s="320"/>
      <c r="O37" s="320"/>
      <c r="Q37" s="328"/>
    </row>
    <row r="38" spans="1:36" s="326" customFormat="1" ht="15" hidden="1" customHeight="1">
      <c r="A38" s="433" t="s">
        <v>422</v>
      </c>
      <c r="B38" s="114" t="s">
        <v>425</v>
      </c>
      <c r="C38" s="442">
        <v>42993214000156</v>
      </c>
      <c r="D38" s="135" t="s">
        <v>426</v>
      </c>
      <c r="E38" s="121">
        <v>1126.51</v>
      </c>
      <c r="F38" s="350">
        <v>46304</v>
      </c>
      <c r="G38" s="478">
        <v>46317</v>
      </c>
      <c r="H38" s="350"/>
      <c r="J38" s="563"/>
      <c r="K38" s="564"/>
      <c r="L38" s="122"/>
      <c r="M38" s="126"/>
      <c r="N38" s="320"/>
      <c r="O38" s="320"/>
      <c r="Q38" s="328"/>
    </row>
    <row r="39" spans="1:36" s="326" customFormat="1" ht="15" hidden="1" customHeight="1">
      <c r="A39" s="433" t="s">
        <v>422</v>
      </c>
      <c r="B39" s="114" t="s">
        <v>423</v>
      </c>
      <c r="C39" s="442">
        <v>42993214000156</v>
      </c>
      <c r="D39" s="135" t="s">
        <v>424</v>
      </c>
      <c r="E39" s="121">
        <f>4670/3</f>
        <v>1556.6666666666667</v>
      </c>
      <c r="F39" s="350">
        <v>46304</v>
      </c>
      <c r="G39" s="478">
        <v>46317</v>
      </c>
      <c r="H39" s="350"/>
      <c r="J39" s="563"/>
      <c r="K39" s="564"/>
      <c r="L39" s="122"/>
      <c r="M39" s="126"/>
      <c r="N39" s="320"/>
      <c r="O39" s="320"/>
      <c r="Q39" s="328"/>
    </row>
    <row r="40" spans="1:36" s="326" customFormat="1" ht="15" hidden="1" customHeight="1">
      <c r="A40" s="433" t="s">
        <v>427</v>
      </c>
      <c r="B40" s="114" t="s">
        <v>428</v>
      </c>
      <c r="C40" s="442" t="s">
        <v>413</v>
      </c>
      <c r="D40" s="135"/>
      <c r="E40" s="121">
        <v>1713.95</v>
      </c>
      <c r="F40" s="350">
        <v>46307</v>
      </c>
      <c r="G40" s="350">
        <v>46317</v>
      </c>
      <c r="H40" s="350"/>
      <c r="J40" s="563"/>
      <c r="K40" s="564"/>
      <c r="L40" s="122"/>
      <c r="M40" s="126"/>
      <c r="N40" s="320"/>
      <c r="O40" s="320"/>
      <c r="Q40" s="328"/>
    </row>
    <row r="41" spans="1:36" s="326" customFormat="1" ht="15" hidden="1" customHeight="1">
      <c r="A41" s="433" t="s">
        <v>427</v>
      </c>
      <c r="B41" s="114" t="s">
        <v>429</v>
      </c>
      <c r="C41" s="530" t="s">
        <v>430</v>
      </c>
      <c r="D41" s="135"/>
      <c r="E41" s="121">
        <v>126.69</v>
      </c>
      <c r="F41" s="350">
        <v>46301</v>
      </c>
      <c r="G41" s="350">
        <v>46317</v>
      </c>
      <c r="H41" s="531"/>
      <c r="J41" s="532"/>
      <c r="K41" s="533"/>
      <c r="L41" s="122"/>
      <c r="M41" s="126"/>
      <c r="N41" s="320"/>
      <c r="O41" s="320"/>
      <c r="Q41" s="328"/>
    </row>
    <row r="42" spans="1:36" s="326" customFormat="1" ht="15" hidden="1" customHeight="1">
      <c r="A42" s="433" t="s">
        <v>431</v>
      </c>
      <c r="B42" s="114" t="s">
        <v>432</v>
      </c>
      <c r="C42" s="442" t="s">
        <v>413</v>
      </c>
      <c r="D42" s="135"/>
      <c r="E42" s="121">
        <v>206.66</v>
      </c>
      <c r="F42" s="350">
        <v>46282</v>
      </c>
      <c r="G42" s="478">
        <v>46317</v>
      </c>
      <c r="H42" s="119"/>
      <c r="J42" s="563"/>
      <c r="K42" s="564"/>
      <c r="L42" s="122"/>
      <c r="M42" s="126"/>
      <c r="N42" s="320"/>
      <c r="O42" s="320"/>
      <c r="Q42" s="328"/>
    </row>
    <row r="43" spans="1:36" s="58" customFormat="1" ht="15" customHeight="1">
      <c r="A43" s="433" t="s">
        <v>433</v>
      </c>
      <c r="B43" s="114" t="s">
        <v>434</v>
      </c>
      <c r="C43" s="442" t="s">
        <v>435</v>
      </c>
      <c r="D43" s="135"/>
      <c r="E43" s="121">
        <v>490.23</v>
      </c>
      <c r="F43" s="350">
        <v>46317</v>
      </c>
      <c r="G43" s="478" t="s">
        <v>366</v>
      </c>
      <c r="H43" s="521"/>
      <c r="I43" s="70"/>
      <c r="J43" s="532"/>
      <c r="K43" s="533"/>
      <c r="L43" s="427"/>
      <c r="M43" s="126"/>
      <c r="N43" s="403"/>
      <c r="O43" s="403"/>
      <c r="P43" s="70"/>
      <c r="Q43" s="404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 spans="1:36" s="58" customFormat="1" ht="15" hidden="1" customHeight="1">
      <c r="A44" s="433" t="s">
        <v>436</v>
      </c>
      <c r="B44" s="114" t="s">
        <v>437</v>
      </c>
      <c r="C44" s="442">
        <v>7259632631</v>
      </c>
      <c r="D44" s="119"/>
      <c r="E44" s="121">
        <v>162</v>
      </c>
      <c r="F44" s="125">
        <v>46317</v>
      </c>
      <c r="G44" s="350">
        <v>46317</v>
      </c>
      <c r="H44" s="125"/>
      <c r="I44" s="70"/>
      <c r="J44" s="563"/>
      <c r="K44" s="564"/>
      <c r="L44" s="427"/>
      <c r="M44" s="224" t="s">
        <v>125</v>
      </c>
      <c r="N44" s="403"/>
      <c r="O44" s="403"/>
      <c r="P44" s="70"/>
      <c r="Q44" s="404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 spans="1:36" s="58" customFormat="1" ht="15" hidden="1" customHeight="1">
      <c r="A45" s="560" t="s">
        <v>363</v>
      </c>
      <c r="B45" s="111" t="s">
        <v>438</v>
      </c>
      <c r="C45" s="111"/>
      <c r="D45" s="119" t="s">
        <v>439</v>
      </c>
      <c r="E45" s="121">
        <v>17878.669999999998</v>
      </c>
      <c r="F45" s="125">
        <v>46238</v>
      </c>
      <c r="G45" s="351">
        <v>46238</v>
      </c>
      <c r="H45" s="119" t="s">
        <v>19</v>
      </c>
      <c r="I45" s="70"/>
      <c r="J45" s="563"/>
      <c r="K45" s="564"/>
      <c r="L45" s="427"/>
      <c r="M45" s="560"/>
      <c r="N45" s="403"/>
      <c r="O45" s="403"/>
      <c r="P45" s="70"/>
      <c r="Q45" s="404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</row>
    <row r="46" spans="1:36" s="58" customFormat="1" ht="15" hidden="1" customHeight="1">
      <c r="A46" s="560" t="s">
        <v>363</v>
      </c>
      <c r="B46" s="111" t="s">
        <v>440</v>
      </c>
      <c r="C46" s="111"/>
      <c r="D46" s="119" t="s">
        <v>441</v>
      </c>
      <c r="E46" s="121">
        <v>27435.62</v>
      </c>
      <c r="F46" s="125">
        <v>46244</v>
      </c>
      <c r="G46" s="351">
        <v>46246</v>
      </c>
      <c r="H46" s="119" t="s">
        <v>19</v>
      </c>
      <c r="I46" s="70"/>
      <c r="J46" s="563"/>
      <c r="K46" s="564"/>
      <c r="L46" s="427"/>
      <c r="M46" s="560"/>
      <c r="N46" s="403"/>
      <c r="O46" s="403"/>
      <c r="P46" s="70"/>
      <c r="Q46" s="404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</row>
    <row r="47" spans="1:36" s="58" customFormat="1" ht="15" hidden="1" customHeight="1">
      <c r="A47" s="560" t="s">
        <v>363</v>
      </c>
      <c r="B47" s="111" t="s">
        <v>442</v>
      </c>
      <c r="C47" s="111"/>
      <c r="D47" s="119"/>
      <c r="E47" s="121">
        <v>42069.36</v>
      </c>
      <c r="F47" s="125">
        <v>46244</v>
      </c>
      <c r="G47" s="351">
        <v>46246</v>
      </c>
      <c r="H47" s="119" t="s">
        <v>19</v>
      </c>
      <c r="I47" s="70"/>
      <c r="J47" s="563"/>
      <c r="K47" s="564"/>
      <c r="L47" s="427"/>
      <c r="M47" s="117"/>
      <c r="N47" s="403"/>
      <c r="O47" s="403"/>
      <c r="P47" s="70"/>
      <c r="Q47" s="404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</row>
    <row r="48" spans="1:36" s="58" customFormat="1" ht="15" hidden="1" customHeight="1">
      <c r="A48" s="560" t="s">
        <v>363</v>
      </c>
      <c r="B48" s="111" t="s">
        <v>443</v>
      </c>
      <c r="C48" s="111"/>
      <c r="D48" s="119"/>
      <c r="E48" s="121">
        <v>24124.03</v>
      </c>
      <c r="F48" s="125">
        <v>46251</v>
      </c>
      <c r="G48" s="351">
        <v>46251</v>
      </c>
      <c r="H48" s="119" t="s">
        <v>19</v>
      </c>
      <c r="I48" s="70"/>
      <c r="J48" s="563"/>
      <c r="K48" s="564"/>
      <c r="L48" s="427"/>
      <c r="M48" s="224" t="s">
        <v>155</v>
      </c>
      <c r="N48" s="403"/>
      <c r="O48" s="403"/>
      <c r="P48" s="70"/>
      <c r="Q48" s="404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</row>
    <row r="49" spans="1:36" s="58" customFormat="1" ht="15" hidden="1" customHeight="1">
      <c r="A49" s="560" t="s">
        <v>363</v>
      </c>
      <c r="B49" s="111" t="s">
        <v>444</v>
      </c>
      <c r="C49" s="111"/>
      <c r="D49" s="119"/>
      <c r="E49" s="121">
        <v>49551.64</v>
      </c>
      <c r="F49" s="125">
        <v>46258</v>
      </c>
      <c r="G49" s="351">
        <v>46258</v>
      </c>
      <c r="H49" s="119" t="s">
        <v>445</v>
      </c>
      <c r="I49" s="70"/>
      <c r="J49" s="563"/>
      <c r="K49" s="564"/>
      <c r="L49" s="427"/>
      <c r="M49" s="560" t="s">
        <v>446</v>
      </c>
      <c r="N49" s="403"/>
      <c r="O49" s="403"/>
      <c r="P49" s="70"/>
      <c r="Q49" s="404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</row>
    <row r="50" spans="1:36" s="58" customFormat="1" ht="15" hidden="1" customHeight="1">
      <c r="A50" s="560" t="s">
        <v>363</v>
      </c>
      <c r="B50" s="111" t="s">
        <v>447</v>
      </c>
      <c r="C50" s="111"/>
      <c r="D50" s="119"/>
      <c r="E50" s="121">
        <v>4376.68</v>
      </c>
      <c r="F50" s="125">
        <v>46258</v>
      </c>
      <c r="G50" s="351">
        <v>46258</v>
      </c>
      <c r="H50" s="119" t="s">
        <v>19</v>
      </c>
      <c r="I50" s="70"/>
      <c r="J50" s="565"/>
      <c r="K50" s="566"/>
      <c r="L50" s="427"/>
      <c r="M50" s="481"/>
      <c r="N50" s="403"/>
      <c r="O50" s="403"/>
      <c r="P50" s="70"/>
      <c r="Q50" s="404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</row>
    <row r="51" spans="1:36" s="58" customFormat="1" ht="15" hidden="1" customHeight="1">
      <c r="A51" s="560" t="s">
        <v>363</v>
      </c>
      <c r="B51" s="111" t="s">
        <v>447</v>
      </c>
      <c r="C51" s="111"/>
      <c r="D51" s="119"/>
      <c r="E51" s="121">
        <v>123.74</v>
      </c>
      <c r="F51" s="125">
        <v>46258</v>
      </c>
      <c r="G51" s="351">
        <v>46258</v>
      </c>
      <c r="H51" s="119" t="s">
        <v>19</v>
      </c>
      <c r="I51" s="70"/>
      <c r="J51" s="563"/>
      <c r="K51" s="564"/>
      <c r="L51" s="427"/>
      <c r="M51" s="481"/>
      <c r="N51" s="403"/>
      <c r="O51" s="403"/>
      <c r="P51" s="70"/>
      <c r="Q51" s="404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</row>
    <row r="52" spans="1:36" s="58" customFormat="1" ht="15" hidden="1" customHeight="1">
      <c r="A52" s="560" t="s">
        <v>363</v>
      </c>
      <c r="B52" s="111" t="s">
        <v>448</v>
      </c>
      <c r="C52" s="111"/>
      <c r="D52" s="119"/>
      <c r="E52" s="121">
        <v>1438.3</v>
      </c>
      <c r="F52" s="125">
        <v>46258</v>
      </c>
      <c r="G52" s="351">
        <v>46258</v>
      </c>
      <c r="H52" s="119" t="s">
        <v>19</v>
      </c>
      <c r="I52" s="70"/>
      <c r="J52" s="570"/>
      <c r="K52" s="571"/>
      <c r="L52" s="427"/>
      <c r="M52" s="481"/>
      <c r="N52" s="403"/>
      <c r="O52" s="403"/>
      <c r="P52" s="70"/>
      <c r="Q52" s="404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</row>
    <row r="53" spans="1:36" s="58" customFormat="1" ht="15" hidden="1" customHeight="1">
      <c r="A53" s="560" t="s">
        <v>363</v>
      </c>
      <c r="B53" s="111" t="s">
        <v>449</v>
      </c>
      <c r="C53" s="111"/>
      <c r="D53" s="119" t="s">
        <v>450</v>
      </c>
      <c r="E53" s="121">
        <v>31691.37</v>
      </c>
      <c r="F53" s="125">
        <v>46259</v>
      </c>
      <c r="G53" s="351">
        <v>46260</v>
      </c>
      <c r="H53" s="119" t="s">
        <v>19</v>
      </c>
      <c r="I53" s="70"/>
      <c r="J53" s="563" t="s">
        <v>451</v>
      </c>
      <c r="K53" s="564"/>
      <c r="L53" s="427"/>
      <c r="M53" s="480"/>
      <c r="N53" s="403"/>
      <c r="O53" s="403"/>
      <c r="P53" s="70"/>
      <c r="Q53" s="404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</row>
    <row r="54" spans="1:36" s="58" customFormat="1" ht="15" hidden="1" customHeight="1">
      <c r="A54" s="560" t="s">
        <v>363</v>
      </c>
      <c r="B54" s="111" t="s">
        <v>452</v>
      </c>
      <c r="C54" s="111"/>
      <c r="D54" s="119"/>
      <c r="E54" s="121">
        <v>13456.47</v>
      </c>
      <c r="F54" s="125">
        <v>46267</v>
      </c>
      <c r="G54" s="125">
        <v>46267</v>
      </c>
      <c r="H54" s="119" t="s">
        <v>19</v>
      </c>
      <c r="I54" s="70"/>
      <c r="J54" s="563"/>
      <c r="K54" s="564"/>
      <c r="L54" s="427"/>
      <c r="M54" s="481"/>
      <c r="N54" s="403"/>
      <c r="O54" s="403"/>
      <c r="P54" s="70"/>
      <c r="Q54" s="404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</row>
    <row r="55" spans="1:36" s="58" customFormat="1" ht="15" hidden="1" customHeight="1">
      <c r="A55" s="560" t="s">
        <v>363</v>
      </c>
      <c r="B55" s="111" t="s">
        <v>453</v>
      </c>
      <c r="C55" s="111"/>
      <c r="D55" s="119"/>
      <c r="E55" s="121">
        <v>1434.15</v>
      </c>
      <c r="F55" s="125">
        <v>46268</v>
      </c>
      <c r="G55" s="125">
        <v>46268</v>
      </c>
      <c r="H55" s="119" t="s">
        <v>19</v>
      </c>
      <c r="I55" s="70"/>
      <c r="J55" s="563"/>
      <c r="K55" s="564"/>
      <c r="L55" s="427"/>
      <c r="M55" s="481"/>
      <c r="N55" s="403"/>
      <c r="O55" s="403"/>
      <c r="P55" s="70"/>
      <c r="Q55" s="404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</row>
    <row r="56" spans="1:36" s="58" customFormat="1" ht="15" hidden="1" customHeight="1">
      <c r="A56" s="560" t="s">
        <v>363</v>
      </c>
      <c r="B56" s="111" t="s">
        <v>454</v>
      </c>
      <c r="C56" s="111"/>
      <c r="D56" s="119"/>
      <c r="E56" s="121">
        <v>3917.53</v>
      </c>
      <c r="F56" s="125">
        <v>46268</v>
      </c>
      <c r="G56" s="125">
        <v>46268</v>
      </c>
      <c r="H56" s="119" t="s">
        <v>19</v>
      </c>
      <c r="I56" s="70"/>
      <c r="J56" s="563"/>
      <c r="K56" s="564"/>
      <c r="L56" s="427"/>
      <c r="M56" s="481"/>
      <c r="N56" s="403"/>
      <c r="O56" s="403"/>
      <c r="P56" s="70"/>
      <c r="Q56" s="404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</row>
    <row r="57" spans="1:36" s="58" customFormat="1" ht="15" hidden="1" customHeight="1">
      <c r="A57" s="560" t="s">
        <v>363</v>
      </c>
      <c r="B57" s="111" t="s">
        <v>455</v>
      </c>
      <c r="C57" s="111"/>
      <c r="D57" s="119"/>
      <c r="E57" s="121">
        <v>4845.84</v>
      </c>
      <c r="F57" s="125">
        <v>46269</v>
      </c>
      <c r="G57" s="125">
        <v>46269</v>
      </c>
      <c r="H57" s="119" t="s">
        <v>445</v>
      </c>
      <c r="I57" s="70"/>
      <c r="J57" s="563"/>
      <c r="K57" s="564"/>
      <c r="L57" s="427"/>
      <c r="M57" s="481"/>
      <c r="N57" s="403"/>
      <c r="O57" s="403"/>
      <c r="P57" s="70"/>
      <c r="Q57" s="404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</row>
    <row r="58" spans="1:36" s="58" customFormat="1" ht="15" hidden="1" customHeight="1">
      <c r="A58" s="560" t="s">
        <v>363</v>
      </c>
      <c r="B58" s="111" t="s">
        <v>456</v>
      </c>
      <c r="C58" s="111"/>
      <c r="D58" s="119"/>
      <c r="E58" s="121">
        <v>3104.16</v>
      </c>
      <c r="F58" s="125">
        <v>46272</v>
      </c>
      <c r="G58" s="125">
        <v>46272</v>
      </c>
      <c r="H58" s="119" t="s">
        <v>457</v>
      </c>
      <c r="I58" s="70"/>
      <c r="J58" s="563"/>
      <c r="K58" s="564"/>
      <c r="L58" s="427"/>
      <c r="M58" s="481"/>
      <c r="N58" s="403"/>
      <c r="O58" s="403"/>
      <c r="P58" s="70"/>
      <c r="Q58" s="404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</row>
    <row r="59" spans="1:36" s="58" customFormat="1" ht="15" hidden="1" customHeight="1">
      <c r="A59" s="560" t="s">
        <v>363</v>
      </c>
      <c r="B59" s="111" t="s">
        <v>454</v>
      </c>
      <c r="C59" s="111"/>
      <c r="D59" s="119"/>
      <c r="E59" s="121">
        <v>1429.97</v>
      </c>
      <c r="F59" s="125">
        <v>46273</v>
      </c>
      <c r="G59" s="125">
        <v>46273</v>
      </c>
      <c r="H59" s="119" t="s">
        <v>445</v>
      </c>
      <c r="I59" s="70"/>
      <c r="J59" s="563"/>
      <c r="K59" s="564"/>
      <c r="L59" s="89"/>
      <c r="M59" s="481"/>
      <c r="N59" s="403"/>
      <c r="O59" s="403"/>
      <c r="P59" s="70"/>
      <c r="Q59" s="404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</row>
    <row r="60" spans="1:36" s="58" customFormat="1" ht="15" hidden="1" customHeight="1">
      <c r="A60" s="560" t="s">
        <v>363</v>
      </c>
      <c r="B60" s="111" t="s">
        <v>454</v>
      </c>
      <c r="C60" s="111"/>
      <c r="D60" s="119"/>
      <c r="E60" s="121">
        <v>2032.62</v>
      </c>
      <c r="F60" s="125">
        <v>46273</v>
      </c>
      <c r="G60" s="125">
        <v>46273</v>
      </c>
      <c r="H60" s="119" t="s">
        <v>445</v>
      </c>
      <c r="I60" s="70"/>
      <c r="J60" s="563"/>
      <c r="K60" s="564"/>
      <c r="L60" s="70"/>
      <c r="M60" s="122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</row>
    <row r="61" spans="1:36" s="58" customFormat="1" ht="15" hidden="1" customHeight="1">
      <c r="A61" s="560" t="s">
        <v>363</v>
      </c>
      <c r="B61" s="111" t="s">
        <v>454</v>
      </c>
      <c r="C61" s="111"/>
      <c r="D61" s="119"/>
      <c r="E61" s="121">
        <v>3231.41</v>
      </c>
      <c r="F61" s="125">
        <v>46273</v>
      </c>
      <c r="G61" s="125">
        <v>46273</v>
      </c>
      <c r="H61" s="119" t="s">
        <v>445</v>
      </c>
      <c r="I61" s="70"/>
      <c r="J61" s="563"/>
      <c r="K61" s="564"/>
      <c r="L61" s="90"/>
      <c r="M61" s="481"/>
      <c r="N61" s="403"/>
      <c r="O61" s="403"/>
      <c r="P61" s="70"/>
      <c r="Q61" s="404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</row>
    <row r="62" spans="1:36" s="58" customFormat="1" ht="15" hidden="1" customHeight="1">
      <c r="A62" s="560" t="s">
        <v>363</v>
      </c>
      <c r="B62" s="111" t="s">
        <v>458</v>
      </c>
      <c r="C62" s="111"/>
      <c r="D62" s="119"/>
      <c r="E62" s="121">
        <v>1805.12</v>
      </c>
      <c r="F62" s="125">
        <v>46274</v>
      </c>
      <c r="G62" s="125">
        <v>46274</v>
      </c>
      <c r="H62" s="119" t="s">
        <v>457</v>
      </c>
      <c r="I62" s="70"/>
      <c r="J62" s="563"/>
      <c r="K62" s="564"/>
      <c r="L62" s="482"/>
      <c r="M62" s="481"/>
      <c r="N62" s="403"/>
      <c r="O62" s="403"/>
      <c r="P62" s="70"/>
      <c r="Q62" s="404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</row>
    <row r="63" spans="1:36" s="58" customFormat="1" ht="15" hidden="1" customHeight="1">
      <c r="A63" s="560" t="s">
        <v>363</v>
      </c>
      <c r="B63" s="111" t="s">
        <v>459</v>
      </c>
      <c r="C63" s="111"/>
      <c r="D63" s="119"/>
      <c r="E63" s="121">
        <v>3805.45</v>
      </c>
      <c r="F63" s="125">
        <v>46274</v>
      </c>
      <c r="G63" s="125">
        <v>46274</v>
      </c>
      <c r="H63" s="119" t="s">
        <v>457</v>
      </c>
      <c r="I63" s="70"/>
      <c r="J63" s="563"/>
      <c r="K63" s="564"/>
      <c r="L63" s="427"/>
      <c r="M63" s="126"/>
      <c r="N63" s="403"/>
      <c r="O63" s="403"/>
      <c r="P63" s="70"/>
      <c r="Q63" s="404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</row>
    <row r="64" spans="1:36" s="58" customFormat="1" ht="15" hidden="1" customHeight="1">
      <c r="A64" s="560" t="s">
        <v>363</v>
      </c>
      <c r="B64" s="111" t="s">
        <v>460</v>
      </c>
      <c r="C64" s="111"/>
      <c r="D64" s="119"/>
      <c r="E64" s="121">
        <v>3913.52</v>
      </c>
      <c r="F64" s="125">
        <v>46274</v>
      </c>
      <c r="G64" s="125">
        <v>46274</v>
      </c>
      <c r="H64" s="119" t="s">
        <v>19</v>
      </c>
      <c r="I64" s="70"/>
      <c r="J64" s="563"/>
      <c r="K64" s="564"/>
      <c r="L64" s="427"/>
      <c r="M64" s="126"/>
      <c r="N64" s="403"/>
      <c r="O64" s="403"/>
      <c r="P64" s="70"/>
      <c r="Q64" s="404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</row>
    <row r="65" spans="1:36" s="58" customFormat="1" ht="15" hidden="1" customHeight="1">
      <c r="A65" s="560" t="s">
        <v>363</v>
      </c>
      <c r="B65" s="111" t="s">
        <v>461</v>
      </c>
      <c r="C65" s="111"/>
      <c r="D65" s="119"/>
      <c r="E65" s="121">
        <v>749</v>
      </c>
      <c r="F65" s="125">
        <v>46275</v>
      </c>
      <c r="G65" s="125">
        <v>46275</v>
      </c>
      <c r="H65" s="119" t="s">
        <v>445</v>
      </c>
      <c r="I65" s="70"/>
      <c r="J65" s="563" t="s">
        <v>451</v>
      </c>
      <c r="K65" s="564"/>
      <c r="L65" s="427"/>
      <c r="M65" s="126"/>
      <c r="N65" s="403"/>
      <c r="O65" s="403"/>
      <c r="P65" s="70"/>
      <c r="Q65" s="404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</row>
    <row r="66" spans="1:36" s="58" customFormat="1" ht="15" hidden="1" customHeight="1">
      <c r="A66" s="560" t="s">
        <v>363</v>
      </c>
      <c r="B66" s="111" t="s">
        <v>461</v>
      </c>
      <c r="C66" s="111"/>
      <c r="D66" s="119"/>
      <c r="E66" s="121">
        <v>3951.85</v>
      </c>
      <c r="F66" s="125">
        <v>46275</v>
      </c>
      <c r="G66" s="125">
        <v>46275</v>
      </c>
      <c r="H66" s="119" t="s">
        <v>445</v>
      </c>
      <c r="I66" s="70"/>
      <c r="J66" s="563"/>
      <c r="K66" s="564"/>
      <c r="L66" s="427"/>
      <c r="M66" s="126"/>
      <c r="N66" s="403"/>
      <c r="O66" s="403"/>
      <c r="P66" s="70"/>
      <c r="Q66" s="404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</row>
    <row r="67" spans="1:36" s="58" customFormat="1" ht="15" hidden="1" customHeight="1">
      <c r="A67" s="560" t="s">
        <v>363</v>
      </c>
      <c r="B67" s="111" t="s">
        <v>462</v>
      </c>
      <c r="C67" s="111"/>
      <c r="D67" s="119"/>
      <c r="E67" s="121">
        <v>3526.43</v>
      </c>
      <c r="F67" s="125">
        <v>46276</v>
      </c>
      <c r="G67" s="125">
        <v>46276</v>
      </c>
      <c r="H67" s="119" t="s">
        <v>445</v>
      </c>
      <c r="I67" s="70"/>
      <c r="J67" s="570"/>
      <c r="K67" s="571"/>
      <c r="L67" s="427"/>
      <c r="M67" s="126" t="s">
        <v>206</v>
      </c>
      <c r="N67" s="403"/>
      <c r="O67" s="403"/>
      <c r="P67" s="70"/>
      <c r="Q67" s="404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</row>
    <row r="68" spans="1:36" s="58" customFormat="1" ht="15" hidden="1" customHeight="1">
      <c r="A68" s="560" t="s">
        <v>363</v>
      </c>
      <c r="B68" s="111" t="s">
        <v>463</v>
      </c>
      <c r="C68" s="111"/>
      <c r="D68" s="119"/>
      <c r="E68" s="121">
        <v>5000</v>
      </c>
      <c r="F68" s="125">
        <v>46265</v>
      </c>
      <c r="G68" s="125">
        <v>46276</v>
      </c>
      <c r="H68" s="119" t="s">
        <v>19</v>
      </c>
      <c r="I68" s="70"/>
      <c r="J68" s="570" t="s">
        <v>464</v>
      </c>
      <c r="K68" s="571"/>
      <c r="L68" s="427"/>
      <c r="M68" s="126" t="s">
        <v>206</v>
      </c>
      <c r="N68" s="403"/>
      <c r="O68" s="403"/>
      <c r="P68" s="70"/>
      <c r="Q68" s="404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</row>
    <row r="69" spans="1:36" s="58" customFormat="1" ht="15" hidden="1" customHeight="1">
      <c r="A69" s="560" t="s">
        <v>363</v>
      </c>
      <c r="B69" s="111" t="s">
        <v>465</v>
      </c>
      <c r="C69" s="111"/>
      <c r="D69" s="119"/>
      <c r="E69" s="121">
        <v>1308.1300000000001</v>
      </c>
      <c r="F69" s="125">
        <v>46279</v>
      </c>
      <c r="G69" s="125">
        <v>46279</v>
      </c>
      <c r="H69" s="119" t="s">
        <v>457</v>
      </c>
      <c r="I69" s="70"/>
      <c r="J69" s="565"/>
      <c r="K69" s="566"/>
      <c r="L69" s="427"/>
      <c r="M69" s="126" t="s">
        <v>206</v>
      </c>
      <c r="N69" s="403"/>
      <c r="O69" s="403"/>
      <c r="P69" s="70"/>
      <c r="Q69" s="404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</row>
    <row r="70" spans="1:36" s="58" customFormat="1" ht="15" hidden="1" customHeight="1">
      <c r="A70" s="560" t="s">
        <v>363</v>
      </c>
      <c r="B70" s="111" t="s">
        <v>466</v>
      </c>
      <c r="C70" s="111"/>
      <c r="D70" s="119"/>
      <c r="E70" s="121">
        <v>4065.1</v>
      </c>
      <c r="F70" s="125">
        <v>46277</v>
      </c>
      <c r="G70" s="125">
        <v>46279</v>
      </c>
      <c r="H70" s="119" t="s">
        <v>445</v>
      </c>
      <c r="I70" s="70"/>
      <c r="J70" s="570"/>
      <c r="K70" s="571"/>
      <c r="L70" s="427"/>
      <c r="M70" s="126"/>
      <c r="N70" s="403"/>
      <c r="O70" s="403"/>
      <c r="P70" s="70"/>
      <c r="Q70" s="404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</row>
    <row r="71" spans="1:36" s="58" customFormat="1" ht="15" hidden="1" customHeight="1">
      <c r="A71" s="560" t="s">
        <v>363</v>
      </c>
      <c r="B71" s="111" t="s">
        <v>467</v>
      </c>
      <c r="C71" s="111"/>
      <c r="D71" s="119"/>
      <c r="E71" s="121">
        <v>4700.1400000000003</v>
      </c>
      <c r="F71" s="125">
        <v>46279</v>
      </c>
      <c r="G71" s="125">
        <v>46279</v>
      </c>
      <c r="H71" s="119" t="s">
        <v>19</v>
      </c>
      <c r="I71" s="70"/>
      <c r="J71" s="565"/>
      <c r="K71" s="566"/>
      <c r="L71" s="427"/>
      <c r="M71" s="126"/>
      <c r="N71" s="403"/>
      <c r="O71" s="403"/>
      <c r="P71" s="70"/>
      <c r="Q71" s="404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</row>
    <row r="72" spans="1:36" s="58" customFormat="1" ht="15" hidden="1" customHeight="1">
      <c r="A72" s="560" t="s">
        <v>363</v>
      </c>
      <c r="B72" s="111" t="s">
        <v>468</v>
      </c>
      <c r="C72" s="111"/>
      <c r="D72" s="119" t="s">
        <v>469</v>
      </c>
      <c r="E72" s="121">
        <v>4553.3999999999996</v>
      </c>
      <c r="F72" s="125">
        <v>46280</v>
      </c>
      <c r="G72" s="125">
        <v>46280</v>
      </c>
      <c r="H72" s="119" t="s">
        <v>19</v>
      </c>
      <c r="I72" s="70"/>
      <c r="J72" s="563"/>
      <c r="K72" s="564"/>
      <c r="L72" s="427"/>
      <c r="M72" s="126"/>
      <c r="N72" s="403"/>
      <c r="O72" s="403"/>
      <c r="P72" s="70"/>
      <c r="Q72" s="404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</row>
    <row r="73" spans="1:36" s="58" customFormat="1" ht="15" hidden="1" customHeight="1">
      <c r="A73" s="560" t="s">
        <v>363</v>
      </c>
      <c r="B73" s="111" t="s">
        <v>470</v>
      </c>
      <c r="C73" s="111"/>
      <c r="D73" s="119"/>
      <c r="E73" s="121">
        <v>4609.03</v>
      </c>
      <c r="F73" s="125">
        <v>46280</v>
      </c>
      <c r="G73" s="125">
        <v>46280</v>
      </c>
      <c r="H73" s="119" t="s">
        <v>19</v>
      </c>
      <c r="I73" s="70"/>
      <c r="J73" s="563"/>
      <c r="K73" s="564"/>
      <c r="L73" s="427"/>
      <c r="M73" s="126"/>
      <c r="N73" s="403"/>
      <c r="O73" s="403"/>
      <c r="P73" s="70"/>
      <c r="Q73" s="404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</row>
    <row r="74" spans="1:36" s="58" customFormat="1" ht="15" hidden="1" customHeight="1">
      <c r="A74" s="560" t="s">
        <v>363</v>
      </c>
      <c r="B74" s="111" t="s">
        <v>471</v>
      </c>
      <c r="C74" s="111"/>
      <c r="D74" s="119" t="s">
        <v>472</v>
      </c>
      <c r="E74" s="121">
        <v>3555.12</v>
      </c>
      <c r="F74" s="125">
        <v>46281</v>
      </c>
      <c r="G74" s="125">
        <v>46281</v>
      </c>
      <c r="H74" s="119" t="s">
        <v>19</v>
      </c>
      <c r="I74" s="70"/>
      <c r="J74" s="565"/>
      <c r="K74" s="566"/>
      <c r="L74" s="427"/>
      <c r="M74" s="126" t="s">
        <v>473</v>
      </c>
      <c r="N74" s="403"/>
      <c r="O74" s="403"/>
      <c r="P74" s="70"/>
      <c r="Q74" s="404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</row>
    <row r="75" spans="1:36" s="58" customFormat="1" ht="15" hidden="1" customHeight="1">
      <c r="A75" s="560" t="s">
        <v>363</v>
      </c>
      <c r="B75" s="111" t="s">
        <v>474</v>
      </c>
      <c r="C75" s="111"/>
      <c r="D75" s="119"/>
      <c r="E75" s="121">
        <v>1722.96</v>
      </c>
      <c r="F75" s="125">
        <v>46282</v>
      </c>
      <c r="G75" s="125">
        <v>46282</v>
      </c>
      <c r="H75" s="119" t="s">
        <v>19</v>
      </c>
      <c r="I75" s="70"/>
      <c r="J75" s="563"/>
      <c r="K75" s="566"/>
      <c r="L75" s="427"/>
      <c r="M75" s="126"/>
      <c r="N75" s="403"/>
      <c r="O75" s="403"/>
      <c r="P75" s="70"/>
      <c r="Q75" s="404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</row>
    <row r="76" spans="1:36" s="58" customFormat="1" ht="15" hidden="1" customHeight="1">
      <c r="A76" s="560" t="s">
        <v>363</v>
      </c>
      <c r="B76" s="111" t="s">
        <v>475</v>
      </c>
      <c r="C76" s="111"/>
      <c r="D76" s="119"/>
      <c r="E76" s="121">
        <v>3428.81</v>
      </c>
      <c r="F76" s="125">
        <v>46282</v>
      </c>
      <c r="G76" s="125">
        <v>46282</v>
      </c>
      <c r="H76" s="119" t="s">
        <v>19</v>
      </c>
      <c r="I76" s="70"/>
      <c r="J76" s="563"/>
      <c r="K76" s="564"/>
      <c r="L76" s="427"/>
      <c r="M76" s="126"/>
      <c r="N76" s="403"/>
      <c r="O76" s="403"/>
      <c r="P76" s="70"/>
      <c r="Q76" s="404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</row>
    <row r="77" spans="1:36" s="58" customFormat="1" ht="15" hidden="1" customHeight="1">
      <c r="A77" s="560" t="s">
        <v>363</v>
      </c>
      <c r="B77" s="111" t="s">
        <v>476</v>
      </c>
      <c r="C77" s="111"/>
      <c r="D77" s="119"/>
      <c r="E77" s="121">
        <v>1492</v>
      </c>
      <c r="F77" s="125">
        <v>46283</v>
      </c>
      <c r="G77" s="125">
        <v>46283</v>
      </c>
      <c r="H77" s="119" t="s">
        <v>457</v>
      </c>
      <c r="I77" s="70"/>
      <c r="J77" s="563"/>
      <c r="K77" s="564"/>
      <c r="L77" s="427"/>
      <c r="M77" s="126"/>
      <c r="N77" s="403"/>
      <c r="O77" s="403"/>
      <c r="P77" s="70"/>
      <c r="Q77" s="404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</row>
    <row r="78" spans="1:36" s="58" customFormat="1" ht="15" hidden="1" customHeight="1">
      <c r="A78" s="560" t="s">
        <v>363</v>
      </c>
      <c r="B78" s="111" t="s">
        <v>477</v>
      </c>
      <c r="C78" s="111"/>
      <c r="D78" s="119" t="s">
        <v>478</v>
      </c>
      <c r="E78" s="121">
        <v>2454.08</v>
      </c>
      <c r="F78" s="125">
        <v>46283</v>
      </c>
      <c r="G78" s="125">
        <v>46283</v>
      </c>
      <c r="H78" s="119" t="s">
        <v>19</v>
      </c>
      <c r="I78" s="70"/>
      <c r="J78" s="570"/>
      <c r="K78" s="571"/>
      <c r="L78" s="427"/>
      <c r="M78" s="126"/>
      <c r="N78" s="403"/>
      <c r="O78" s="403"/>
      <c r="P78" s="70"/>
      <c r="Q78" s="404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</row>
    <row r="79" spans="1:36" s="58" customFormat="1" ht="15" hidden="1" customHeight="1">
      <c r="A79" s="560" t="s">
        <v>363</v>
      </c>
      <c r="B79" s="111" t="s">
        <v>479</v>
      </c>
      <c r="C79" s="111"/>
      <c r="D79" s="119"/>
      <c r="E79" s="121">
        <v>3395</v>
      </c>
      <c r="F79" s="125">
        <v>46283</v>
      </c>
      <c r="G79" s="125">
        <v>46283</v>
      </c>
      <c r="H79" s="119" t="s">
        <v>19</v>
      </c>
      <c r="I79" s="70"/>
      <c r="J79" s="563"/>
      <c r="K79" s="564"/>
      <c r="L79" s="427"/>
      <c r="M79" s="126"/>
      <c r="N79" s="403"/>
      <c r="O79" s="403"/>
      <c r="P79" s="70"/>
      <c r="Q79" s="404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</row>
    <row r="80" spans="1:36" s="58" customFormat="1" ht="15" hidden="1" customHeight="1">
      <c r="A80" s="560" t="s">
        <v>363</v>
      </c>
      <c r="B80" s="111" t="s">
        <v>480</v>
      </c>
      <c r="C80" s="111"/>
      <c r="D80" s="119"/>
      <c r="E80" s="121">
        <v>3961.75</v>
      </c>
      <c r="F80" s="125">
        <v>46283</v>
      </c>
      <c r="G80" s="125">
        <v>46283</v>
      </c>
      <c r="H80" s="119" t="s">
        <v>481</v>
      </c>
      <c r="I80" s="70"/>
      <c r="J80" s="563"/>
      <c r="K80" s="564"/>
      <c r="L80" s="427"/>
      <c r="M80" s="126"/>
      <c r="N80" s="403"/>
      <c r="O80" s="403"/>
      <c r="P80" s="70"/>
      <c r="Q80" s="404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</row>
    <row r="81" spans="1:36 16383:16384" s="58" customFormat="1" ht="15" hidden="1" customHeight="1">
      <c r="A81" s="560" t="s">
        <v>363</v>
      </c>
      <c r="B81" s="111" t="s">
        <v>482</v>
      </c>
      <c r="C81" s="111"/>
      <c r="D81" s="119"/>
      <c r="E81" s="121">
        <v>25001.16</v>
      </c>
      <c r="F81" s="125">
        <v>46265</v>
      </c>
      <c r="G81" s="125">
        <v>46283</v>
      </c>
      <c r="H81" s="119" t="s">
        <v>19</v>
      </c>
      <c r="I81" s="70"/>
      <c r="J81" s="563"/>
      <c r="K81" s="564"/>
      <c r="L81" s="427"/>
      <c r="M81" s="126"/>
      <c r="N81" s="403"/>
      <c r="O81" s="403"/>
      <c r="P81" s="70"/>
      <c r="Q81" s="404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</row>
    <row r="82" spans="1:36 16383:16384" s="58" customFormat="1" ht="15" hidden="1" customHeight="1">
      <c r="A82" s="560" t="s">
        <v>363</v>
      </c>
      <c r="B82" s="111" t="s">
        <v>483</v>
      </c>
      <c r="C82" s="111"/>
      <c r="D82" s="119"/>
      <c r="E82" s="121">
        <v>2542.63</v>
      </c>
      <c r="F82" s="125">
        <v>46285</v>
      </c>
      <c r="G82" s="125">
        <v>46286</v>
      </c>
      <c r="H82" s="119" t="s">
        <v>19</v>
      </c>
      <c r="I82" s="70"/>
      <c r="J82" s="570" t="s">
        <v>355</v>
      </c>
      <c r="K82" s="571"/>
      <c r="L82" s="427"/>
      <c r="M82" s="126"/>
      <c r="N82" s="403"/>
      <c r="O82" s="403"/>
      <c r="P82" s="70"/>
      <c r="Q82" s="404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</row>
    <row r="83" spans="1:36 16383:16384" s="58" customFormat="1" ht="15" hidden="1" customHeight="1">
      <c r="A83" s="560" t="s">
        <v>363</v>
      </c>
      <c r="B83" s="111" t="s">
        <v>484</v>
      </c>
      <c r="C83" s="111"/>
      <c r="D83" s="119" t="s">
        <v>485</v>
      </c>
      <c r="E83" s="121">
        <v>2845.57</v>
      </c>
      <c r="F83" s="125">
        <v>46285</v>
      </c>
      <c r="G83" s="125">
        <v>46286</v>
      </c>
      <c r="H83" s="119" t="s">
        <v>19</v>
      </c>
      <c r="I83" s="70"/>
      <c r="J83" s="563"/>
      <c r="K83" s="564"/>
      <c r="L83" s="427"/>
      <c r="M83" s="483"/>
      <c r="N83" s="403"/>
      <c r="O83" s="403"/>
      <c r="P83" s="70"/>
      <c r="Q83" s="404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</row>
    <row r="84" spans="1:36 16383:16384" s="58" customFormat="1" ht="15" hidden="1" customHeight="1">
      <c r="A84" s="560" t="s">
        <v>363</v>
      </c>
      <c r="B84" s="111" t="s">
        <v>486</v>
      </c>
      <c r="C84" s="111"/>
      <c r="D84" s="119" t="s">
        <v>487</v>
      </c>
      <c r="E84" s="121">
        <v>5220.25</v>
      </c>
      <c r="F84" s="125">
        <v>46285</v>
      </c>
      <c r="G84" s="125">
        <v>46286</v>
      </c>
      <c r="H84" s="119" t="s">
        <v>19</v>
      </c>
      <c r="I84" s="70"/>
      <c r="J84" s="583">
        <v>31985411635</v>
      </c>
      <c r="K84" s="584"/>
      <c r="L84" s="427"/>
      <c r="M84" s="224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</row>
    <row r="85" spans="1:36 16383:16384" s="418" customFormat="1" ht="15" hidden="1" customHeight="1">
      <c r="A85" s="560" t="s">
        <v>363</v>
      </c>
      <c r="B85" s="111" t="s">
        <v>488</v>
      </c>
      <c r="C85" s="111"/>
      <c r="D85" s="119"/>
      <c r="E85" s="121">
        <v>2984.78</v>
      </c>
      <c r="F85" s="125">
        <v>46287</v>
      </c>
      <c r="G85" s="125">
        <v>46287</v>
      </c>
      <c r="H85" s="119" t="s">
        <v>19</v>
      </c>
      <c r="I85" s="77"/>
      <c r="J85" s="563"/>
      <c r="K85" s="564"/>
      <c r="L85" s="435"/>
      <c r="M85" s="436"/>
      <c r="N85" s="416"/>
      <c r="O85" s="416"/>
      <c r="P85" s="77"/>
      <c r="Q85" s="41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</row>
    <row r="86" spans="1:36 16383:16384" s="58" customFormat="1" ht="15" hidden="1" customHeight="1">
      <c r="A86" s="560" t="s">
        <v>363</v>
      </c>
      <c r="B86" s="111" t="s">
        <v>489</v>
      </c>
      <c r="C86" s="111"/>
      <c r="D86" s="119"/>
      <c r="E86" s="121">
        <v>1170</v>
      </c>
      <c r="F86" s="125">
        <v>46288</v>
      </c>
      <c r="G86" s="125">
        <v>46288</v>
      </c>
      <c r="H86" s="119" t="s">
        <v>19</v>
      </c>
      <c r="I86" s="70"/>
      <c r="J86" s="563"/>
      <c r="K86" s="564"/>
      <c r="L86" s="427"/>
      <c r="M86" s="113"/>
      <c r="N86" s="403"/>
      <c r="O86" s="403"/>
      <c r="P86" s="70"/>
      <c r="Q86" s="404"/>
      <c r="R86" s="404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spans="1:36 16383:16384" s="58" customFormat="1" ht="15" hidden="1" customHeight="1">
      <c r="A87" s="560" t="s">
        <v>363</v>
      </c>
      <c r="B87" s="111" t="s">
        <v>490</v>
      </c>
      <c r="C87" s="111"/>
      <c r="D87" s="119"/>
      <c r="E87" s="121">
        <v>2809.98</v>
      </c>
      <c r="F87" s="125">
        <v>46288</v>
      </c>
      <c r="G87" s="125">
        <v>46288</v>
      </c>
      <c r="H87" s="119" t="s">
        <v>19</v>
      </c>
      <c r="I87" s="70"/>
      <c r="J87" s="563" t="s">
        <v>491</v>
      </c>
      <c r="K87" s="564"/>
      <c r="L87" s="427"/>
      <c r="M87" s="113"/>
      <c r="N87" s="403"/>
      <c r="O87" s="403"/>
      <c r="P87" s="70"/>
      <c r="Q87" s="404"/>
      <c r="R87" s="404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spans="1:36 16383:16384" s="58" customFormat="1" ht="15" hidden="1" customHeight="1">
      <c r="A88" s="560" t="s">
        <v>363</v>
      </c>
      <c r="B88" s="111" t="s">
        <v>492</v>
      </c>
      <c r="C88" s="111"/>
      <c r="D88" s="119"/>
      <c r="E88" s="121">
        <v>3647.2</v>
      </c>
      <c r="F88" s="125">
        <v>46288</v>
      </c>
      <c r="G88" s="125">
        <v>46288</v>
      </c>
      <c r="H88" s="119" t="s">
        <v>19</v>
      </c>
      <c r="I88" s="70"/>
      <c r="J88" s="570"/>
      <c r="K88" s="571"/>
      <c r="L88" s="427"/>
      <c r="M88" s="113"/>
      <c r="N88" s="403"/>
      <c r="O88" s="403"/>
      <c r="P88" s="70"/>
      <c r="Q88" s="404"/>
      <c r="R88" s="404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 spans="1:36 16383:16384" s="58" customFormat="1" ht="15" hidden="1" customHeight="1">
      <c r="A89" s="560" t="s">
        <v>363</v>
      </c>
      <c r="B89" s="111" t="s">
        <v>493</v>
      </c>
      <c r="C89" s="111"/>
      <c r="D89" s="119"/>
      <c r="E89" s="121">
        <v>4354.76</v>
      </c>
      <c r="F89" s="125">
        <v>46288</v>
      </c>
      <c r="G89" s="125">
        <v>46288</v>
      </c>
      <c r="H89" s="119" t="s">
        <v>19</v>
      </c>
      <c r="I89" s="70"/>
      <c r="J89" s="565"/>
      <c r="K89" s="566"/>
      <c r="L89" s="484"/>
      <c r="M89" s="108"/>
      <c r="N89" s="403"/>
      <c r="O89" s="70"/>
      <c r="P89" s="404"/>
      <c r="Q89" s="404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XFD89" s="448"/>
    </row>
    <row r="90" spans="1:36 16383:16384" s="418" customFormat="1" ht="15" hidden="1" customHeight="1">
      <c r="A90" s="560" t="s">
        <v>363</v>
      </c>
      <c r="B90" s="111" t="s">
        <v>494</v>
      </c>
      <c r="C90" s="111"/>
      <c r="D90" s="119" t="s">
        <v>495</v>
      </c>
      <c r="E90" s="121">
        <v>10000</v>
      </c>
      <c r="F90" s="125">
        <v>46275</v>
      </c>
      <c r="G90" s="125">
        <v>46289</v>
      </c>
      <c r="H90" s="119" t="s">
        <v>19</v>
      </c>
      <c r="I90" s="77"/>
      <c r="J90" s="565"/>
      <c r="K90" s="566"/>
      <c r="L90" s="435"/>
      <c r="M90" s="436"/>
      <c r="N90" s="416"/>
      <c r="O90" s="416"/>
      <c r="P90" s="77"/>
      <c r="Q90" s="41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</row>
    <row r="91" spans="1:36 16383:16384" s="418" customFormat="1" ht="15" hidden="1" customHeight="1">
      <c r="A91" s="437" t="s">
        <v>363</v>
      </c>
      <c r="B91" s="114" t="s">
        <v>496</v>
      </c>
      <c r="C91" s="114"/>
      <c r="D91" s="135" t="s">
        <v>497</v>
      </c>
      <c r="E91" s="121">
        <v>21767.75</v>
      </c>
      <c r="F91" s="350">
        <v>46290</v>
      </c>
      <c r="G91" s="351">
        <v>46295</v>
      </c>
      <c r="H91" s="125" t="s">
        <v>19</v>
      </c>
      <c r="I91" s="77"/>
      <c r="J91" s="565"/>
      <c r="K91" s="566"/>
      <c r="L91" s="435"/>
      <c r="M91" s="436"/>
      <c r="N91" s="416"/>
      <c r="O91" s="416"/>
      <c r="P91" s="77"/>
      <c r="Q91" s="41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</row>
    <row r="92" spans="1:36 16383:16384" s="58" customFormat="1" ht="15" hidden="1" customHeight="1">
      <c r="A92" s="437" t="s">
        <v>363</v>
      </c>
      <c r="B92" s="114" t="s">
        <v>494</v>
      </c>
      <c r="C92" s="114"/>
      <c r="D92" s="135" t="s">
        <v>495</v>
      </c>
      <c r="E92" s="121">
        <v>10452.07</v>
      </c>
      <c r="F92" s="350">
        <v>46275</v>
      </c>
      <c r="G92" s="351">
        <v>46295</v>
      </c>
      <c r="H92" s="125" t="s">
        <v>19</v>
      </c>
      <c r="I92" s="70"/>
      <c r="J92" s="565"/>
      <c r="K92" s="566"/>
      <c r="L92" s="419"/>
      <c r="M92" s="108"/>
      <c r="N92" s="70"/>
      <c r="O92" s="404"/>
      <c r="P92" s="404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XFC92" s="448"/>
      <c r="XFD92" s="485"/>
    </row>
    <row r="93" spans="1:36 16383:16384" s="58" customFormat="1" ht="15" hidden="1" customHeight="1">
      <c r="A93" s="437" t="s">
        <v>363</v>
      </c>
      <c r="B93" s="114" t="s">
        <v>498</v>
      </c>
      <c r="C93" s="114"/>
      <c r="D93" s="119" t="s">
        <v>499</v>
      </c>
      <c r="E93" s="121">
        <v>4865.04</v>
      </c>
      <c r="F93" s="351">
        <v>46295</v>
      </c>
      <c r="G93" s="351">
        <v>46295</v>
      </c>
      <c r="H93" s="125" t="s">
        <v>19</v>
      </c>
      <c r="I93" s="70"/>
      <c r="J93" s="565"/>
      <c r="K93" s="566"/>
      <c r="L93" s="427"/>
      <c r="M93" s="113"/>
      <c r="N93" s="403"/>
      <c r="O93" s="403"/>
      <c r="P93" s="70"/>
      <c r="Q93" s="404"/>
      <c r="R93" s="404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</row>
    <row r="94" spans="1:36 16383:16384" s="58" customFormat="1" ht="15" hidden="1" customHeight="1">
      <c r="A94" s="437" t="s">
        <v>363</v>
      </c>
      <c r="B94" s="114" t="s">
        <v>500</v>
      </c>
      <c r="C94" s="114"/>
      <c r="D94" s="119" t="s">
        <v>501</v>
      </c>
      <c r="E94" s="121">
        <v>3298.62</v>
      </c>
      <c r="F94" s="351">
        <v>46295</v>
      </c>
      <c r="G94" s="351">
        <v>46295</v>
      </c>
      <c r="H94" s="125" t="s">
        <v>19</v>
      </c>
      <c r="I94" s="70"/>
      <c r="J94" s="565"/>
      <c r="K94" s="566"/>
      <c r="L94" s="427"/>
      <c r="M94" s="113"/>
      <c r="N94" s="403"/>
      <c r="O94" s="403"/>
      <c r="P94" s="70"/>
      <c r="Q94" s="404"/>
      <c r="R94" s="404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</row>
    <row r="95" spans="1:36 16383:16384" s="58" customFormat="1" ht="15" hidden="1" customHeight="1">
      <c r="A95" s="560" t="s">
        <v>363</v>
      </c>
      <c r="B95" s="111" t="s">
        <v>502</v>
      </c>
      <c r="C95" s="111"/>
      <c r="D95" s="119" t="s">
        <v>503</v>
      </c>
      <c r="E95" s="121">
        <v>2986.06</v>
      </c>
      <c r="F95" s="125">
        <v>46297</v>
      </c>
      <c r="G95" s="350">
        <v>46297</v>
      </c>
      <c r="H95" s="125" t="s">
        <v>19</v>
      </c>
      <c r="I95" s="70"/>
      <c r="J95" s="565"/>
      <c r="K95" s="566"/>
      <c r="L95" s="427"/>
      <c r="M95" s="113"/>
      <c r="N95" s="403"/>
      <c r="O95" s="403"/>
      <c r="P95" s="70"/>
      <c r="Q95" s="404"/>
      <c r="R95" s="404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</row>
    <row r="96" spans="1:36 16383:16384" s="58" customFormat="1" ht="15" hidden="1" customHeight="1">
      <c r="A96" s="560" t="s">
        <v>363</v>
      </c>
      <c r="B96" s="114" t="s">
        <v>504</v>
      </c>
      <c r="C96" s="114"/>
      <c r="D96" s="119"/>
      <c r="E96" s="121">
        <v>4350.8500000000004</v>
      </c>
      <c r="F96" s="125">
        <v>46297</v>
      </c>
      <c r="G96" s="350">
        <v>46297</v>
      </c>
      <c r="H96" s="125" t="s">
        <v>19</v>
      </c>
      <c r="I96" s="70"/>
      <c r="J96" s="565"/>
      <c r="K96" s="566"/>
      <c r="L96" s="427"/>
      <c r="M96" s="113"/>
      <c r="N96" s="403"/>
      <c r="O96" s="403"/>
      <c r="P96" s="70"/>
      <c r="Q96" s="404"/>
      <c r="R96" s="404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</row>
    <row r="97" spans="1:36" s="58" customFormat="1" ht="15" hidden="1" customHeight="1">
      <c r="A97" s="560" t="s">
        <v>363</v>
      </c>
      <c r="B97" s="111" t="s">
        <v>505</v>
      </c>
      <c r="C97" s="111"/>
      <c r="D97" s="119" t="s">
        <v>19</v>
      </c>
      <c r="E97" s="121">
        <v>4018.37</v>
      </c>
      <c r="F97" s="351">
        <v>46290</v>
      </c>
      <c r="G97" s="125">
        <v>46290</v>
      </c>
      <c r="H97" s="125" t="s">
        <v>19</v>
      </c>
      <c r="I97" s="70"/>
      <c r="J97" s="565"/>
      <c r="K97" s="566"/>
      <c r="L97" s="427"/>
      <c r="M97" s="113"/>
      <c r="N97" s="403"/>
      <c r="O97" s="403"/>
      <c r="P97" s="70"/>
      <c r="Q97" s="404"/>
      <c r="R97" s="404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</row>
    <row r="98" spans="1:36" s="58" customFormat="1" ht="15" hidden="1" customHeight="1">
      <c r="A98" s="560" t="s">
        <v>363</v>
      </c>
      <c r="B98" s="111" t="s">
        <v>506</v>
      </c>
      <c r="C98" s="111"/>
      <c r="D98" s="119" t="s">
        <v>19</v>
      </c>
      <c r="E98" s="121">
        <v>4294.6899999999996</v>
      </c>
      <c r="F98" s="351">
        <v>46290</v>
      </c>
      <c r="G98" s="125">
        <v>46290</v>
      </c>
      <c r="H98" s="125" t="s">
        <v>19</v>
      </c>
      <c r="I98" s="70"/>
      <c r="J98" s="565"/>
      <c r="K98" s="566"/>
      <c r="L98" s="427"/>
      <c r="M98" s="113"/>
      <c r="N98" s="403"/>
      <c r="O98" s="403"/>
      <c r="P98" s="70"/>
      <c r="Q98" s="404"/>
      <c r="R98" s="404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</row>
    <row r="99" spans="1:36" s="58" customFormat="1" ht="15" hidden="1" customHeight="1">
      <c r="A99" s="560" t="s">
        <v>363</v>
      </c>
      <c r="B99" s="111" t="s">
        <v>507</v>
      </c>
      <c r="C99" s="111"/>
      <c r="D99" s="119" t="s">
        <v>19</v>
      </c>
      <c r="E99" s="121">
        <v>3107.94</v>
      </c>
      <c r="F99" s="351">
        <v>46290</v>
      </c>
      <c r="G99" s="125">
        <v>46290</v>
      </c>
      <c r="H99" s="125" t="s">
        <v>19</v>
      </c>
      <c r="I99" s="70"/>
      <c r="J99" s="565"/>
      <c r="K99" s="566"/>
      <c r="L99" s="427"/>
      <c r="M99" s="113"/>
      <c r="N99" s="403"/>
      <c r="O99" s="403"/>
      <c r="P99" s="70"/>
      <c r="Q99" s="404"/>
      <c r="R99" s="404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</row>
    <row r="100" spans="1:36" s="58" customFormat="1" ht="15" hidden="1" customHeight="1">
      <c r="A100" s="560" t="s">
        <v>363</v>
      </c>
      <c r="B100" s="111" t="s">
        <v>508</v>
      </c>
      <c r="C100" s="111"/>
      <c r="D100" s="119" t="s">
        <v>19</v>
      </c>
      <c r="E100" s="121">
        <v>2444.6</v>
      </c>
      <c r="F100" s="351">
        <v>46290</v>
      </c>
      <c r="G100" s="125">
        <v>46290</v>
      </c>
      <c r="H100" s="125" t="s">
        <v>19</v>
      </c>
      <c r="I100" s="70"/>
      <c r="J100" s="565"/>
      <c r="K100" s="566"/>
      <c r="L100" s="427"/>
      <c r="M100" s="113"/>
      <c r="N100" s="403"/>
      <c r="O100" s="403"/>
      <c r="P100" s="70"/>
      <c r="Q100" s="404"/>
      <c r="R100" s="404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</row>
    <row r="101" spans="1:36" s="58" customFormat="1" ht="15" hidden="1" customHeight="1">
      <c r="A101" s="560" t="s">
        <v>363</v>
      </c>
      <c r="B101" s="111" t="s">
        <v>509</v>
      </c>
      <c r="C101" s="111"/>
      <c r="D101" s="119"/>
      <c r="E101" s="121">
        <v>2756</v>
      </c>
      <c r="F101" s="351">
        <v>46293</v>
      </c>
      <c r="G101" s="125">
        <v>46293</v>
      </c>
      <c r="H101" s="125" t="s">
        <v>19</v>
      </c>
      <c r="I101" s="70"/>
      <c r="J101" s="565"/>
      <c r="K101" s="566"/>
      <c r="L101" s="427"/>
      <c r="M101" s="113"/>
      <c r="N101" s="403"/>
      <c r="O101" s="403"/>
      <c r="P101" s="70"/>
      <c r="Q101" s="404"/>
      <c r="R101" s="404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</row>
    <row r="102" spans="1:36" s="58" customFormat="1" ht="15" hidden="1" customHeight="1">
      <c r="A102" s="560" t="s">
        <v>363</v>
      </c>
      <c r="B102" s="111" t="s">
        <v>510</v>
      </c>
      <c r="C102" s="111"/>
      <c r="D102" s="119"/>
      <c r="E102" s="121">
        <v>3786.56</v>
      </c>
      <c r="F102" s="351">
        <v>46293</v>
      </c>
      <c r="G102" s="125">
        <v>46293</v>
      </c>
      <c r="H102" s="125" t="s">
        <v>19</v>
      </c>
      <c r="I102" s="70"/>
      <c r="J102" s="563"/>
      <c r="K102" s="564"/>
      <c r="L102" s="427"/>
      <c r="M102" s="113"/>
      <c r="N102" s="403"/>
      <c r="O102" s="403"/>
      <c r="P102" s="70"/>
      <c r="Q102" s="404"/>
      <c r="R102" s="404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</row>
    <row r="103" spans="1:36" s="58" customFormat="1" ht="15" hidden="1" customHeight="1">
      <c r="A103" s="560" t="s">
        <v>363</v>
      </c>
      <c r="B103" s="111" t="s">
        <v>511</v>
      </c>
      <c r="C103" s="111"/>
      <c r="D103" s="119"/>
      <c r="E103" s="121">
        <v>3791.52</v>
      </c>
      <c r="F103" s="351">
        <v>46293</v>
      </c>
      <c r="G103" s="125">
        <v>46294</v>
      </c>
      <c r="H103" s="125" t="s">
        <v>19</v>
      </c>
      <c r="I103" s="70"/>
      <c r="J103" s="565"/>
      <c r="K103" s="566"/>
      <c r="L103" s="427"/>
      <c r="M103" s="113"/>
      <c r="N103" s="403"/>
      <c r="O103" s="403"/>
      <c r="P103" s="70"/>
      <c r="Q103" s="404"/>
      <c r="R103" s="404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</row>
    <row r="104" spans="1:36" s="58" customFormat="1" ht="15" hidden="1" customHeight="1">
      <c r="A104" s="560" t="s">
        <v>363</v>
      </c>
      <c r="B104" s="111" t="s">
        <v>512</v>
      </c>
      <c r="C104" s="111"/>
      <c r="D104" s="119"/>
      <c r="E104" s="121">
        <v>2712.72</v>
      </c>
      <c r="F104" s="351">
        <v>46293</v>
      </c>
      <c r="G104" s="125">
        <v>46294</v>
      </c>
      <c r="H104" s="125" t="s">
        <v>19</v>
      </c>
      <c r="I104" s="70"/>
      <c r="J104" s="565"/>
      <c r="K104" s="566"/>
      <c r="L104" s="427"/>
      <c r="M104" s="126"/>
      <c r="N104" s="403"/>
      <c r="O104" s="403"/>
      <c r="P104" s="70"/>
      <c r="Q104" s="404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</row>
    <row r="105" spans="1:36" s="58" customFormat="1" ht="15" hidden="1" customHeight="1">
      <c r="A105" s="560" t="s">
        <v>363</v>
      </c>
      <c r="B105" s="111" t="s">
        <v>513</v>
      </c>
      <c r="C105" s="111"/>
      <c r="D105" s="119"/>
      <c r="E105" s="121">
        <v>4295.45</v>
      </c>
      <c r="F105" s="351">
        <v>46293</v>
      </c>
      <c r="G105" s="125">
        <v>46294</v>
      </c>
      <c r="H105" s="125" t="s">
        <v>19</v>
      </c>
      <c r="I105" s="70"/>
      <c r="J105" s="565"/>
      <c r="K105" s="566"/>
      <c r="L105" s="427"/>
      <c r="M105" s="113"/>
      <c r="N105" s="403"/>
      <c r="O105" s="403"/>
      <c r="P105" s="70"/>
      <c r="Q105" s="404"/>
      <c r="R105" s="404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</row>
    <row r="106" spans="1:36" s="58" customFormat="1" ht="15" hidden="1" customHeight="1">
      <c r="A106" s="560" t="s">
        <v>363</v>
      </c>
      <c r="B106" s="114" t="s">
        <v>514</v>
      </c>
      <c r="C106" s="114"/>
      <c r="D106" s="119" t="s">
        <v>515</v>
      </c>
      <c r="E106" s="121">
        <v>4160.04</v>
      </c>
      <c r="F106" s="125">
        <v>46300</v>
      </c>
      <c r="G106" s="350">
        <v>46300</v>
      </c>
      <c r="H106" s="125" t="s">
        <v>19</v>
      </c>
      <c r="I106" s="70"/>
      <c r="J106" s="565"/>
      <c r="K106" s="566"/>
      <c r="L106" s="427"/>
      <c r="M106" s="113"/>
      <c r="N106" s="403"/>
      <c r="O106" s="403"/>
      <c r="P106" s="70"/>
      <c r="Q106" s="404"/>
      <c r="R106" s="404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</row>
    <row r="107" spans="1:36" s="58" customFormat="1" ht="15" hidden="1" customHeight="1">
      <c r="A107" s="560" t="s">
        <v>363</v>
      </c>
      <c r="B107" s="114" t="s">
        <v>516</v>
      </c>
      <c r="C107" s="114"/>
      <c r="D107" s="119" t="s">
        <v>517</v>
      </c>
      <c r="E107" s="121">
        <v>3258.95</v>
      </c>
      <c r="F107" s="125">
        <v>46300</v>
      </c>
      <c r="G107" s="350">
        <v>46300</v>
      </c>
      <c r="H107" s="125" t="s">
        <v>19</v>
      </c>
      <c r="I107" s="70"/>
      <c r="J107" s="565"/>
      <c r="K107" s="566"/>
      <c r="L107" s="427"/>
      <c r="M107" s="113"/>
      <c r="N107" s="403"/>
      <c r="O107" s="403"/>
      <c r="P107" s="70"/>
      <c r="Q107" s="404"/>
      <c r="R107" s="404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</row>
    <row r="108" spans="1:36" s="58" customFormat="1" ht="15" hidden="1" customHeight="1">
      <c r="A108" s="560" t="s">
        <v>363</v>
      </c>
      <c r="B108" s="114" t="s">
        <v>518</v>
      </c>
      <c r="C108" s="114"/>
      <c r="D108" s="119" t="s">
        <v>519</v>
      </c>
      <c r="E108" s="121">
        <v>3620.13</v>
      </c>
      <c r="F108" s="125">
        <v>46300</v>
      </c>
      <c r="G108" s="350">
        <v>46300</v>
      </c>
      <c r="H108" s="125" t="s">
        <v>19</v>
      </c>
      <c r="I108" s="70"/>
      <c r="J108" s="585"/>
      <c r="K108" s="566"/>
      <c r="L108" s="427"/>
      <c r="M108" s="113"/>
      <c r="N108" s="403"/>
      <c r="O108" s="403"/>
      <c r="P108" s="70"/>
      <c r="Q108" s="404"/>
      <c r="R108" s="404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</row>
    <row r="109" spans="1:36" s="58" customFormat="1" ht="15" hidden="1" customHeight="1">
      <c r="A109" s="560" t="s">
        <v>363</v>
      </c>
      <c r="B109" s="114" t="s">
        <v>520</v>
      </c>
      <c r="C109" s="114"/>
      <c r="D109" s="119"/>
      <c r="E109" s="121">
        <v>1772.5</v>
      </c>
      <c r="F109" s="125">
        <v>46300</v>
      </c>
      <c r="G109" s="350">
        <v>46300</v>
      </c>
      <c r="H109" s="125" t="s">
        <v>19</v>
      </c>
      <c r="I109" s="70"/>
      <c r="J109" s="565" t="s">
        <v>521</v>
      </c>
      <c r="K109" s="566"/>
      <c r="L109" s="427"/>
      <c r="M109" s="113"/>
      <c r="N109" s="403"/>
      <c r="O109" s="403"/>
      <c r="P109" s="70"/>
      <c r="Q109" s="404"/>
      <c r="R109" s="404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</row>
    <row r="110" spans="1:36" s="58" customFormat="1" ht="15" hidden="1" customHeight="1">
      <c r="A110" s="560" t="s">
        <v>363</v>
      </c>
      <c r="B110" s="111" t="s">
        <v>522</v>
      </c>
      <c r="C110" s="111"/>
      <c r="D110" s="119"/>
      <c r="E110" s="121">
        <v>21155.89</v>
      </c>
      <c r="F110" s="125">
        <v>46310</v>
      </c>
      <c r="G110" s="351">
        <v>46301</v>
      </c>
      <c r="H110" s="119" t="s">
        <v>523</v>
      </c>
      <c r="I110" s="70"/>
      <c r="J110" s="565"/>
      <c r="K110" s="566"/>
      <c r="L110" s="427"/>
      <c r="M110" s="113"/>
      <c r="N110" s="403"/>
      <c r="O110" s="403"/>
      <c r="P110" s="70"/>
      <c r="Q110" s="404"/>
      <c r="R110" s="404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</row>
    <row r="111" spans="1:36" s="58" customFormat="1" ht="15" hidden="1" customHeight="1">
      <c r="A111" s="560" t="s">
        <v>363</v>
      </c>
      <c r="B111" s="111" t="s">
        <v>524</v>
      </c>
      <c r="C111" s="111"/>
      <c r="D111" s="119"/>
      <c r="E111" s="121">
        <v>21155.89</v>
      </c>
      <c r="F111" s="125">
        <v>46325</v>
      </c>
      <c r="G111" s="125">
        <v>46301</v>
      </c>
      <c r="H111" s="125" t="s">
        <v>523</v>
      </c>
      <c r="I111" s="70"/>
      <c r="J111" s="565" t="s">
        <v>525</v>
      </c>
      <c r="K111" s="566"/>
      <c r="L111" s="427"/>
      <c r="M111" s="113"/>
      <c r="N111" s="403"/>
      <c r="O111" s="403"/>
      <c r="P111" s="70"/>
      <c r="Q111" s="404"/>
      <c r="R111" s="404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</row>
    <row r="112" spans="1:36" s="58" customFormat="1" ht="15" hidden="1" customHeight="1">
      <c r="A112" s="560" t="s">
        <v>363</v>
      </c>
      <c r="B112" s="114" t="s">
        <v>526</v>
      </c>
      <c r="C112" s="114"/>
      <c r="D112" s="119"/>
      <c r="E112" s="121">
        <v>3882.35</v>
      </c>
      <c r="F112" s="125">
        <v>46301</v>
      </c>
      <c r="G112" s="350">
        <v>46301</v>
      </c>
      <c r="H112" s="125" t="s">
        <v>19</v>
      </c>
      <c r="I112" s="70"/>
      <c r="J112" s="565"/>
      <c r="K112" s="566"/>
      <c r="L112" s="427"/>
      <c r="M112" s="113"/>
      <c r="N112" s="403"/>
      <c r="O112" s="403"/>
      <c r="P112" s="70"/>
      <c r="Q112" s="404"/>
      <c r="R112" s="404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</row>
    <row r="113" spans="1:16384" s="58" customFormat="1" ht="15" hidden="1" customHeight="1">
      <c r="A113" s="560" t="s">
        <v>363</v>
      </c>
      <c r="B113" s="114" t="s">
        <v>527</v>
      </c>
      <c r="C113" s="114"/>
      <c r="D113" s="119"/>
      <c r="E113" s="121">
        <v>3052.34</v>
      </c>
      <c r="F113" s="125">
        <v>46301</v>
      </c>
      <c r="G113" s="350">
        <v>46301</v>
      </c>
      <c r="H113" s="125" t="s">
        <v>19</v>
      </c>
      <c r="I113" s="70"/>
      <c r="J113" s="565"/>
      <c r="K113" s="566"/>
      <c r="L113" s="484"/>
      <c r="M113" s="108"/>
      <c r="N113" s="403"/>
      <c r="O113" s="70"/>
      <c r="P113" s="404"/>
      <c r="Q113" s="404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XFD113" s="448"/>
    </row>
    <row r="114" spans="1:16384" s="418" customFormat="1" ht="15" hidden="1" customHeight="1">
      <c r="A114" s="560" t="s">
        <v>363</v>
      </c>
      <c r="B114" s="114" t="s">
        <v>528</v>
      </c>
      <c r="C114" s="114"/>
      <c r="D114" s="119"/>
      <c r="E114" s="121">
        <v>3744.09</v>
      </c>
      <c r="F114" s="125">
        <v>46301</v>
      </c>
      <c r="G114" s="350">
        <v>46301</v>
      </c>
      <c r="H114" s="125" t="s">
        <v>19</v>
      </c>
      <c r="I114" s="77"/>
      <c r="J114" s="565"/>
      <c r="K114" s="566"/>
      <c r="L114" s="435"/>
      <c r="M114" s="436"/>
      <c r="N114" s="416"/>
      <c r="O114" s="416"/>
      <c r="P114" s="77"/>
      <c r="Q114" s="41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</row>
    <row r="115" spans="1:16384" s="418" customFormat="1" ht="15" customHeight="1">
      <c r="A115" s="560"/>
      <c r="B115" s="114"/>
      <c r="C115" s="439"/>
      <c r="D115" s="119"/>
      <c r="E115" s="121"/>
      <c r="F115" s="125"/>
      <c r="G115" s="350"/>
      <c r="H115" s="125"/>
      <c r="I115" s="77"/>
      <c r="J115" s="558"/>
      <c r="K115" s="559"/>
      <c r="L115" s="435"/>
      <c r="M115" s="436"/>
      <c r="N115" s="416"/>
      <c r="O115" s="416"/>
      <c r="P115" s="77"/>
      <c r="Q115" s="41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</row>
    <row r="116" spans="1:16384" s="58" customFormat="1" ht="15" hidden="1" customHeight="1">
      <c r="A116" s="560" t="s">
        <v>363</v>
      </c>
      <c r="B116" s="114" t="s">
        <v>529</v>
      </c>
      <c r="C116" s="439"/>
      <c r="D116" s="119"/>
      <c r="E116" s="121"/>
      <c r="F116" s="125">
        <v>46320</v>
      </c>
      <c r="G116" s="350"/>
      <c r="H116" s="125"/>
      <c r="I116" s="70"/>
      <c r="J116" s="565"/>
      <c r="K116" s="566"/>
      <c r="L116" s="427"/>
      <c r="M116" s="126"/>
      <c r="N116" s="403"/>
      <c r="O116" s="403"/>
      <c r="P116" s="70"/>
      <c r="Q116" s="404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</row>
    <row r="117" spans="1:16384" s="418" customFormat="1" ht="15" hidden="1" customHeight="1">
      <c r="A117" s="560" t="s">
        <v>363</v>
      </c>
      <c r="B117" s="114" t="s">
        <v>530</v>
      </c>
      <c r="C117" s="114"/>
      <c r="D117" s="119"/>
      <c r="E117" s="121">
        <v>720</v>
      </c>
      <c r="F117" s="125">
        <v>46302</v>
      </c>
      <c r="G117" s="350">
        <v>46302</v>
      </c>
      <c r="H117" s="119" t="s">
        <v>19</v>
      </c>
      <c r="I117" s="77"/>
      <c r="J117" s="565"/>
      <c r="K117" s="566"/>
      <c r="L117" s="435"/>
      <c r="M117" s="486"/>
      <c r="N117" s="416"/>
      <c r="O117" s="416"/>
      <c r="P117" s="77"/>
      <c r="Q117" s="41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</row>
    <row r="118" spans="1:16384" s="58" customFormat="1" ht="15" hidden="1" customHeight="1">
      <c r="A118" s="560" t="s">
        <v>363</v>
      </c>
      <c r="B118" s="114" t="s">
        <v>506</v>
      </c>
      <c r="C118" s="114"/>
      <c r="D118" s="119"/>
      <c r="E118" s="121">
        <v>4065.85</v>
      </c>
      <c r="F118" s="125">
        <v>46309</v>
      </c>
      <c r="G118" s="125">
        <v>46309</v>
      </c>
      <c r="H118" s="119" t="s">
        <v>19</v>
      </c>
      <c r="I118" s="487"/>
      <c r="J118" s="565"/>
      <c r="K118" s="566"/>
      <c r="L118" s="488"/>
      <c r="M118" s="489"/>
      <c r="N118" s="416"/>
      <c r="O118" s="77"/>
      <c r="P118" s="41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418"/>
      <c r="AL118" s="418"/>
      <c r="AM118" s="418"/>
      <c r="AN118" s="418"/>
      <c r="AO118" s="418"/>
      <c r="AP118" s="418"/>
      <c r="AQ118" s="418"/>
      <c r="AR118" s="418"/>
      <c r="AS118" s="418"/>
      <c r="AT118" s="418"/>
      <c r="AU118" s="418"/>
      <c r="AV118" s="418"/>
      <c r="AW118" s="418"/>
      <c r="AX118" s="418"/>
      <c r="AY118" s="418"/>
      <c r="AZ118" s="418"/>
      <c r="BA118" s="418"/>
      <c r="BB118" s="418"/>
      <c r="BC118" s="418"/>
      <c r="BD118" s="418"/>
      <c r="BE118" s="418"/>
      <c r="BF118" s="418"/>
      <c r="BG118" s="418"/>
      <c r="BH118" s="418"/>
      <c r="BI118" s="418"/>
      <c r="BJ118" s="418"/>
      <c r="BK118" s="418"/>
      <c r="BL118" s="418"/>
      <c r="BM118" s="418"/>
      <c r="BN118" s="418"/>
      <c r="BO118" s="418"/>
      <c r="BP118" s="418"/>
      <c r="BQ118" s="418"/>
      <c r="BR118" s="418"/>
      <c r="BS118" s="418"/>
      <c r="BT118" s="418"/>
      <c r="BU118" s="418"/>
      <c r="BV118" s="418"/>
      <c r="BW118" s="418"/>
      <c r="BX118" s="418"/>
      <c r="BY118" s="418"/>
      <c r="BZ118" s="418"/>
      <c r="CA118" s="418"/>
      <c r="CB118" s="418"/>
      <c r="CC118" s="418"/>
      <c r="CD118" s="418"/>
      <c r="CE118" s="418"/>
      <c r="CF118" s="418"/>
      <c r="CG118" s="418"/>
      <c r="CH118" s="418"/>
      <c r="CI118" s="418"/>
      <c r="CJ118" s="418"/>
      <c r="CK118" s="418"/>
      <c r="CL118" s="418"/>
      <c r="CM118" s="418"/>
      <c r="CN118" s="418"/>
      <c r="CO118" s="418"/>
      <c r="CP118" s="418"/>
      <c r="CQ118" s="418"/>
      <c r="CR118" s="418"/>
      <c r="CS118" s="418"/>
      <c r="CT118" s="418"/>
      <c r="CU118" s="418"/>
      <c r="CV118" s="418"/>
      <c r="CW118" s="418"/>
      <c r="CX118" s="418"/>
      <c r="CY118" s="418"/>
      <c r="CZ118" s="418"/>
      <c r="DA118" s="418"/>
      <c r="DB118" s="418"/>
      <c r="DC118" s="418"/>
      <c r="DD118" s="418"/>
      <c r="DE118" s="418"/>
      <c r="DF118" s="418"/>
      <c r="DG118" s="418"/>
      <c r="DH118" s="418"/>
      <c r="DI118" s="418"/>
      <c r="DJ118" s="418"/>
      <c r="DK118" s="418"/>
      <c r="DL118" s="418"/>
      <c r="DM118" s="418"/>
      <c r="DN118" s="418"/>
      <c r="DO118" s="418"/>
      <c r="DP118" s="418"/>
      <c r="DQ118" s="418"/>
      <c r="DR118" s="418"/>
      <c r="DS118" s="418"/>
      <c r="DT118" s="418"/>
      <c r="DU118" s="418"/>
      <c r="DV118" s="418"/>
      <c r="DW118" s="418"/>
      <c r="DX118" s="418"/>
      <c r="DY118" s="418"/>
      <c r="DZ118" s="418"/>
      <c r="EA118" s="418"/>
      <c r="EB118" s="418"/>
      <c r="EC118" s="418"/>
      <c r="ED118" s="418"/>
      <c r="EE118" s="418"/>
      <c r="EF118" s="418"/>
      <c r="EG118" s="418"/>
      <c r="EH118" s="418"/>
      <c r="EI118" s="418"/>
      <c r="EJ118" s="418"/>
      <c r="EK118" s="418"/>
      <c r="EL118" s="418"/>
      <c r="EM118" s="418"/>
      <c r="EN118" s="418"/>
      <c r="EO118" s="418"/>
      <c r="EP118" s="418"/>
      <c r="EQ118" s="418"/>
      <c r="ER118" s="418"/>
      <c r="ES118" s="418"/>
      <c r="ET118" s="418"/>
      <c r="EU118" s="418"/>
      <c r="EV118" s="418"/>
      <c r="EW118" s="418"/>
      <c r="EX118" s="418"/>
      <c r="EY118" s="418"/>
      <c r="EZ118" s="418"/>
      <c r="FA118" s="418"/>
      <c r="FB118" s="418"/>
      <c r="FC118" s="418"/>
      <c r="FD118" s="418"/>
      <c r="FE118" s="418"/>
      <c r="FF118" s="418"/>
      <c r="FG118" s="418"/>
      <c r="FH118" s="418"/>
      <c r="FI118" s="418"/>
      <c r="FJ118" s="418"/>
      <c r="FK118" s="418"/>
      <c r="FL118" s="418"/>
      <c r="FM118" s="418"/>
      <c r="FN118" s="418"/>
      <c r="FO118" s="418"/>
      <c r="FP118" s="418"/>
      <c r="FQ118" s="418"/>
      <c r="FR118" s="418"/>
      <c r="FS118" s="418"/>
      <c r="FT118" s="418"/>
      <c r="FU118" s="418"/>
      <c r="FV118" s="418"/>
      <c r="FW118" s="418"/>
      <c r="FX118" s="418"/>
      <c r="FY118" s="418"/>
      <c r="FZ118" s="418"/>
      <c r="GA118" s="418"/>
      <c r="GB118" s="418"/>
      <c r="GC118" s="418"/>
      <c r="GD118" s="418"/>
      <c r="GE118" s="418"/>
      <c r="GF118" s="418"/>
      <c r="GG118" s="418"/>
      <c r="GH118" s="418"/>
      <c r="GI118" s="418"/>
      <c r="GJ118" s="418"/>
      <c r="GK118" s="418"/>
      <c r="GL118" s="418"/>
      <c r="GM118" s="418"/>
      <c r="GN118" s="418"/>
      <c r="GO118" s="418"/>
      <c r="GP118" s="418"/>
      <c r="GQ118" s="418"/>
      <c r="GR118" s="418"/>
      <c r="GS118" s="418"/>
      <c r="GT118" s="418"/>
      <c r="GU118" s="418"/>
      <c r="GV118" s="418"/>
      <c r="GW118" s="418"/>
      <c r="GX118" s="418"/>
      <c r="GY118" s="418"/>
      <c r="GZ118" s="418"/>
      <c r="HA118" s="418"/>
      <c r="HB118" s="418"/>
      <c r="HC118" s="418"/>
      <c r="HD118" s="418"/>
      <c r="HE118" s="418"/>
      <c r="HF118" s="418"/>
      <c r="HG118" s="418"/>
      <c r="HH118" s="418"/>
      <c r="HI118" s="418"/>
      <c r="HJ118" s="418"/>
      <c r="HK118" s="418"/>
      <c r="HL118" s="418"/>
      <c r="HM118" s="418"/>
      <c r="HN118" s="418"/>
      <c r="HO118" s="418"/>
      <c r="HP118" s="418"/>
      <c r="HQ118" s="418"/>
      <c r="HR118" s="418"/>
      <c r="HS118" s="418"/>
      <c r="HT118" s="418"/>
      <c r="HU118" s="418"/>
      <c r="HV118" s="418"/>
      <c r="HW118" s="418"/>
      <c r="HX118" s="418"/>
      <c r="HY118" s="418"/>
      <c r="HZ118" s="418"/>
      <c r="IA118" s="418"/>
      <c r="IB118" s="418"/>
      <c r="IC118" s="418"/>
      <c r="ID118" s="418"/>
      <c r="IE118" s="418"/>
      <c r="IF118" s="418"/>
      <c r="IG118" s="418"/>
      <c r="IH118" s="418"/>
      <c r="II118" s="418"/>
      <c r="IJ118" s="418"/>
      <c r="IK118" s="418"/>
      <c r="IL118" s="418"/>
      <c r="IM118" s="418"/>
      <c r="IN118" s="418"/>
      <c r="IO118" s="418"/>
      <c r="IP118" s="418"/>
      <c r="IQ118" s="418"/>
      <c r="IR118" s="418"/>
      <c r="IS118" s="418"/>
      <c r="IT118" s="418"/>
      <c r="IU118" s="418"/>
      <c r="IV118" s="418"/>
      <c r="IW118" s="418"/>
      <c r="IX118" s="418"/>
      <c r="IY118" s="418"/>
      <c r="IZ118" s="418"/>
      <c r="JA118" s="418"/>
      <c r="JB118" s="418"/>
      <c r="JC118" s="418"/>
      <c r="JD118" s="418"/>
      <c r="JE118" s="418"/>
      <c r="JF118" s="418"/>
      <c r="JG118" s="418"/>
      <c r="JH118" s="418"/>
      <c r="JI118" s="418"/>
      <c r="JJ118" s="418"/>
      <c r="JK118" s="418"/>
      <c r="JL118" s="418"/>
      <c r="JM118" s="418"/>
      <c r="JN118" s="418"/>
      <c r="JO118" s="418"/>
      <c r="JP118" s="418"/>
      <c r="JQ118" s="418"/>
      <c r="JR118" s="418"/>
      <c r="JS118" s="418"/>
      <c r="JT118" s="418"/>
      <c r="JU118" s="418"/>
      <c r="JV118" s="418"/>
      <c r="JW118" s="418"/>
      <c r="JX118" s="418"/>
      <c r="JY118" s="418"/>
      <c r="JZ118" s="418"/>
      <c r="KA118" s="418"/>
      <c r="KB118" s="418"/>
      <c r="KC118" s="418"/>
      <c r="KD118" s="418"/>
      <c r="KE118" s="418"/>
      <c r="KF118" s="418"/>
      <c r="KG118" s="418"/>
      <c r="KH118" s="418"/>
      <c r="KI118" s="418"/>
      <c r="KJ118" s="418"/>
      <c r="KK118" s="418"/>
      <c r="KL118" s="418"/>
      <c r="KM118" s="418"/>
      <c r="KN118" s="418"/>
      <c r="KO118" s="418"/>
      <c r="KP118" s="418"/>
      <c r="KQ118" s="418"/>
      <c r="KR118" s="418"/>
      <c r="KS118" s="418"/>
      <c r="KT118" s="418"/>
      <c r="KU118" s="418"/>
      <c r="KV118" s="418"/>
      <c r="KW118" s="418"/>
      <c r="KX118" s="418"/>
      <c r="KY118" s="418"/>
      <c r="KZ118" s="418"/>
      <c r="LA118" s="418"/>
      <c r="LB118" s="418"/>
      <c r="LC118" s="418"/>
      <c r="LD118" s="418"/>
      <c r="LE118" s="418"/>
      <c r="LF118" s="418"/>
      <c r="LG118" s="418"/>
      <c r="LH118" s="418"/>
      <c r="LI118" s="418"/>
      <c r="LJ118" s="418"/>
      <c r="LK118" s="418"/>
      <c r="LL118" s="418"/>
      <c r="LM118" s="418"/>
      <c r="LN118" s="418"/>
      <c r="LO118" s="418"/>
      <c r="LP118" s="418"/>
      <c r="LQ118" s="418"/>
      <c r="LR118" s="418"/>
      <c r="LS118" s="418"/>
      <c r="LT118" s="418"/>
      <c r="LU118" s="418"/>
      <c r="LV118" s="418"/>
      <c r="LW118" s="418"/>
      <c r="LX118" s="418"/>
      <c r="LY118" s="418"/>
      <c r="LZ118" s="418"/>
      <c r="MA118" s="418"/>
      <c r="MB118" s="418"/>
      <c r="MC118" s="418"/>
      <c r="MD118" s="418"/>
      <c r="ME118" s="418"/>
      <c r="MF118" s="418"/>
      <c r="MG118" s="418"/>
      <c r="MH118" s="418"/>
      <c r="MI118" s="418"/>
      <c r="MJ118" s="418"/>
      <c r="MK118" s="418"/>
      <c r="ML118" s="418"/>
      <c r="MM118" s="418"/>
      <c r="MN118" s="418"/>
      <c r="MO118" s="418"/>
      <c r="MP118" s="418"/>
      <c r="MQ118" s="418"/>
      <c r="MR118" s="418"/>
      <c r="MS118" s="418"/>
      <c r="MT118" s="418"/>
      <c r="MU118" s="418"/>
      <c r="MV118" s="418"/>
      <c r="MW118" s="418"/>
      <c r="MX118" s="418"/>
      <c r="MY118" s="418"/>
      <c r="MZ118" s="418"/>
      <c r="NA118" s="418"/>
      <c r="NB118" s="418"/>
      <c r="NC118" s="418"/>
      <c r="ND118" s="418"/>
      <c r="NE118" s="418"/>
      <c r="NF118" s="418"/>
      <c r="NG118" s="418"/>
      <c r="NH118" s="418"/>
      <c r="NI118" s="418"/>
      <c r="NJ118" s="418"/>
      <c r="NK118" s="418"/>
      <c r="NL118" s="418"/>
      <c r="NM118" s="418"/>
      <c r="NN118" s="418"/>
      <c r="NO118" s="418"/>
      <c r="NP118" s="418"/>
      <c r="NQ118" s="418"/>
      <c r="NR118" s="418"/>
      <c r="NS118" s="418"/>
      <c r="NT118" s="418"/>
      <c r="NU118" s="418"/>
      <c r="NV118" s="418"/>
      <c r="NW118" s="418"/>
      <c r="NX118" s="418"/>
      <c r="NY118" s="418"/>
      <c r="NZ118" s="418"/>
      <c r="OA118" s="418"/>
      <c r="OB118" s="418"/>
      <c r="OC118" s="418"/>
      <c r="OD118" s="418"/>
      <c r="OE118" s="418"/>
      <c r="OF118" s="418"/>
      <c r="OG118" s="418"/>
      <c r="OH118" s="418"/>
      <c r="OI118" s="418"/>
      <c r="OJ118" s="418"/>
      <c r="OK118" s="418"/>
      <c r="OL118" s="418"/>
      <c r="OM118" s="418"/>
      <c r="ON118" s="418"/>
      <c r="OO118" s="418"/>
      <c r="OP118" s="418"/>
      <c r="OQ118" s="418"/>
      <c r="OR118" s="418"/>
      <c r="OS118" s="418"/>
      <c r="OT118" s="418"/>
      <c r="OU118" s="418"/>
      <c r="OV118" s="418"/>
      <c r="OW118" s="418"/>
      <c r="OX118" s="418"/>
      <c r="OY118" s="418"/>
      <c r="OZ118" s="418"/>
      <c r="PA118" s="418"/>
      <c r="PB118" s="418"/>
      <c r="PC118" s="418"/>
      <c r="PD118" s="418"/>
      <c r="PE118" s="418"/>
      <c r="PF118" s="418"/>
      <c r="PG118" s="418"/>
      <c r="PH118" s="418"/>
      <c r="PI118" s="418"/>
      <c r="PJ118" s="418"/>
      <c r="PK118" s="418"/>
      <c r="PL118" s="418"/>
      <c r="PM118" s="418"/>
      <c r="PN118" s="418"/>
      <c r="PO118" s="418"/>
      <c r="PP118" s="418"/>
      <c r="PQ118" s="418"/>
      <c r="PR118" s="418"/>
      <c r="PS118" s="418"/>
      <c r="PT118" s="418"/>
      <c r="PU118" s="418"/>
      <c r="PV118" s="418"/>
      <c r="PW118" s="418"/>
      <c r="PX118" s="418"/>
      <c r="PY118" s="418"/>
      <c r="PZ118" s="418"/>
      <c r="QA118" s="418"/>
      <c r="QB118" s="418"/>
      <c r="QC118" s="418"/>
      <c r="QD118" s="418"/>
      <c r="QE118" s="418"/>
      <c r="QF118" s="418"/>
      <c r="QG118" s="418"/>
      <c r="QH118" s="418"/>
      <c r="QI118" s="418"/>
      <c r="QJ118" s="418"/>
      <c r="QK118" s="418"/>
      <c r="QL118" s="418"/>
      <c r="QM118" s="418"/>
      <c r="QN118" s="418"/>
      <c r="QO118" s="418"/>
      <c r="QP118" s="418"/>
      <c r="QQ118" s="418"/>
      <c r="QR118" s="418"/>
      <c r="QS118" s="418"/>
      <c r="QT118" s="418"/>
      <c r="QU118" s="418"/>
      <c r="QV118" s="418"/>
      <c r="QW118" s="418"/>
      <c r="QX118" s="418"/>
      <c r="QY118" s="418"/>
      <c r="QZ118" s="418"/>
      <c r="RA118" s="418"/>
      <c r="RB118" s="418"/>
      <c r="RC118" s="418"/>
      <c r="RD118" s="418"/>
      <c r="RE118" s="418"/>
      <c r="RF118" s="418"/>
      <c r="RG118" s="418"/>
      <c r="RH118" s="418"/>
      <c r="RI118" s="418"/>
      <c r="RJ118" s="418"/>
      <c r="RK118" s="418"/>
      <c r="RL118" s="418"/>
      <c r="RM118" s="418"/>
      <c r="RN118" s="418"/>
      <c r="RO118" s="418"/>
      <c r="RP118" s="418"/>
      <c r="RQ118" s="418"/>
      <c r="RR118" s="418"/>
      <c r="RS118" s="418"/>
      <c r="RT118" s="418"/>
      <c r="RU118" s="418"/>
      <c r="RV118" s="418"/>
      <c r="RW118" s="418"/>
      <c r="RX118" s="418"/>
      <c r="RY118" s="418"/>
      <c r="RZ118" s="418"/>
      <c r="SA118" s="418"/>
      <c r="SB118" s="418"/>
      <c r="SC118" s="418"/>
      <c r="SD118" s="418"/>
      <c r="SE118" s="418"/>
      <c r="SF118" s="418"/>
      <c r="SG118" s="418"/>
      <c r="SH118" s="418"/>
      <c r="SI118" s="418"/>
      <c r="SJ118" s="418"/>
      <c r="SK118" s="418"/>
      <c r="SL118" s="418"/>
      <c r="SM118" s="418"/>
      <c r="SN118" s="418"/>
      <c r="SO118" s="418"/>
      <c r="SP118" s="418"/>
      <c r="SQ118" s="418"/>
      <c r="SR118" s="418"/>
      <c r="SS118" s="418"/>
      <c r="ST118" s="418"/>
      <c r="SU118" s="418"/>
      <c r="SV118" s="418"/>
      <c r="SW118" s="418"/>
      <c r="SX118" s="418"/>
      <c r="SY118" s="418"/>
      <c r="SZ118" s="418"/>
      <c r="TA118" s="418"/>
      <c r="TB118" s="418"/>
      <c r="TC118" s="418"/>
      <c r="TD118" s="418"/>
      <c r="TE118" s="418"/>
      <c r="TF118" s="418"/>
      <c r="TG118" s="418"/>
      <c r="TH118" s="418"/>
      <c r="TI118" s="418"/>
      <c r="TJ118" s="418"/>
      <c r="TK118" s="418"/>
      <c r="TL118" s="418"/>
      <c r="TM118" s="418"/>
      <c r="TN118" s="418"/>
      <c r="TO118" s="418"/>
      <c r="TP118" s="418"/>
      <c r="TQ118" s="418"/>
      <c r="TR118" s="418"/>
      <c r="TS118" s="418"/>
      <c r="TT118" s="418"/>
      <c r="TU118" s="418"/>
      <c r="TV118" s="418"/>
      <c r="TW118" s="418"/>
      <c r="TX118" s="418"/>
      <c r="TY118" s="418"/>
      <c r="TZ118" s="418"/>
      <c r="UA118" s="418"/>
      <c r="UB118" s="418"/>
      <c r="UC118" s="418"/>
      <c r="UD118" s="418"/>
      <c r="UE118" s="418"/>
      <c r="UF118" s="418"/>
      <c r="UG118" s="418"/>
      <c r="UH118" s="418"/>
      <c r="UI118" s="418"/>
      <c r="UJ118" s="418"/>
      <c r="UK118" s="418"/>
      <c r="UL118" s="418"/>
      <c r="UM118" s="418"/>
      <c r="UN118" s="418"/>
      <c r="UO118" s="418"/>
      <c r="UP118" s="418"/>
      <c r="UQ118" s="418"/>
      <c r="UR118" s="418"/>
      <c r="US118" s="418"/>
      <c r="UT118" s="418"/>
      <c r="UU118" s="418"/>
      <c r="UV118" s="418"/>
      <c r="UW118" s="418"/>
      <c r="UX118" s="418"/>
      <c r="UY118" s="418"/>
      <c r="UZ118" s="418"/>
      <c r="VA118" s="418"/>
      <c r="VB118" s="418"/>
      <c r="VC118" s="418"/>
      <c r="VD118" s="418"/>
      <c r="VE118" s="418"/>
      <c r="VF118" s="418"/>
      <c r="VG118" s="418"/>
      <c r="VH118" s="418"/>
      <c r="VI118" s="418"/>
      <c r="VJ118" s="418"/>
      <c r="VK118" s="418"/>
      <c r="VL118" s="418"/>
      <c r="VM118" s="418"/>
      <c r="VN118" s="418"/>
      <c r="VO118" s="418"/>
      <c r="VP118" s="418"/>
      <c r="VQ118" s="418"/>
      <c r="VR118" s="418"/>
      <c r="VS118" s="418"/>
      <c r="VT118" s="418"/>
      <c r="VU118" s="418"/>
      <c r="VV118" s="418"/>
      <c r="VW118" s="418"/>
      <c r="VX118" s="418"/>
      <c r="VY118" s="418"/>
      <c r="VZ118" s="418"/>
      <c r="WA118" s="418"/>
      <c r="WB118" s="418"/>
      <c r="WC118" s="418"/>
      <c r="WD118" s="418"/>
      <c r="WE118" s="418"/>
      <c r="WF118" s="418"/>
      <c r="WG118" s="418"/>
      <c r="WH118" s="418"/>
      <c r="WI118" s="418"/>
      <c r="WJ118" s="418"/>
      <c r="WK118" s="418"/>
      <c r="WL118" s="418"/>
      <c r="WM118" s="418"/>
      <c r="WN118" s="418"/>
      <c r="WO118" s="418"/>
      <c r="WP118" s="418"/>
      <c r="WQ118" s="418"/>
      <c r="WR118" s="418"/>
      <c r="WS118" s="418"/>
      <c r="WT118" s="418"/>
      <c r="WU118" s="418"/>
      <c r="WV118" s="418"/>
      <c r="WW118" s="418"/>
      <c r="WX118" s="418"/>
      <c r="WY118" s="418"/>
      <c r="WZ118" s="418"/>
      <c r="XA118" s="418"/>
      <c r="XB118" s="418"/>
      <c r="XC118" s="418"/>
      <c r="XD118" s="418"/>
      <c r="XE118" s="418"/>
      <c r="XF118" s="418"/>
      <c r="XG118" s="418"/>
      <c r="XH118" s="418"/>
      <c r="XI118" s="418"/>
      <c r="XJ118" s="418"/>
      <c r="XK118" s="418"/>
      <c r="XL118" s="418"/>
      <c r="XM118" s="418"/>
      <c r="XN118" s="418"/>
      <c r="XO118" s="418"/>
      <c r="XP118" s="418"/>
      <c r="XQ118" s="418"/>
      <c r="XR118" s="418"/>
      <c r="XS118" s="418"/>
      <c r="XT118" s="418"/>
      <c r="XU118" s="418"/>
      <c r="XV118" s="418"/>
      <c r="XW118" s="418"/>
      <c r="XX118" s="418"/>
      <c r="XY118" s="418"/>
      <c r="XZ118" s="418"/>
      <c r="YA118" s="418"/>
      <c r="YB118" s="418"/>
      <c r="YC118" s="418"/>
      <c r="YD118" s="418"/>
      <c r="YE118" s="418"/>
      <c r="YF118" s="418"/>
      <c r="YG118" s="418"/>
      <c r="YH118" s="418"/>
      <c r="YI118" s="418"/>
      <c r="YJ118" s="418"/>
      <c r="YK118" s="418"/>
      <c r="YL118" s="418"/>
      <c r="YM118" s="418"/>
      <c r="YN118" s="418"/>
      <c r="YO118" s="418"/>
      <c r="YP118" s="418"/>
      <c r="YQ118" s="418"/>
      <c r="YR118" s="418"/>
      <c r="YS118" s="418"/>
      <c r="YT118" s="418"/>
      <c r="YU118" s="418"/>
      <c r="YV118" s="418"/>
      <c r="YW118" s="418"/>
      <c r="YX118" s="418"/>
      <c r="YY118" s="418"/>
      <c r="YZ118" s="418"/>
      <c r="ZA118" s="418"/>
      <c r="ZB118" s="418"/>
      <c r="ZC118" s="418"/>
      <c r="ZD118" s="418"/>
      <c r="ZE118" s="418"/>
      <c r="ZF118" s="418"/>
      <c r="ZG118" s="418"/>
      <c r="ZH118" s="418"/>
      <c r="ZI118" s="418"/>
      <c r="ZJ118" s="418"/>
      <c r="ZK118" s="418"/>
      <c r="ZL118" s="418"/>
      <c r="ZM118" s="418"/>
      <c r="ZN118" s="418"/>
      <c r="ZO118" s="418"/>
      <c r="ZP118" s="418"/>
      <c r="ZQ118" s="418"/>
      <c r="ZR118" s="418"/>
      <c r="ZS118" s="418"/>
      <c r="ZT118" s="418"/>
      <c r="ZU118" s="418"/>
      <c r="ZV118" s="418"/>
      <c r="ZW118" s="418"/>
      <c r="ZX118" s="418"/>
      <c r="ZY118" s="418"/>
      <c r="ZZ118" s="418"/>
      <c r="AAA118" s="418"/>
      <c r="AAB118" s="418"/>
      <c r="AAC118" s="418"/>
      <c r="AAD118" s="418"/>
      <c r="AAE118" s="418"/>
      <c r="AAF118" s="418"/>
      <c r="AAG118" s="418"/>
      <c r="AAH118" s="418"/>
      <c r="AAI118" s="418"/>
      <c r="AAJ118" s="418"/>
      <c r="AAK118" s="418"/>
      <c r="AAL118" s="418"/>
      <c r="AAM118" s="418"/>
      <c r="AAN118" s="418"/>
      <c r="AAO118" s="418"/>
      <c r="AAP118" s="418"/>
      <c r="AAQ118" s="418"/>
      <c r="AAR118" s="418"/>
      <c r="AAS118" s="418"/>
      <c r="AAT118" s="418"/>
      <c r="AAU118" s="418"/>
      <c r="AAV118" s="418"/>
      <c r="AAW118" s="418"/>
      <c r="AAX118" s="418"/>
      <c r="AAY118" s="418"/>
      <c r="AAZ118" s="418"/>
      <c r="ABA118" s="418"/>
      <c r="ABB118" s="418"/>
      <c r="ABC118" s="418"/>
      <c r="ABD118" s="418"/>
      <c r="ABE118" s="418"/>
      <c r="ABF118" s="418"/>
      <c r="ABG118" s="418"/>
      <c r="ABH118" s="418"/>
      <c r="ABI118" s="418"/>
      <c r="ABJ118" s="418"/>
      <c r="ABK118" s="418"/>
      <c r="ABL118" s="418"/>
      <c r="ABM118" s="418"/>
      <c r="ABN118" s="418"/>
      <c r="ABO118" s="418"/>
      <c r="ABP118" s="418"/>
      <c r="ABQ118" s="418"/>
      <c r="ABR118" s="418"/>
      <c r="ABS118" s="418"/>
      <c r="ABT118" s="418"/>
      <c r="ABU118" s="418"/>
      <c r="ABV118" s="418"/>
      <c r="ABW118" s="418"/>
      <c r="ABX118" s="418"/>
      <c r="ABY118" s="418"/>
      <c r="ABZ118" s="418"/>
      <c r="ACA118" s="418"/>
      <c r="ACB118" s="418"/>
      <c r="ACC118" s="418"/>
      <c r="ACD118" s="418"/>
      <c r="ACE118" s="418"/>
      <c r="ACF118" s="418"/>
      <c r="ACG118" s="418"/>
      <c r="ACH118" s="418"/>
      <c r="ACI118" s="418"/>
      <c r="ACJ118" s="418"/>
      <c r="ACK118" s="418"/>
      <c r="ACL118" s="418"/>
      <c r="ACM118" s="418"/>
      <c r="ACN118" s="418"/>
      <c r="ACO118" s="418"/>
      <c r="ACP118" s="418"/>
      <c r="ACQ118" s="418"/>
      <c r="ACR118" s="418"/>
      <c r="ACS118" s="418"/>
      <c r="ACT118" s="418"/>
      <c r="ACU118" s="418"/>
      <c r="ACV118" s="418"/>
      <c r="ACW118" s="418"/>
      <c r="ACX118" s="418"/>
      <c r="ACY118" s="418"/>
      <c r="ACZ118" s="418"/>
      <c r="ADA118" s="418"/>
      <c r="ADB118" s="418"/>
      <c r="ADC118" s="418"/>
      <c r="ADD118" s="418"/>
      <c r="ADE118" s="418"/>
      <c r="ADF118" s="418"/>
      <c r="ADG118" s="418"/>
      <c r="ADH118" s="418"/>
      <c r="ADI118" s="418"/>
      <c r="ADJ118" s="418"/>
      <c r="ADK118" s="418"/>
      <c r="ADL118" s="418"/>
      <c r="ADM118" s="418"/>
      <c r="ADN118" s="418"/>
      <c r="ADO118" s="418"/>
      <c r="ADP118" s="418"/>
      <c r="ADQ118" s="418"/>
      <c r="ADR118" s="418"/>
      <c r="ADS118" s="418"/>
      <c r="ADT118" s="418"/>
      <c r="ADU118" s="418"/>
      <c r="ADV118" s="418"/>
      <c r="ADW118" s="418"/>
      <c r="ADX118" s="418"/>
      <c r="ADY118" s="418"/>
      <c r="ADZ118" s="418"/>
      <c r="AEA118" s="418"/>
      <c r="AEB118" s="418"/>
      <c r="AEC118" s="418"/>
      <c r="AED118" s="418"/>
      <c r="AEE118" s="418"/>
      <c r="AEF118" s="418"/>
      <c r="AEG118" s="418"/>
      <c r="AEH118" s="418"/>
      <c r="AEI118" s="418"/>
      <c r="AEJ118" s="418"/>
      <c r="AEK118" s="418"/>
      <c r="AEL118" s="418"/>
      <c r="AEM118" s="418"/>
      <c r="AEN118" s="418"/>
      <c r="AEO118" s="418"/>
      <c r="AEP118" s="418"/>
      <c r="AEQ118" s="418"/>
      <c r="AER118" s="418"/>
      <c r="AES118" s="418"/>
      <c r="AET118" s="418"/>
      <c r="AEU118" s="418"/>
      <c r="AEV118" s="418"/>
      <c r="AEW118" s="418"/>
      <c r="AEX118" s="418"/>
      <c r="AEY118" s="418"/>
      <c r="AEZ118" s="418"/>
      <c r="AFA118" s="418"/>
      <c r="AFB118" s="418"/>
      <c r="AFC118" s="418"/>
      <c r="AFD118" s="418"/>
      <c r="AFE118" s="418"/>
      <c r="AFF118" s="418"/>
      <c r="AFG118" s="418"/>
      <c r="AFH118" s="418"/>
      <c r="AFI118" s="418"/>
      <c r="AFJ118" s="418"/>
      <c r="AFK118" s="418"/>
      <c r="AFL118" s="418"/>
      <c r="AFM118" s="418"/>
      <c r="AFN118" s="418"/>
      <c r="AFO118" s="418"/>
      <c r="AFP118" s="418"/>
      <c r="AFQ118" s="418"/>
      <c r="AFR118" s="418"/>
      <c r="AFS118" s="418"/>
      <c r="AFT118" s="418"/>
      <c r="AFU118" s="418"/>
      <c r="AFV118" s="418"/>
      <c r="AFW118" s="418"/>
      <c r="AFX118" s="418"/>
      <c r="AFY118" s="418"/>
      <c r="AFZ118" s="418"/>
      <c r="AGA118" s="418"/>
      <c r="AGB118" s="418"/>
      <c r="AGC118" s="418"/>
      <c r="AGD118" s="418"/>
      <c r="AGE118" s="418"/>
      <c r="AGF118" s="418"/>
      <c r="AGG118" s="418"/>
      <c r="AGH118" s="418"/>
      <c r="AGI118" s="418"/>
      <c r="AGJ118" s="418"/>
      <c r="AGK118" s="418"/>
      <c r="AGL118" s="418"/>
      <c r="AGM118" s="418"/>
      <c r="AGN118" s="418"/>
      <c r="AGO118" s="418"/>
      <c r="AGP118" s="418"/>
      <c r="AGQ118" s="418"/>
      <c r="AGR118" s="418"/>
      <c r="AGS118" s="418"/>
      <c r="AGT118" s="418"/>
      <c r="AGU118" s="418"/>
      <c r="AGV118" s="418"/>
      <c r="AGW118" s="418"/>
      <c r="AGX118" s="418"/>
      <c r="AGY118" s="418"/>
      <c r="AGZ118" s="418"/>
      <c r="AHA118" s="418"/>
      <c r="AHB118" s="418"/>
      <c r="AHC118" s="418"/>
      <c r="AHD118" s="418"/>
      <c r="AHE118" s="418"/>
      <c r="AHF118" s="418"/>
      <c r="AHG118" s="418"/>
      <c r="AHH118" s="418"/>
      <c r="AHI118" s="418"/>
      <c r="AHJ118" s="418"/>
      <c r="AHK118" s="418"/>
      <c r="AHL118" s="418"/>
      <c r="AHM118" s="418"/>
      <c r="AHN118" s="418"/>
      <c r="AHO118" s="418"/>
      <c r="AHP118" s="418"/>
      <c r="AHQ118" s="418"/>
      <c r="AHR118" s="418"/>
      <c r="AHS118" s="418"/>
      <c r="AHT118" s="418"/>
      <c r="AHU118" s="418"/>
      <c r="AHV118" s="418"/>
      <c r="AHW118" s="418"/>
      <c r="AHX118" s="418"/>
      <c r="AHY118" s="418"/>
      <c r="AHZ118" s="418"/>
      <c r="AIA118" s="418"/>
      <c r="AIB118" s="418"/>
      <c r="AIC118" s="418"/>
      <c r="AID118" s="418"/>
      <c r="AIE118" s="418"/>
      <c r="AIF118" s="418"/>
      <c r="AIG118" s="418"/>
      <c r="AIH118" s="418"/>
      <c r="AII118" s="418"/>
      <c r="AIJ118" s="418"/>
      <c r="AIK118" s="418"/>
      <c r="AIL118" s="418"/>
      <c r="AIM118" s="418"/>
      <c r="AIN118" s="418"/>
      <c r="AIO118" s="418"/>
      <c r="AIP118" s="418"/>
      <c r="AIQ118" s="418"/>
      <c r="AIR118" s="418"/>
      <c r="AIS118" s="418"/>
      <c r="AIT118" s="418"/>
      <c r="AIU118" s="418"/>
      <c r="AIV118" s="418"/>
      <c r="AIW118" s="418"/>
      <c r="AIX118" s="418"/>
      <c r="AIY118" s="418"/>
      <c r="AIZ118" s="418"/>
      <c r="AJA118" s="418"/>
      <c r="AJB118" s="418"/>
      <c r="AJC118" s="418"/>
      <c r="AJD118" s="418"/>
      <c r="AJE118" s="418"/>
      <c r="AJF118" s="418"/>
      <c r="AJG118" s="418"/>
      <c r="AJH118" s="418"/>
      <c r="AJI118" s="418"/>
      <c r="AJJ118" s="418"/>
      <c r="AJK118" s="418"/>
      <c r="AJL118" s="418"/>
      <c r="AJM118" s="418"/>
      <c r="AJN118" s="418"/>
      <c r="AJO118" s="418"/>
      <c r="AJP118" s="418"/>
      <c r="AJQ118" s="418"/>
      <c r="AJR118" s="418"/>
      <c r="AJS118" s="418"/>
      <c r="AJT118" s="418"/>
      <c r="AJU118" s="418"/>
      <c r="AJV118" s="418"/>
      <c r="AJW118" s="418"/>
      <c r="AJX118" s="418"/>
      <c r="AJY118" s="418"/>
      <c r="AJZ118" s="418"/>
      <c r="AKA118" s="418"/>
      <c r="AKB118" s="418"/>
      <c r="AKC118" s="418"/>
      <c r="AKD118" s="418"/>
      <c r="AKE118" s="418"/>
      <c r="AKF118" s="418"/>
      <c r="AKG118" s="418"/>
      <c r="AKH118" s="418"/>
      <c r="AKI118" s="418"/>
      <c r="AKJ118" s="418"/>
      <c r="AKK118" s="418"/>
      <c r="AKL118" s="418"/>
      <c r="AKM118" s="418"/>
      <c r="AKN118" s="418"/>
      <c r="AKO118" s="418"/>
      <c r="AKP118" s="418"/>
      <c r="AKQ118" s="418"/>
      <c r="AKR118" s="418"/>
      <c r="AKS118" s="418"/>
      <c r="AKT118" s="418"/>
      <c r="AKU118" s="418"/>
      <c r="AKV118" s="418"/>
      <c r="AKW118" s="418"/>
      <c r="AKX118" s="418"/>
      <c r="AKY118" s="418"/>
      <c r="AKZ118" s="418"/>
      <c r="ALA118" s="418"/>
      <c r="ALB118" s="418"/>
      <c r="ALC118" s="418"/>
      <c r="ALD118" s="418"/>
      <c r="ALE118" s="418"/>
      <c r="ALF118" s="418"/>
      <c r="ALG118" s="418"/>
      <c r="ALH118" s="418"/>
      <c r="ALI118" s="418"/>
      <c r="ALJ118" s="418"/>
      <c r="ALK118" s="418"/>
      <c r="ALL118" s="418"/>
      <c r="ALM118" s="418"/>
      <c r="ALN118" s="418"/>
      <c r="ALO118" s="418"/>
      <c r="ALP118" s="418"/>
      <c r="ALQ118" s="418"/>
      <c r="ALR118" s="418"/>
      <c r="ALS118" s="418"/>
      <c r="ALT118" s="418"/>
      <c r="ALU118" s="418"/>
      <c r="ALV118" s="418"/>
      <c r="ALW118" s="418"/>
      <c r="ALX118" s="418"/>
      <c r="ALY118" s="418"/>
      <c r="ALZ118" s="418"/>
      <c r="AMA118" s="418"/>
      <c r="AMB118" s="418"/>
      <c r="AMC118" s="418"/>
      <c r="AMD118" s="418"/>
      <c r="AME118" s="418"/>
      <c r="AMF118" s="418"/>
      <c r="AMG118" s="418"/>
      <c r="AMH118" s="418"/>
      <c r="AMI118" s="418"/>
      <c r="AMJ118" s="418"/>
      <c r="AMK118" s="418"/>
      <c r="AML118" s="418"/>
      <c r="AMM118" s="418"/>
      <c r="AMN118" s="418"/>
      <c r="AMO118" s="418"/>
      <c r="AMP118" s="418"/>
      <c r="AMQ118" s="418"/>
      <c r="AMR118" s="418"/>
      <c r="AMS118" s="418"/>
      <c r="AMT118" s="418"/>
      <c r="AMU118" s="418"/>
      <c r="AMV118" s="418"/>
      <c r="AMW118" s="418"/>
      <c r="AMX118" s="418"/>
      <c r="AMY118" s="418"/>
      <c r="AMZ118" s="418"/>
      <c r="ANA118" s="418"/>
      <c r="ANB118" s="418"/>
      <c r="ANC118" s="418"/>
      <c r="AND118" s="418"/>
      <c r="ANE118" s="418"/>
      <c r="ANF118" s="418"/>
      <c r="ANG118" s="418"/>
      <c r="ANH118" s="418"/>
      <c r="ANI118" s="418"/>
      <c r="ANJ118" s="418"/>
      <c r="ANK118" s="418"/>
      <c r="ANL118" s="418"/>
      <c r="ANM118" s="418"/>
      <c r="ANN118" s="418"/>
      <c r="ANO118" s="418"/>
      <c r="ANP118" s="418"/>
      <c r="ANQ118" s="418"/>
      <c r="ANR118" s="418"/>
      <c r="ANS118" s="418"/>
      <c r="ANT118" s="418"/>
      <c r="ANU118" s="418"/>
      <c r="ANV118" s="418"/>
      <c r="ANW118" s="418"/>
      <c r="ANX118" s="418"/>
      <c r="ANY118" s="418"/>
      <c r="ANZ118" s="418"/>
      <c r="AOA118" s="418"/>
      <c r="AOB118" s="418"/>
      <c r="AOC118" s="418"/>
      <c r="AOD118" s="418"/>
      <c r="AOE118" s="418"/>
      <c r="AOF118" s="418"/>
      <c r="AOG118" s="418"/>
      <c r="AOH118" s="418"/>
      <c r="AOI118" s="418"/>
      <c r="AOJ118" s="418"/>
      <c r="AOK118" s="418"/>
      <c r="AOL118" s="418"/>
      <c r="AOM118" s="418"/>
      <c r="AON118" s="418"/>
      <c r="AOO118" s="418"/>
      <c r="AOP118" s="418"/>
      <c r="AOQ118" s="418"/>
      <c r="AOR118" s="418"/>
      <c r="AOS118" s="418"/>
      <c r="AOT118" s="418"/>
      <c r="AOU118" s="418"/>
      <c r="AOV118" s="418"/>
      <c r="AOW118" s="418"/>
      <c r="AOX118" s="418"/>
      <c r="AOY118" s="418"/>
      <c r="AOZ118" s="418"/>
      <c r="APA118" s="418"/>
      <c r="APB118" s="418"/>
      <c r="APC118" s="418"/>
      <c r="APD118" s="418"/>
      <c r="APE118" s="418"/>
      <c r="APF118" s="418"/>
      <c r="APG118" s="418"/>
      <c r="APH118" s="418"/>
      <c r="API118" s="418"/>
      <c r="APJ118" s="418"/>
      <c r="APK118" s="418"/>
      <c r="APL118" s="418"/>
      <c r="APM118" s="418"/>
      <c r="APN118" s="418"/>
      <c r="APO118" s="418"/>
      <c r="APP118" s="418"/>
      <c r="APQ118" s="418"/>
      <c r="APR118" s="418"/>
      <c r="APS118" s="418"/>
      <c r="APT118" s="418"/>
      <c r="APU118" s="418"/>
      <c r="APV118" s="418"/>
      <c r="APW118" s="418"/>
      <c r="APX118" s="418"/>
      <c r="APY118" s="418"/>
      <c r="APZ118" s="418"/>
      <c r="AQA118" s="418"/>
      <c r="AQB118" s="418"/>
      <c r="AQC118" s="418"/>
      <c r="AQD118" s="418"/>
      <c r="AQE118" s="418"/>
      <c r="AQF118" s="418"/>
      <c r="AQG118" s="418"/>
      <c r="AQH118" s="418"/>
      <c r="AQI118" s="418"/>
      <c r="AQJ118" s="418"/>
      <c r="AQK118" s="418"/>
      <c r="AQL118" s="418"/>
      <c r="AQM118" s="418"/>
      <c r="AQN118" s="418"/>
      <c r="AQO118" s="418"/>
      <c r="AQP118" s="418"/>
      <c r="AQQ118" s="418"/>
      <c r="AQR118" s="418"/>
      <c r="AQS118" s="418"/>
      <c r="AQT118" s="418"/>
      <c r="AQU118" s="418"/>
      <c r="AQV118" s="418"/>
      <c r="AQW118" s="418"/>
      <c r="AQX118" s="418"/>
      <c r="AQY118" s="418"/>
      <c r="AQZ118" s="418"/>
      <c r="ARA118" s="418"/>
      <c r="ARB118" s="418"/>
      <c r="ARC118" s="418"/>
      <c r="ARD118" s="418"/>
      <c r="ARE118" s="418"/>
      <c r="ARF118" s="418"/>
      <c r="ARG118" s="418"/>
      <c r="ARH118" s="418"/>
      <c r="ARI118" s="418"/>
      <c r="ARJ118" s="418"/>
      <c r="ARK118" s="418"/>
      <c r="ARL118" s="418"/>
      <c r="ARM118" s="418"/>
      <c r="ARN118" s="418"/>
      <c r="ARO118" s="418"/>
      <c r="ARP118" s="418"/>
      <c r="ARQ118" s="418"/>
      <c r="ARR118" s="418"/>
      <c r="ARS118" s="418"/>
      <c r="ART118" s="418"/>
      <c r="ARU118" s="418"/>
      <c r="ARV118" s="418"/>
      <c r="ARW118" s="418"/>
      <c r="ARX118" s="418"/>
      <c r="ARY118" s="418"/>
      <c r="ARZ118" s="418"/>
      <c r="ASA118" s="418"/>
      <c r="ASB118" s="418"/>
      <c r="ASC118" s="418"/>
      <c r="ASD118" s="418"/>
      <c r="ASE118" s="418"/>
      <c r="ASF118" s="418"/>
      <c r="ASG118" s="418"/>
      <c r="ASH118" s="418"/>
      <c r="ASI118" s="418"/>
      <c r="ASJ118" s="418"/>
      <c r="ASK118" s="418"/>
      <c r="ASL118" s="418"/>
      <c r="ASM118" s="418"/>
      <c r="ASN118" s="418"/>
      <c r="ASO118" s="418"/>
      <c r="ASP118" s="418"/>
      <c r="ASQ118" s="418"/>
      <c r="ASR118" s="418"/>
      <c r="ASS118" s="418"/>
      <c r="AST118" s="418"/>
      <c r="ASU118" s="418"/>
      <c r="ASV118" s="418"/>
      <c r="ASW118" s="418"/>
      <c r="ASX118" s="418"/>
      <c r="ASY118" s="418"/>
      <c r="ASZ118" s="418"/>
      <c r="ATA118" s="418"/>
      <c r="ATB118" s="418"/>
      <c r="ATC118" s="418"/>
      <c r="ATD118" s="418"/>
      <c r="ATE118" s="418"/>
      <c r="ATF118" s="418"/>
      <c r="ATG118" s="418"/>
      <c r="ATH118" s="418"/>
      <c r="ATI118" s="418"/>
      <c r="ATJ118" s="418"/>
      <c r="ATK118" s="418"/>
      <c r="ATL118" s="418"/>
      <c r="ATM118" s="418"/>
      <c r="ATN118" s="418"/>
      <c r="ATO118" s="418"/>
      <c r="ATP118" s="418"/>
      <c r="ATQ118" s="418"/>
      <c r="ATR118" s="418"/>
      <c r="ATS118" s="418"/>
      <c r="ATT118" s="418"/>
      <c r="ATU118" s="418"/>
      <c r="ATV118" s="418"/>
      <c r="ATW118" s="418"/>
      <c r="ATX118" s="418"/>
      <c r="ATY118" s="418"/>
      <c r="ATZ118" s="418"/>
      <c r="AUA118" s="418"/>
      <c r="AUB118" s="418"/>
      <c r="AUC118" s="418"/>
      <c r="AUD118" s="418"/>
      <c r="AUE118" s="418"/>
      <c r="AUF118" s="418"/>
      <c r="AUG118" s="418"/>
      <c r="AUH118" s="418"/>
      <c r="AUI118" s="418"/>
      <c r="AUJ118" s="418"/>
      <c r="AUK118" s="418"/>
      <c r="AUL118" s="418"/>
      <c r="AUM118" s="418"/>
      <c r="AUN118" s="418"/>
      <c r="AUO118" s="418"/>
      <c r="AUP118" s="418"/>
      <c r="AUQ118" s="418"/>
      <c r="AUR118" s="418"/>
      <c r="AUS118" s="418"/>
      <c r="AUT118" s="418"/>
      <c r="AUU118" s="418"/>
      <c r="AUV118" s="418"/>
      <c r="AUW118" s="418"/>
      <c r="AUX118" s="418"/>
      <c r="AUY118" s="418"/>
      <c r="AUZ118" s="418"/>
      <c r="AVA118" s="418"/>
      <c r="AVB118" s="418"/>
      <c r="AVC118" s="418"/>
      <c r="AVD118" s="418"/>
      <c r="AVE118" s="418"/>
      <c r="AVF118" s="418"/>
      <c r="AVG118" s="418"/>
      <c r="AVH118" s="418"/>
      <c r="AVI118" s="418"/>
      <c r="AVJ118" s="418"/>
      <c r="AVK118" s="418"/>
      <c r="AVL118" s="418"/>
      <c r="AVM118" s="418"/>
      <c r="AVN118" s="418"/>
      <c r="AVO118" s="418"/>
      <c r="AVP118" s="418"/>
      <c r="AVQ118" s="418"/>
      <c r="AVR118" s="418"/>
      <c r="AVS118" s="418"/>
      <c r="AVT118" s="418"/>
      <c r="AVU118" s="418"/>
      <c r="AVV118" s="418"/>
      <c r="AVW118" s="418"/>
      <c r="AVX118" s="418"/>
      <c r="AVY118" s="418"/>
      <c r="AVZ118" s="418"/>
      <c r="AWA118" s="418"/>
      <c r="AWB118" s="418"/>
      <c r="AWC118" s="418"/>
      <c r="AWD118" s="418"/>
      <c r="AWE118" s="418"/>
      <c r="AWF118" s="418"/>
      <c r="AWG118" s="418"/>
      <c r="AWH118" s="418"/>
      <c r="AWI118" s="418"/>
      <c r="AWJ118" s="418"/>
      <c r="AWK118" s="418"/>
      <c r="AWL118" s="418"/>
      <c r="AWM118" s="418"/>
      <c r="AWN118" s="418"/>
      <c r="AWO118" s="418"/>
      <c r="AWP118" s="418"/>
      <c r="AWQ118" s="418"/>
      <c r="AWR118" s="418"/>
      <c r="AWS118" s="418"/>
      <c r="AWT118" s="418"/>
      <c r="AWU118" s="418"/>
      <c r="AWV118" s="418"/>
      <c r="AWW118" s="418"/>
      <c r="AWX118" s="418"/>
      <c r="AWY118" s="418"/>
      <c r="AWZ118" s="418"/>
      <c r="AXA118" s="418"/>
      <c r="AXB118" s="418"/>
      <c r="AXC118" s="418"/>
      <c r="AXD118" s="418"/>
      <c r="AXE118" s="418"/>
      <c r="AXF118" s="418"/>
      <c r="AXG118" s="418"/>
      <c r="AXH118" s="418"/>
      <c r="AXI118" s="418"/>
      <c r="AXJ118" s="418"/>
      <c r="AXK118" s="418"/>
      <c r="AXL118" s="418"/>
      <c r="AXM118" s="418"/>
      <c r="AXN118" s="418"/>
      <c r="AXO118" s="418"/>
      <c r="AXP118" s="418"/>
      <c r="AXQ118" s="418"/>
      <c r="AXR118" s="418"/>
      <c r="AXS118" s="418"/>
      <c r="AXT118" s="418"/>
      <c r="AXU118" s="418"/>
      <c r="AXV118" s="418"/>
      <c r="AXW118" s="418"/>
      <c r="AXX118" s="418"/>
      <c r="AXY118" s="418"/>
      <c r="AXZ118" s="418"/>
      <c r="AYA118" s="418"/>
      <c r="AYB118" s="418"/>
      <c r="AYC118" s="418"/>
      <c r="AYD118" s="418"/>
      <c r="AYE118" s="418"/>
      <c r="AYF118" s="418"/>
      <c r="AYG118" s="418"/>
      <c r="AYH118" s="418"/>
      <c r="AYI118" s="418"/>
      <c r="AYJ118" s="418"/>
      <c r="AYK118" s="418"/>
      <c r="AYL118" s="418"/>
      <c r="AYM118" s="418"/>
      <c r="AYN118" s="418"/>
      <c r="AYO118" s="418"/>
      <c r="AYP118" s="418"/>
      <c r="AYQ118" s="418"/>
      <c r="AYR118" s="418"/>
      <c r="AYS118" s="418"/>
      <c r="AYT118" s="418"/>
      <c r="AYU118" s="418"/>
      <c r="AYV118" s="418"/>
      <c r="AYW118" s="418"/>
      <c r="AYX118" s="418"/>
      <c r="AYY118" s="418"/>
      <c r="AYZ118" s="418"/>
      <c r="AZA118" s="418"/>
      <c r="AZB118" s="418"/>
      <c r="AZC118" s="418"/>
      <c r="AZD118" s="418"/>
      <c r="AZE118" s="418"/>
      <c r="AZF118" s="418"/>
      <c r="AZG118" s="418"/>
      <c r="AZH118" s="418"/>
      <c r="AZI118" s="418"/>
      <c r="AZJ118" s="418"/>
      <c r="AZK118" s="418"/>
      <c r="AZL118" s="418"/>
      <c r="AZM118" s="418"/>
      <c r="AZN118" s="418"/>
      <c r="AZO118" s="418"/>
      <c r="AZP118" s="418"/>
      <c r="AZQ118" s="418"/>
      <c r="AZR118" s="418"/>
      <c r="AZS118" s="418"/>
      <c r="AZT118" s="418"/>
      <c r="AZU118" s="418"/>
      <c r="AZV118" s="418"/>
      <c r="AZW118" s="418"/>
      <c r="AZX118" s="418"/>
      <c r="AZY118" s="418"/>
      <c r="AZZ118" s="418"/>
      <c r="BAA118" s="418"/>
      <c r="BAB118" s="418"/>
      <c r="BAC118" s="418"/>
      <c r="BAD118" s="418"/>
      <c r="BAE118" s="418"/>
      <c r="BAF118" s="418"/>
      <c r="BAG118" s="418"/>
      <c r="BAH118" s="418"/>
      <c r="BAI118" s="418"/>
      <c r="BAJ118" s="418"/>
      <c r="BAK118" s="418"/>
      <c r="BAL118" s="418"/>
      <c r="BAM118" s="418"/>
      <c r="BAN118" s="418"/>
      <c r="BAO118" s="418"/>
      <c r="BAP118" s="418"/>
      <c r="BAQ118" s="418"/>
      <c r="BAR118" s="418"/>
      <c r="BAS118" s="418"/>
      <c r="BAT118" s="418"/>
      <c r="BAU118" s="418"/>
      <c r="BAV118" s="418"/>
      <c r="BAW118" s="418"/>
      <c r="BAX118" s="418"/>
      <c r="BAY118" s="418"/>
      <c r="BAZ118" s="418"/>
      <c r="BBA118" s="418"/>
      <c r="BBB118" s="418"/>
      <c r="BBC118" s="418"/>
      <c r="BBD118" s="418"/>
      <c r="BBE118" s="418"/>
      <c r="BBF118" s="418"/>
      <c r="BBG118" s="418"/>
      <c r="BBH118" s="418"/>
      <c r="BBI118" s="418"/>
      <c r="BBJ118" s="418"/>
      <c r="BBK118" s="418"/>
      <c r="BBL118" s="418"/>
      <c r="BBM118" s="418"/>
      <c r="BBN118" s="418"/>
      <c r="BBO118" s="418"/>
      <c r="BBP118" s="418"/>
      <c r="BBQ118" s="418"/>
      <c r="BBR118" s="418"/>
      <c r="BBS118" s="418"/>
      <c r="BBT118" s="418"/>
      <c r="BBU118" s="418"/>
      <c r="BBV118" s="418"/>
      <c r="BBW118" s="418"/>
      <c r="BBX118" s="418"/>
      <c r="BBY118" s="418"/>
      <c r="BBZ118" s="418"/>
      <c r="BCA118" s="418"/>
      <c r="BCB118" s="418"/>
      <c r="BCC118" s="418"/>
      <c r="BCD118" s="418"/>
      <c r="BCE118" s="418"/>
      <c r="BCF118" s="418"/>
      <c r="BCG118" s="418"/>
      <c r="BCH118" s="418"/>
      <c r="BCI118" s="418"/>
      <c r="BCJ118" s="418"/>
      <c r="BCK118" s="418"/>
      <c r="BCL118" s="418"/>
      <c r="BCM118" s="418"/>
      <c r="BCN118" s="418"/>
      <c r="BCO118" s="418"/>
      <c r="BCP118" s="418"/>
      <c r="BCQ118" s="418"/>
      <c r="BCR118" s="418"/>
      <c r="BCS118" s="418"/>
      <c r="BCT118" s="418"/>
      <c r="BCU118" s="418"/>
      <c r="BCV118" s="418"/>
      <c r="BCW118" s="418"/>
      <c r="BCX118" s="418"/>
      <c r="BCY118" s="418"/>
      <c r="BCZ118" s="418"/>
      <c r="BDA118" s="418"/>
      <c r="BDB118" s="418"/>
      <c r="BDC118" s="418"/>
      <c r="BDD118" s="418"/>
      <c r="BDE118" s="418"/>
      <c r="BDF118" s="418"/>
      <c r="BDG118" s="418"/>
      <c r="BDH118" s="418"/>
      <c r="BDI118" s="418"/>
      <c r="BDJ118" s="418"/>
      <c r="BDK118" s="418"/>
      <c r="BDL118" s="418"/>
      <c r="BDM118" s="418"/>
      <c r="BDN118" s="418"/>
      <c r="BDO118" s="418"/>
      <c r="BDP118" s="418"/>
      <c r="BDQ118" s="418"/>
      <c r="BDR118" s="418"/>
      <c r="BDS118" s="418"/>
      <c r="BDT118" s="418"/>
      <c r="BDU118" s="418"/>
      <c r="BDV118" s="418"/>
      <c r="BDW118" s="418"/>
      <c r="BDX118" s="418"/>
      <c r="BDY118" s="418"/>
      <c r="BDZ118" s="418"/>
      <c r="BEA118" s="418"/>
      <c r="BEB118" s="418"/>
      <c r="BEC118" s="418"/>
      <c r="BED118" s="418"/>
      <c r="BEE118" s="418"/>
      <c r="BEF118" s="418"/>
      <c r="BEG118" s="418"/>
      <c r="BEH118" s="418"/>
      <c r="BEI118" s="418"/>
      <c r="BEJ118" s="418"/>
      <c r="BEK118" s="418"/>
      <c r="BEL118" s="418"/>
      <c r="BEM118" s="418"/>
      <c r="BEN118" s="418"/>
      <c r="BEO118" s="418"/>
      <c r="BEP118" s="418"/>
      <c r="BEQ118" s="418"/>
      <c r="BER118" s="418"/>
      <c r="BES118" s="418"/>
      <c r="BET118" s="418"/>
      <c r="BEU118" s="418"/>
      <c r="BEV118" s="418"/>
      <c r="BEW118" s="418"/>
      <c r="BEX118" s="418"/>
      <c r="BEY118" s="418"/>
      <c r="BEZ118" s="418"/>
      <c r="BFA118" s="418"/>
      <c r="BFB118" s="418"/>
      <c r="BFC118" s="418"/>
      <c r="BFD118" s="418"/>
      <c r="BFE118" s="418"/>
      <c r="BFF118" s="418"/>
      <c r="BFG118" s="418"/>
      <c r="BFH118" s="418"/>
      <c r="BFI118" s="418"/>
      <c r="BFJ118" s="418"/>
      <c r="BFK118" s="418"/>
      <c r="BFL118" s="418"/>
      <c r="BFM118" s="418"/>
      <c r="BFN118" s="418"/>
      <c r="BFO118" s="418"/>
      <c r="BFP118" s="418"/>
      <c r="BFQ118" s="418"/>
      <c r="BFR118" s="418"/>
      <c r="BFS118" s="418"/>
      <c r="BFT118" s="418"/>
      <c r="BFU118" s="418"/>
      <c r="BFV118" s="418"/>
      <c r="BFW118" s="418"/>
      <c r="BFX118" s="418"/>
      <c r="BFY118" s="418"/>
      <c r="BFZ118" s="418"/>
      <c r="BGA118" s="418"/>
      <c r="BGB118" s="418"/>
      <c r="BGC118" s="418"/>
      <c r="BGD118" s="418"/>
      <c r="BGE118" s="418"/>
      <c r="BGF118" s="418"/>
      <c r="BGG118" s="418"/>
      <c r="BGH118" s="418"/>
      <c r="BGI118" s="418"/>
      <c r="BGJ118" s="418"/>
      <c r="BGK118" s="418"/>
      <c r="BGL118" s="418"/>
      <c r="BGM118" s="418"/>
      <c r="BGN118" s="418"/>
      <c r="BGO118" s="418"/>
      <c r="BGP118" s="418"/>
      <c r="BGQ118" s="418"/>
      <c r="BGR118" s="418"/>
      <c r="BGS118" s="418"/>
      <c r="BGT118" s="418"/>
      <c r="BGU118" s="418"/>
      <c r="BGV118" s="418"/>
      <c r="BGW118" s="418"/>
      <c r="BGX118" s="418"/>
      <c r="BGY118" s="418"/>
      <c r="BGZ118" s="418"/>
      <c r="BHA118" s="418"/>
      <c r="BHB118" s="418"/>
      <c r="BHC118" s="418"/>
      <c r="BHD118" s="418"/>
      <c r="BHE118" s="418"/>
      <c r="BHF118" s="418"/>
      <c r="BHG118" s="418"/>
      <c r="BHH118" s="418"/>
      <c r="BHI118" s="418"/>
      <c r="BHJ118" s="418"/>
      <c r="BHK118" s="418"/>
      <c r="BHL118" s="418"/>
      <c r="BHM118" s="418"/>
      <c r="BHN118" s="418"/>
      <c r="BHO118" s="418"/>
      <c r="BHP118" s="418"/>
      <c r="BHQ118" s="418"/>
      <c r="BHR118" s="418"/>
      <c r="BHS118" s="418"/>
      <c r="BHT118" s="418"/>
      <c r="BHU118" s="418"/>
      <c r="BHV118" s="418"/>
      <c r="BHW118" s="418"/>
      <c r="BHX118" s="418"/>
      <c r="BHY118" s="418"/>
      <c r="BHZ118" s="418"/>
      <c r="BIA118" s="418"/>
      <c r="BIB118" s="418"/>
      <c r="BIC118" s="418"/>
      <c r="BID118" s="418"/>
      <c r="BIE118" s="418"/>
      <c r="BIF118" s="418"/>
      <c r="BIG118" s="418"/>
      <c r="BIH118" s="418"/>
      <c r="BII118" s="418"/>
      <c r="BIJ118" s="418"/>
      <c r="BIK118" s="418"/>
      <c r="BIL118" s="418"/>
      <c r="BIM118" s="418"/>
      <c r="BIN118" s="418"/>
      <c r="BIO118" s="418"/>
      <c r="BIP118" s="418"/>
      <c r="BIQ118" s="418"/>
      <c r="BIR118" s="418"/>
      <c r="BIS118" s="418"/>
      <c r="BIT118" s="418"/>
      <c r="BIU118" s="418"/>
      <c r="BIV118" s="418"/>
      <c r="BIW118" s="418"/>
      <c r="BIX118" s="418"/>
      <c r="BIY118" s="418"/>
      <c r="BIZ118" s="418"/>
      <c r="BJA118" s="418"/>
      <c r="BJB118" s="418"/>
      <c r="BJC118" s="418"/>
      <c r="BJD118" s="418"/>
      <c r="BJE118" s="418"/>
      <c r="BJF118" s="418"/>
      <c r="BJG118" s="418"/>
      <c r="BJH118" s="418"/>
      <c r="BJI118" s="418"/>
      <c r="BJJ118" s="418"/>
      <c r="BJK118" s="418"/>
      <c r="BJL118" s="418"/>
      <c r="BJM118" s="418"/>
      <c r="BJN118" s="418"/>
      <c r="BJO118" s="418"/>
      <c r="BJP118" s="418"/>
      <c r="BJQ118" s="418"/>
      <c r="BJR118" s="418"/>
      <c r="BJS118" s="418"/>
      <c r="BJT118" s="418"/>
      <c r="BJU118" s="418"/>
      <c r="BJV118" s="418"/>
      <c r="BJW118" s="418"/>
      <c r="BJX118" s="418"/>
      <c r="BJY118" s="418"/>
      <c r="BJZ118" s="418"/>
      <c r="BKA118" s="418"/>
      <c r="BKB118" s="418"/>
      <c r="BKC118" s="418"/>
      <c r="BKD118" s="418"/>
      <c r="BKE118" s="418"/>
      <c r="BKF118" s="418"/>
      <c r="BKG118" s="418"/>
      <c r="BKH118" s="418"/>
      <c r="BKI118" s="418"/>
      <c r="BKJ118" s="418"/>
      <c r="BKK118" s="418"/>
      <c r="BKL118" s="418"/>
      <c r="BKM118" s="418"/>
      <c r="BKN118" s="418"/>
      <c r="BKO118" s="418"/>
      <c r="BKP118" s="418"/>
      <c r="BKQ118" s="418"/>
      <c r="BKR118" s="418"/>
      <c r="BKS118" s="418"/>
      <c r="BKT118" s="418"/>
      <c r="BKU118" s="418"/>
      <c r="BKV118" s="418"/>
      <c r="BKW118" s="418"/>
      <c r="BKX118" s="418"/>
      <c r="BKY118" s="418"/>
      <c r="BKZ118" s="418"/>
      <c r="BLA118" s="418"/>
      <c r="BLB118" s="418"/>
      <c r="BLC118" s="418"/>
      <c r="BLD118" s="418"/>
      <c r="BLE118" s="418"/>
      <c r="BLF118" s="418"/>
      <c r="BLG118" s="418"/>
      <c r="BLH118" s="418"/>
      <c r="BLI118" s="418"/>
      <c r="BLJ118" s="418"/>
      <c r="BLK118" s="418"/>
      <c r="BLL118" s="418"/>
      <c r="BLM118" s="418"/>
      <c r="BLN118" s="418"/>
      <c r="BLO118" s="418"/>
      <c r="BLP118" s="418"/>
      <c r="BLQ118" s="418"/>
      <c r="BLR118" s="418"/>
      <c r="BLS118" s="418"/>
      <c r="BLT118" s="418"/>
      <c r="BLU118" s="418"/>
      <c r="BLV118" s="418"/>
      <c r="BLW118" s="418"/>
      <c r="BLX118" s="418"/>
      <c r="BLY118" s="418"/>
      <c r="BLZ118" s="418"/>
      <c r="BMA118" s="418"/>
      <c r="BMB118" s="418"/>
      <c r="BMC118" s="418"/>
      <c r="BMD118" s="418"/>
      <c r="BME118" s="418"/>
      <c r="BMF118" s="418"/>
      <c r="BMG118" s="418"/>
      <c r="BMH118" s="418"/>
      <c r="BMI118" s="418"/>
      <c r="BMJ118" s="418"/>
      <c r="BMK118" s="418"/>
      <c r="BML118" s="418"/>
      <c r="BMM118" s="418"/>
      <c r="BMN118" s="418"/>
      <c r="BMO118" s="418"/>
      <c r="BMP118" s="418"/>
      <c r="BMQ118" s="418"/>
      <c r="BMR118" s="418"/>
      <c r="BMS118" s="418"/>
      <c r="BMT118" s="418"/>
      <c r="BMU118" s="418"/>
      <c r="BMV118" s="418"/>
      <c r="BMW118" s="418"/>
      <c r="BMX118" s="418"/>
      <c r="BMY118" s="418"/>
      <c r="BMZ118" s="418"/>
      <c r="BNA118" s="418"/>
      <c r="BNB118" s="418"/>
      <c r="BNC118" s="418"/>
      <c r="BND118" s="418"/>
      <c r="BNE118" s="418"/>
      <c r="BNF118" s="418"/>
      <c r="BNG118" s="418"/>
      <c r="BNH118" s="418"/>
      <c r="BNI118" s="418"/>
      <c r="BNJ118" s="418"/>
      <c r="BNK118" s="418"/>
      <c r="BNL118" s="418"/>
      <c r="BNM118" s="418"/>
      <c r="BNN118" s="418"/>
      <c r="BNO118" s="418"/>
      <c r="BNP118" s="418"/>
      <c r="BNQ118" s="418"/>
      <c r="BNR118" s="418"/>
      <c r="BNS118" s="418"/>
      <c r="BNT118" s="418"/>
      <c r="BNU118" s="418"/>
      <c r="BNV118" s="418"/>
      <c r="BNW118" s="418"/>
      <c r="BNX118" s="418"/>
      <c r="BNY118" s="418"/>
      <c r="BNZ118" s="418"/>
      <c r="BOA118" s="418"/>
      <c r="BOB118" s="418"/>
      <c r="BOC118" s="418"/>
      <c r="BOD118" s="418"/>
      <c r="BOE118" s="418"/>
      <c r="BOF118" s="418"/>
      <c r="BOG118" s="418"/>
      <c r="BOH118" s="418"/>
      <c r="BOI118" s="418"/>
      <c r="BOJ118" s="418"/>
      <c r="BOK118" s="418"/>
      <c r="BOL118" s="418"/>
      <c r="BOM118" s="418"/>
      <c r="BON118" s="418"/>
      <c r="BOO118" s="418"/>
      <c r="BOP118" s="418"/>
      <c r="BOQ118" s="418"/>
      <c r="BOR118" s="418"/>
      <c r="BOS118" s="418"/>
      <c r="BOT118" s="418"/>
      <c r="BOU118" s="418"/>
      <c r="BOV118" s="418"/>
      <c r="BOW118" s="418"/>
      <c r="BOX118" s="418"/>
      <c r="BOY118" s="418"/>
      <c r="BOZ118" s="418"/>
      <c r="BPA118" s="418"/>
      <c r="BPB118" s="418"/>
      <c r="BPC118" s="418"/>
      <c r="BPD118" s="418"/>
      <c r="BPE118" s="418"/>
      <c r="BPF118" s="418"/>
      <c r="BPG118" s="418"/>
      <c r="BPH118" s="418"/>
      <c r="BPI118" s="418"/>
      <c r="BPJ118" s="418"/>
      <c r="BPK118" s="418"/>
      <c r="BPL118" s="418"/>
      <c r="BPM118" s="418"/>
      <c r="BPN118" s="418"/>
      <c r="BPO118" s="418"/>
      <c r="BPP118" s="418"/>
      <c r="BPQ118" s="418"/>
      <c r="BPR118" s="418"/>
      <c r="BPS118" s="418"/>
      <c r="BPT118" s="418"/>
      <c r="BPU118" s="418"/>
      <c r="BPV118" s="418"/>
      <c r="BPW118" s="418"/>
      <c r="BPX118" s="418"/>
      <c r="BPY118" s="418"/>
      <c r="BPZ118" s="418"/>
      <c r="BQA118" s="418"/>
      <c r="BQB118" s="418"/>
      <c r="BQC118" s="418"/>
      <c r="BQD118" s="418"/>
      <c r="BQE118" s="418"/>
      <c r="BQF118" s="418"/>
      <c r="BQG118" s="418"/>
      <c r="BQH118" s="418"/>
      <c r="BQI118" s="418"/>
      <c r="BQJ118" s="418"/>
      <c r="BQK118" s="418"/>
      <c r="BQL118" s="418"/>
      <c r="BQM118" s="418"/>
      <c r="BQN118" s="418"/>
      <c r="BQO118" s="418"/>
      <c r="BQP118" s="418"/>
      <c r="BQQ118" s="418"/>
      <c r="BQR118" s="418"/>
      <c r="BQS118" s="418"/>
      <c r="BQT118" s="418"/>
      <c r="BQU118" s="418"/>
      <c r="BQV118" s="418"/>
      <c r="BQW118" s="418"/>
      <c r="BQX118" s="418"/>
      <c r="BQY118" s="418"/>
      <c r="BQZ118" s="418"/>
      <c r="BRA118" s="418"/>
      <c r="BRB118" s="418"/>
      <c r="BRC118" s="418"/>
      <c r="BRD118" s="418"/>
      <c r="BRE118" s="418"/>
      <c r="BRF118" s="418"/>
      <c r="BRG118" s="418"/>
      <c r="BRH118" s="418"/>
      <c r="BRI118" s="418"/>
      <c r="BRJ118" s="418"/>
      <c r="BRK118" s="418"/>
      <c r="BRL118" s="418"/>
      <c r="BRM118" s="418"/>
      <c r="BRN118" s="418"/>
      <c r="BRO118" s="418"/>
      <c r="BRP118" s="418"/>
      <c r="BRQ118" s="418"/>
      <c r="BRR118" s="418"/>
      <c r="BRS118" s="418"/>
      <c r="BRT118" s="418"/>
      <c r="BRU118" s="418"/>
      <c r="BRV118" s="418"/>
      <c r="BRW118" s="418"/>
      <c r="BRX118" s="418"/>
      <c r="BRY118" s="418"/>
      <c r="BRZ118" s="418"/>
      <c r="BSA118" s="418"/>
      <c r="BSB118" s="418"/>
      <c r="BSC118" s="418"/>
      <c r="BSD118" s="418"/>
      <c r="BSE118" s="418"/>
      <c r="BSF118" s="418"/>
      <c r="BSG118" s="418"/>
      <c r="BSH118" s="418"/>
      <c r="BSI118" s="418"/>
      <c r="BSJ118" s="418"/>
      <c r="BSK118" s="418"/>
      <c r="BSL118" s="418"/>
      <c r="BSM118" s="418"/>
      <c r="BSN118" s="418"/>
      <c r="BSO118" s="418"/>
      <c r="BSP118" s="418"/>
      <c r="BSQ118" s="418"/>
      <c r="BSR118" s="418"/>
      <c r="BSS118" s="418"/>
      <c r="BST118" s="418"/>
      <c r="BSU118" s="418"/>
      <c r="BSV118" s="418"/>
      <c r="BSW118" s="418"/>
      <c r="BSX118" s="418"/>
      <c r="BSY118" s="418"/>
      <c r="BSZ118" s="418"/>
      <c r="BTA118" s="418"/>
      <c r="BTB118" s="418"/>
      <c r="BTC118" s="418"/>
      <c r="BTD118" s="418"/>
      <c r="BTE118" s="418"/>
      <c r="BTF118" s="418"/>
      <c r="BTG118" s="418"/>
      <c r="BTH118" s="418"/>
      <c r="BTI118" s="418"/>
      <c r="BTJ118" s="418"/>
      <c r="BTK118" s="418"/>
      <c r="BTL118" s="418"/>
      <c r="BTM118" s="418"/>
      <c r="BTN118" s="418"/>
      <c r="BTO118" s="418"/>
      <c r="BTP118" s="418"/>
      <c r="BTQ118" s="418"/>
      <c r="BTR118" s="418"/>
      <c r="BTS118" s="418"/>
      <c r="BTT118" s="418"/>
      <c r="BTU118" s="418"/>
      <c r="BTV118" s="418"/>
      <c r="BTW118" s="418"/>
      <c r="BTX118" s="418"/>
      <c r="BTY118" s="418"/>
      <c r="BTZ118" s="418"/>
      <c r="BUA118" s="418"/>
      <c r="BUB118" s="418"/>
      <c r="BUC118" s="418"/>
      <c r="BUD118" s="418"/>
      <c r="BUE118" s="418"/>
      <c r="BUF118" s="418"/>
      <c r="BUG118" s="418"/>
      <c r="BUH118" s="418"/>
      <c r="BUI118" s="418"/>
      <c r="BUJ118" s="418"/>
      <c r="BUK118" s="418"/>
      <c r="BUL118" s="418"/>
      <c r="BUM118" s="418"/>
      <c r="BUN118" s="418"/>
      <c r="BUO118" s="418"/>
      <c r="BUP118" s="418"/>
      <c r="BUQ118" s="418"/>
      <c r="BUR118" s="418"/>
      <c r="BUS118" s="418"/>
      <c r="BUT118" s="418"/>
      <c r="BUU118" s="418"/>
      <c r="BUV118" s="418"/>
      <c r="BUW118" s="418"/>
      <c r="BUX118" s="418"/>
      <c r="BUY118" s="418"/>
      <c r="BUZ118" s="418"/>
      <c r="BVA118" s="418"/>
      <c r="BVB118" s="418"/>
      <c r="BVC118" s="418"/>
      <c r="BVD118" s="418"/>
      <c r="BVE118" s="418"/>
      <c r="BVF118" s="418"/>
      <c r="BVG118" s="418"/>
      <c r="BVH118" s="418"/>
      <c r="BVI118" s="418"/>
      <c r="BVJ118" s="418"/>
      <c r="BVK118" s="418"/>
      <c r="BVL118" s="418"/>
      <c r="BVM118" s="418"/>
      <c r="BVN118" s="418"/>
      <c r="BVO118" s="418"/>
      <c r="BVP118" s="418"/>
      <c r="BVQ118" s="418"/>
      <c r="BVR118" s="418"/>
      <c r="BVS118" s="418"/>
      <c r="BVT118" s="418"/>
      <c r="BVU118" s="418"/>
      <c r="BVV118" s="418"/>
      <c r="BVW118" s="418"/>
      <c r="BVX118" s="418"/>
      <c r="BVY118" s="418"/>
      <c r="BVZ118" s="418"/>
      <c r="BWA118" s="418"/>
      <c r="BWB118" s="418"/>
      <c r="BWC118" s="418"/>
      <c r="BWD118" s="418"/>
      <c r="BWE118" s="418"/>
      <c r="BWF118" s="418"/>
      <c r="BWG118" s="418"/>
      <c r="BWH118" s="418"/>
      <c r="BWI118" s="418"/>
      <c r="BWJ118" s="418"/>
      <c r="BWK118" s="418"/>
      <c r="BWL118" s="418"/>
      <c r="BWM118" s="418"/>
      <c r="BWN118" s="418"/>
      <c r="BWO118" s="418"/>
      <c r="BWP118" s="418"/>
      <c r="BWQ118" s="418"/>
      <c r="BWR118" s="418"/>
      <c r="BWS118" s="418"/>
      <c r="BWT118" s="418"/>
      <c r="BWU118" s="418"/>
      <c r="BWV118" s="418"/>
      <c r="BWW118" s="418"/>
      <c r="BWX118" s="418"/>
      <c r="BWY118" s="418"/>
      <c r="BWZ118" s="418"/>
      <c r="BXA118" s="418"/>
      <c r="BXB118" s="418"/>
      <c r="BXC118" s="418"/>
      <c r="BXD118" s="418"/>
      <c r="BXE118" s="418"/>
      <c r="BXF118" s="418"/>
      <c r="BXG118" s="418"/>
      <c r="BXH118" s="418"/>
      <c r="BXI118" s="418"/>
      <c r="BXJ118" s="418"/>
      <c r="BXK118" s="418"/>
      <c r="BXL118" s="418"/>
      <c r="BXM118" s="418"/>
      <c r="BXN118" s="418"/>
      <c r="BXO118" s="418"/>
      <c r="BXP118" s="418"/>
      <c r="BXQ118" s="418"/>
      <c r="BXR118" s="418"/>
      <c r="BXS118" s="418"/>
      <c r="BXT118" s="418"/>
      <c r="BXU118" s="418"/>
      <c r="BXV118" s="418"/>
      <c r="BXW118" s="418"/>
      <c r="BXX118" s="418"/>
      <c r="BXY118" s="418"/>
      <c r="BXZ118" s="418"/>
      <c r="BYA118" s="418"/>
      <c r="BYB118" s="418"/>
      <c r="BYC118" s="418"/>
      <c r="BYD118" s="418"/>
      <c r="BYE118" s="418"/>
      <c r="BYF118" s="418"/>
      <c r="BYG118" s="418"/>
      <c r="BYH118" s="418"/>
      <c r="BYI118" s="418"/>
      <c r="BYJ118" s="418"/>
      <c r="BYK118" s="418"/>
      <c r="BYL118" s="418"/>
      <c r="BYM118" s="418"/>
      <c r="BYN118" s="418"/>
      <c r="BYO118" s="418"/>
      <c r="BYP118" s="418"/>
      <c r="BYQ118" s="418"/>
      <c r="BYR118" s="418"/>
      <c r="BYS118" s="418"/>
      <c r="BYT118" s="418"/>
      <c r="BYU118" s="418"/>
      <c r="BYV118" s="418"/>
      <c r="BYW118" s="418"/>
      <c r="BYX118" s="418"/>
      <c r="BYY118" s="418"/>
      <c r="BYZ118" s="418"/>
      <c r="BZA118" s="418"/>
      <c r="BZB118" s="418"/>
      <c r="BZC118" s="418"/>
      <c r="BZD118" s="418"/>
      <c r="BZE118" s="418"/>
      <c r="BZF118" s="418"/>
      <c r="BZG118" s="418"/>
      <c r="BZH118" s="418"/>
      <c r="BZI118" s="418"/>
      <c r="BZJ118" s="418"/>
      <c r="BZK118" s="418"/>
      <c r="BZL118" s="418"/>
      <c r="BZM118" s="418"/>
      <c r="BZN118" s="418"/>
      <c r="BZO118" s="418"/>
      <c r="BZP118" s="418"/>
      <c r="BZQ118" s="418"/>
      <c r="BZR118" s="418"/>
      <c r="BZS118" s="418"/>
      <c r="BZT118" s="418"/>
      <c r="BZU118" s="418"/>
      <c r="BZV118" s="418"/>
      <c r="BZW118" s="418"/>
      <c r="BZX118" s="418"/>
      <c r="BZY118" s="418"/>
      <c r="BZZ118" s="418"/>
      <c r="CAA118" s="418"/>
      <c r="CAB118" s="418"/>
      <c r="CAC118" s="418"/>
      <c r="CAD118" s="418"/>
      <c r="CAE118" s="418"/>
      <c r="CAF118" s="418"/>
      <c r="CAG118" s="418"/>
      <c r="CAH118" s="418"/>
      <c r="CAI118" s="418"/>
      <c r="CAJ118" s="418"/>
      <c r="CAK118" s="418"/>
      <c r="CAL118" s="418"/>
      <c r="CAM118" s="418"/>
      <c r="CAN118" s="418"/>
      <c r="CAO118" s="418"/>
      <c r="CAP118" s="418"/>
      <c r="CAQ118" s="418"/>
      <c r="CAR118" s="418"/>
      <c r="CAS118" s="418"/>
      <c r="CAT118" s="418"/>
      <c r="CAU118" s="418"/>
      <c r="CAV118" s="418"/>
      <c r="CAW118" s="418"/>
      <c r="CAX118" s="418"/>
      <c r="CAY118" s="418"/>
      <c r="CAZ118" s="418"/>
      <c r="CBA118" s="418"/>
      <c r="CBB118" s="418"/>
      <c r="CBC118" s="418"/>
      <c r="CBD118" s="418"/>
      <c r="CBE118" s="418"/>
      <c r="CBF118" s="418"/>
      <c r="CBG118" s="418"/>
      <c r="CBH118" s="418"/>
      <c r="CBI118" s="418"/>
      <c r="CBJ118" s="418"/>
      <c r="CBK118" s="418"/>
      <c r="CBL118" s="418"/>
      <c r="CBM118" s="418"/>
      <c r="CBN118" s="418"/>
      <c r="CBO118" s="418"/>
      <c r="CBP118" s="418"/>
      <c r="CBQ118" s="418"/>
      <c r="CBR118" s="418"/>
      <c r="CBS118" s="418"/>
      <c r="CBT118" s="418"/>
      <c r="CBU118" s="418"/>
      <c r="CBV118" s="418"/>
      <c r="CBW118" s="418"/>
      <c r="CBX118" s="418"/>
      <c r="CBY118" s="418"/>
      <c r="CBZ118" s="418"/>
      <c r="CCA118" s="418"/>
      <c r="CCB118" s="418"/>
      <c r="CCC118" s="418"/>
      <c r="CCD118" s="418"/>
      <c r="CCE118" s="418"/>
      <c r="CCF118" s="418"/>
      <c r="CCG118" s="418"/>
      <c r="CCH118" s="418"/>
      <c r="CCI118" s="418"/>
      <c r="CCJ118" s="418"/>
      <c r="CCK118" s="418"/>
      <c r="CCL118" s="418"/>
      <c r="CCM118" s="418"/>
      <c r="CCN118" s="418"/>
      <c r="CCO118" s="418"/>
      <c r="CCP118" s="418"/>
      <c r="CCQ118" s="418"/>
      <c r="CCR118" s="418"/>
      <c r="CCS118" s="418"/>
      <c r="CCT118" s="418"/>
      <c r="CCU118" s="418"/>
      <c r="CCV118" s="418"/>
      <c r="CCW118" s="418"/>
      <c r="CCX118" s="418"/>
      <c r="CCY118" s="418"/>
      <c r="CCZ118" s="418"/>
      <c r="CDA118" s="418"/>
      <c r="CDB118" s="418"/>
      <c r="CDC118" s="418"/>
      <c r="CDD118" s="418"/>
      <c r="CDE118" s="418"/>
      <c r="CDF118" s="418"/>
      <c r="CDG118" s="418"/>
      <c r="CDH118" s="418"/>
      <c r="CDI118" s="418"/>
      <c r="CDJ118" s="418"/>
      <c r="CDK118" s="418"/>
      <c r="CDL118" s="418"/>
      <c r="CDM118" s="418"/>
      <c r="CDN118" s="418"/>
      <c r="CDO118" s="418"/>
      <c r="CDP118" s="418"/>
      <c r="CDQ118" s="418"/>
      <c r="CDR118" s="418"/>
      <c r="CDS118" s="418"/>
      <c r="CDT118" s="418"/>
      <c r="CDU118" s="418"/>
      <c r="CDV118" s="418"/>
      <c r="CDW118" s="418"/>
      <c r="CDX118" s="418"/>
      <c r="CDY118" s="418"/>
      <c r="CDZ118" s="418"/>
      <c r="CEA118" s="418"/>
      <c r="CEB118" s="418"/>
      <c r="CEC118" s="418"/>
      <c r="CED118" s="418"/>
      <c r="CEE118" s="418"/>
      <c r="CEF118" s="418"/>
      <c r="CEG118" s="418"/>
      <c r="CEH118" s="418"/>
      <c r="CEI118" s="418"/>
      <c r="CEJ118" s="418"/>
      <c r="CEK118" s="418"/>
      <c r="CEL118" s="418"/>
      <c r="CEM118" s="418"/>
      <c r="CEN118" s="418"/>
      <c r="CEO118" s="418"/>
      <c r="CEP118" s="418"/>
      <c r="CEQ118" s="418"/>
      <c r="CER118" s="418"/>
      <c r="CES118" s="418"/>
      <c r="CET118" s="418"/>
      <c r="CEU118" s="418"/>
      <c r="CEV118" s="418"/>
      <c r="CEW118" s="418"/>
      <c r="CEX118" s="418"/>
      <c r="CEY118" s="418"/>
      <c r="CEZ118" s="418"/>
      <c r="CFA118" s="418"/>
      <c r="CFB118" s="418"/>
      <c r="CFC118" s="418"/>
      <c r="CFD118" s="418"/>
      <c r="CFE118" s="418"/>
      <c r="CFF118" s="418"/>
      <c r="CFG118" s="418"/>
      <c r="CFH118" s="418"/>
      <c r="CFI118" s="418"/>
      <c r="CFJ118" s="418"/>
      <c r="CFK118" s="418"/>
      <c r="CFL118" s="418"/>
      <c r="CFM118" s="418"/>
      <c r="CFN118" s="418"/>
      <c r="CFO118" s="418"/>
      <c r="CFP118" s="418"/>
      <c r="CFQ118" s="418"/>
      <c r="CFR118" s="418"/>
      <c r="CFS118" s="418"/>
      <c r="CFT118" s="418"/>
      <c r="CFU118" s="418"/>
      <c r="CFV118" s="418"/>
      <c r="CFW118" s="418"/>
      <c r="CFX118" s="418"/>
      <c r="CFY118" s="418"/>
      <c r="CFZ118" s="418"/>
      <c r="CGA118" s="418"/>
      <c r="CGB118" s="418"/>
      <c r="CGC118" s="418"/>
      <c r="CGD118" s="418"/>
      <c r="CGE118" s="418"/>
      <c r="CGF118" s="418"/>
      <c r="CGG118" s="418"/>
      <c r="CGH118" s="418"/>
      <c r="CGI118" s="418"/>
      <c r="CGJ118" s="418"/>
      <c r="CGK118" s="418"/>
      <c r="CGL118" s="418"/>
      <c r="CGM118" s="418"/>
      <c r="CGN118" s="418"/>
      <c r="CGO118" s="418"/>
      <c r="CGP118" s="418"/>
      <c r="CGQ118" s="418"/>
      <c r="CGR118" s="418"/>
      <c r="CGS118" s="418"/>
      <c r="CGT118" s="418"/>
      <c r="CGU118" s="418"/>
      <c r="CGV118" s="418"/>
      <c r="CGW118" s="418"/>
      <c r="CGX118" s="418"/>
      <c r="CGY118" s="418"/>
      <c r="CGZ118" s="418"/>
      <c r="CHA118" s="418"/>
      <c r="CHB118" s="418"/>
      <c r="CHC118" s="418"/>
      <c r="CHD118" s="418"/>
      <c r="CHE118" s="418"/>
      <c r="CHF118" s="418"/>
      <c r="CHG118" s="418"/>
      <c r="CHH118" s="418"/>
      <c r="CHI118" s="418"/>
      <c r="CHJ118" s="418"/>
      <c r="CHK118" s="418"/>
      <c r="CHL118" s="418"/>
      <c r="CHM118" s="418"/>
      <c r="CHN118" s="418"/>
      <c r="CHO118" s="418"/>
      <c r="CHP118" s="418"/>
      <c r="CHQ118" s="418"/>
      <c r="CHR118" s="418"/>
      <c r="CHS118" s="418"/>
      <c r="CHT118" s="418"/>
      <c r="CHU118" s="418"/>
      <c r="CHV118" s="418"/>
      <c r="CHW118" s="418"/>
      <c r="CHX118" s="418"/>
      <c r="CHY118" s="418"/>
      <c r="CHZ118" s="418"/>
      <c r="CIA118" s="418"/>
      <c r="CIB118" s="418"/>
      <c r="CIC118" s="418"/>
      <c r="CID118" s="418"/>
      <c r="CIE118" s="418"/>
      <c r="CIF118" s="418"/>
      <c r="CIG118" s="418"/>
      <c r="CIH118" s="418"/>
      <c r="CII118" s="418"/>
      <c r="CIJ118" s="418"/>
      <c r="CIK118" s="418"/>
      <c r="CIL118" s="418"/>
      <c r="CIM118" s="418"/>
      <c r="CIN118" s="418"/>
      <c r="CIO118" s="418"/>
      <c r="CIP118" s="418"/>
      <c r="CIQ118" s="418"/>
      <c r="CIR118" s="418"/>
      <c r="CIS118" s="418"/>
      <c r="CIT118" s="418"/>
      <c r="CIU118" s="418"/>
      <c r="CIV118" s="418"/>
      <c r="CIW118" s="418"/>
      <c r="CIX118" s="418"/>
      <c r="CIY118" s="418"/>
      <c r="CIZ118" s="418"/>
      <c r="CJA118" s="418"/>
      <c r="CJB118" s="418"/>
      <c r="CJC118" s="418"/>
      <c r="CJD118" s="418"/>
      <c r="CJE118" s="418"/>
      <c r="CJF118" s="418"/>
      <c r="CJG118" s="418"/>
      <c r="CJH118" s="418"/>
      <c r="CJI118" s="418"/>
      <c r="CJJ118" s="418"/>
      <c r="CJK118" s="418"/>
      <c r="CJL118" s="418"/>
      <c r="CJM118" s="418"/>
      <c r="CJN118" s="418"/>
      <c r="CJO118" s="418"/>
      <c r="CJP118" s="418"/>
      <c r="CJQ118" s="418"/>
      <c r="CJR118" s="418"/>
      <c r="CJS118" s="418"/>
      <c r="CJT118" s="418"/>
      <c r="CJU118" s="418"/>
      <c r="CJV118" s="418"/>
      <c r="CJW118" s="418"/>
      <c r="CJX118" s="418"/>
      <c r="CJY118" s="418"/>
      <c r="CJZ118" s="418"/>
      <c r="CKA118" s="418"/>
      <c r="CKB118" s="418"/>
      <c r="CKC118" s="418"/>
      <c r="CKD118" s="418"/>
      <c r="CKE118" s="418"/>
      <c r="CKF118" s="418"/>
      <c r="CKG118" s="418"/>
      <c r="CKH118" s="418"/>
      <c r="CKI118" s="418"/>
      <c r="CKJ118" s="418"/>
      <c r="CKK118" s="418"/>
      <c r="CKL118" s="418"/>
      <c r="CKM118" s="418"/>
      <c r="CKN118" s="418"/>
      <c r="CKO118" s="418"/>
      <c r="CKP118" s="418"/>
      <c r="CKQ118" s="418"/>
      <c r="CKR118" s="418"/>
      <c r="CKS118" s="418"/>
      <c r="CKT118" s="418"/>
      <c r="CKU118" s="418"/>
      <c r="CKV118" s="418"/>
      <c r="CKW118" s="418"/>
      <c r="CKX118" s="418"/>
      <c r="CKY118" s="418"/>
      <c r="CKZ118" s="418"/>
      <c r="CLA118" s="418"/>
      <c r="CLB118" s="418"/>
      <c r="CLC118" s="418"/>
      <c r="CLD118" s="418"/>
      <c r="CLE118" s="418"/>
      <c r="CLF118" s="418"/>
      <c r="CLG118" s="418"/>
      <c r="CLH118" s="418"/>
      <c r="CLI118" s="418"/>
      <c r="CLJ118" s="418"/>
      <c r="CLK118" s="418"/>
      <c r="CLL118" s="418"/>
      <c r="CLM118" s="418"/>
      <c r="CLN118" s="418"/>
      <c r="CLO118" s="418"/>
      <c r="CLP118" s="418"/>
      <c r="CLQ118" s="418"/>
      <c r="CLR118" s="418"/>
      <c r="CLS118" s="418"/>
      <c r="CLT118" s="418"/>
      <c r="CLU118" s="418"/>
      <c r="CLV118" s="418"/>
      <c r="CLW118" s="418"/>
      <c r="CLX118" s="418"/>
      <c r="CLY118" s="418"/>
      <c r="CLZ118" s="418"/>
      <c r="CMA118" s="418"/>
      <c r="CMB118" s="418"/>
      <c r="CMC118" s="418"/>
      <c r="CMD118" s="418"/>
      <c r="CME118" s="418"/>
      <c r="CMF118" s="418"/>
      <c r="CMG118" s="418"/>
      <c r="CMH118" s="418"/>
      <c r="CMI118" s="418"/>
      <c r="CMJ118" s="418"/>
      <c r="CMK118" s="418"/>
      <c r="CML118" s="418"/>
      <c r="CMM118" s="418"/>
      <c r="CMN118" s="418"/>
      <c r="CMO118" s="418"/>
      <c r="CMP118" s="418"/>
      <c r="CMQ118" s="418"/>
      <c r="CMR118" s="418"/>
      <c r="CMS118" s="418"/>
      <c r="CMT118" s="418"/>
      <c r="CMU118" s="418"/>
      <c r="CMV118" s="418"/>
      <c r="CMW118" s="418"/>
      <c r="CMX118" s="418"/>
      <c r="CMY118" s="418"/>
      <c r="CMZ118" s="418"/>
      <c r="CNA118" s="418"/>
      <c r="CNB118" s="418"/>
      <c r="CNC118" s="418"/>
      <c r="CND118" s="418"/>
      <c r="CNE118" s="418"/>
      <c r="CNF118" s="418"/>
      <c r="CNG118" s="418"/>
      <c r="CNH118" s="418"/>
      <c r="CNI118" s="418"/>
      <c r="CNJ118" s="418"/>
      <c r="CNK118" s="418"/>
      <c r="CNL118" s="418"/>
      <c r="CNM118" s="418"/>
      <c r="CNN118" s="418"/>
      <c r="CNO118" s="418"/>
      <c r="CNP118" s="418"/>
      <c r="CNQ118" s="418"/>
      <c r="CNR118" s="418"/>
      <c r="CNS118" s="418"/>
      <c r="CNT118" s="418"/>
      <c r="CNU118" s="418"/>
      <c r="CNV118" s="418"/>
      <c r="CNW118" s="418"/>
      <c r="CNX118" s="418"/>
      <c r="CNY118" s="418"/>
      <c r="CNZ118" s="418"/>
      <c r="COA118" s="418"/>
      <c r="COB118" s="418"/>
      <c r="COC118" s="418"/>
      <c r="COD118" s="418"/>
      <c r="COE118" s="418"/>
      <c r="COF118" s="418"/>
      <c r="COG118" s="418"/>
      <c r="COH118" s="418"/>
      <c r="COI118" s="418"/>
      <c r="COJ118" s="418"/>
      <c r="COK118" s="418"/>
      <c r="COL118" s="418"/>
      <c r="COM118" s="418"/>
      <c r="CON118" s="418"/>
      <c r="COO118" s="418"/>
      <c r="COP118" s="418"/>
      <c r="COQ118" s="418"/>
      <c r="COR118" s="418"/>
      <c r="COS118" s="418"/>
      <c r="COT118" s="418"/>
      <c r="COU118" s="418"/>
      <c r="COV118" s="418"/>
      <c r="COW118" s="418"/>
      <c r="COX118" s="418"/>
      <c r="COY118" s="418"/>
      <c r="COZ118" s="418"/>
      <c r="CPA118" s="418"/>
      <c r="CPB118" s="418"/>
      <c r="CPC118" s="418"/>
      <c r="CPD118" s="418"/>
      <c r="CPE118" s="418"/>
      <c r="CPF118" s="418"/>
      <c r="CPG118" s="418"/>
      <c r="CPH118" s="418"/>
      <c r="CPI118" s="418"/>
      <c r="CPJ118" s="418"/>
      <c r="CPK118" s="418"/>
      <c r="CPL118" s="418"/>
      <c r="CPM118" s="418"/>
      <c r="CPN118" s="418"/>
      <c r="CPO118" s="418"/>
      <c r="CPP118" s="418"/>
      <c r="CPQ118" s="418"/>
      <c r="CPR118" s="418"/>
      <c r="CPS118" s="418"/>
      <c r="CPT118" s="418"/>
      <c r="CPU118" s="418"/>
      <c r="CPV118" s="418"/>
      <c r="CPW118" s="418"/>
      <c r="CPX118" s="418"/>
      <c r="CPY118" s="418"/>
      <c r="CPZ118" s="418"/>
      <c r="CQA118" s="418"/>
      <c r="CQB118" s="418"/>
      <c r="CQC118" s="418"/>
      <c r="CQD118" s="418"/>
      <c r="CQE118" s="418"/>
      <c r="CQF118" s="418"/>
      <c r="CQG118" s="418"/>
      <c r="CQH118" s="418"/>
      <c r="CQI118" s="418"/>
      <c r="CQJ118" s="418"/>
      <c r="CQK118" s="418"/>
      <c r="CQL118" s="418"/>
      <c r="CQM118" s="418"/>
      <c r="CQN118" s="418"/>
      <c r="CQO118" s="418"/>
      <c r="CQP118" s="418"/>
      <c r="CQQ118" s="418"/>
      <c r="CQR118" s="418"/>
      <c r="CQS118" s="418"/>
      <c r="CQT118" s="418"/>
      <c r="CQU118" s="418"/>
      <c r="CQV118" s="418"/>
      <c r="CQW118" s="418"/>
      <c r="CQX118" s="418"/>
      <c r="CQY118" s="418"/>
      <c r="CQZ118" s="418"/>
      <c r="CRA118" s="418"/>
      <c r="CRB118" s="418"/>
      <c r="CRC118" s="418"/>
      <c r="CRD118" s="418"/>
      <c r="CRE118" s="418"/>
      <c r="CRF118" s="418"/>
      <c r="CRG118" s="418"/>
      <c r="CRH118" s="418"/>
      <c r="CRI118" s="418"/>
      <c r="CRJ118" s="418"/>
      <c r="CRK118" s="418"/>
      <c r="CRL118" s="418"/>
      <c r="CRM118" s="418"/>
      <c r="CRN118" s="418"/>
      <c r="CRO118" s="418"/>
      <c r="CRP118" s="418"/>
      <c r="CRQ118" s="418"/>
      <c r="CRR118" s="418"/>
      <c r="CRS118" s="418"/>
      <c r="CRT118" s="418"/>
      <c r="CRU118" s="418"/>
      <c r="CRV118" s="418"/>
      <c r="CRW118" s="418"/>
      <c r="CRX118" s="418"/>
      <c r="CRY118" s="418"/>
      <c r="CRZ118" s="418"/>
      <c r="CSA118" s="418"/>
      <c r="CSB118" s="418"/>
      <c r="CSC118" s="418"/>
      <c r="CSD118" s="418"/>
      <c r="CSE118" s="418"/>
      <c r="CSF118" s="418"/>
      <c r="CSG118" s="418"/>
      <c r="CSH118" s="418"/>
      <c r="CSI118" s="418"/>
      <c r="CSJ118" s="418"/>
      <c r="CSK118" s="418"/>
      <c r="CSL118" s="418"/>
      <c r="CSM118" s="418"/>
      <c r="CSN118" s="418"/>
      <c r="CSO118" s="418"/>
      <c r="CSP118" s="418"/>
      <c r="CSQ118" s="418"/>
      <c r="CSR118" s="418"/>
      <c r="CSS118" s="418"/>
      <c r="CST118" s="418"/>
      <c r="CSU118" s="418"/>
      <c r="CSV118" s="418"/>
      <c r="CSW118" s="418"/>
      <c r="CSX118" s="418"/>
      <c r="CSY118" s="418"/>
      <c r="CSZ118" s="418"/>
      <c r="CTA118" s="418"/>
      <c r="CTB118" s="418"/>
      <c r="CTC118" s="418"/>
      <c r="CTD118" s="418"/>
      <c r="CTE118" s="418"/>
      <c r="CTF118" s="418"/>
      <c r="CTG118" s="418"/>
      <c r="CTH118" s="418"/>
      <c r="CTI118" s="418"/>
      <c r="CTJ118" s="418"/>
      <c r="CTK118" s="418"/>
      <c r="CTL118" s="418"/>
      <c r="CTM118" s="418"/>
      <c r="CTN118" s="418"/>
      <c r="CTO118" s="418"/>
      <c r="CTP118" s="418"/>
      <c r="CTQ118" s="418"/>
      <c r="CTR118" s="418"/>
      <c r="CTS118" s="418"/>
      <c r="CTT118" s="418"/>
      <c r="CTU118" s="418"/>
      <c r="CTV118" s="418"/>
      <c r="CTW118" s="418"/>
      <c r="CTX118" s="418"/>
      <c r="CTY118" s="418"/>
      <c r="CTZ118" s="418"/>
      <c r="CUA118" s="418"/>
      <c r="CUB118" s="418"/>
      <c r="CUC118" s="418"/>
      <c r="CUD118" s="418"/>
      <c r="CUE118" s="418"/>
      <c r="CUF118" s="418"/>
      <c r="CUG118" s="418"/>
      <c r="CUH118" s="418"/>
      <c r="CUI118" s="418"/>
      <c r="CUJ118" s="418"/>
      <c r="CUK118" s="418"/>
      <c r="CUL118" s="418"/>
      <c r="CUM118" s="418"/>
      <c r="CUN118" s="418"/>
      <c r="CUO118" s="418"/>
      <c r="CUP118" s="418"/>
      <c r="CUQ118" s="418"/>
      <c r="CUR118" s="418"/>
      <c r="CUS118" s="418"/>
      <c r="CUT118" s="418"/>
      <c r="CUU118" s="418"/>
      <c r="CUV118" s="418"/>
      <c r="CUW118" s="418"/>
      <c r="CUX118" s="418"/>
      <c r="CUY118" s="418"/>
      <c r="CUZ118" s="418"/>
      <c r="CVA118" s="418"/>
      <c r="CVB118" s="418"/>
      <c r="CVC118" s="418"/>
      <c r="CVD118" s="418"/>
      <c r="CVE118" s="418"/>
      <c r="CVF118" s="418"/>
      <c r="CVG118" s="418"/>
      <c r="CVH118" s="418"/>
      <c r="CVI118" s="418"/>
      <c r="CVJ118" s="418"/>
      <c r="CVK118" s="418"/>
      <c r="CVL118" s="418"/>
      <c r="CVM118" s="418"/>
      <c r="CVN118" s="418"/>
      <c r="CVO118" s="418"/>
      <c r="CVP118" s="418"/>
      <c r="CVQ118" s="418"/>
      <c r="CVR118" s="418"/>
      <c r="CVS118" s="418"/>
      <c r="CVT118" s="418"/>
      <c r="CVU118" s="418"/>
      <c r="CVV118" s="418"/>
      <c r="CVW118" s="418"/>
      <c r="CVX118" s="418"/>
      <c r="CVY118" s="418"/>
      <c r="CVZ118" s="418"/>
      <c r="CWA118" s="418"/>
      <c r="CWB118" s="418"/>
      <c r="CWC118" s="418"/>
      <c r="CWD118" s="418"/>
      <c r="CWE118" s="418"/>
      <c r="CWF118" s="418"/>
      <c r="CWG118" s="418"/>
      <c r="CWH118" s="418"/>
      <c r="CWI118" s="418"/>
      <c r="CWJ118" s="418"/>
      <c r="CWK118" s="418"/>
      <c r="CWL118" s="418"/>
      <c r="CWM118" s="418"/>
      <c r="CWN118" s="418"/>
      <c r="CWO118" s="418"/>
      <c r="CWP118" s="418"/>
      <c r="CWQ118" s="418"/>
      <c r="CWR118" s="418"/>
      <c r="CWS118" s="418"/>
      <c r="CWT118" s="418"/>
      <c r="CWU118" s="418"/>
      <c r="CWV118" s="418"/>
      <c r="CWW118" s="418"/>
      <c r="CWX118" s="418"/>
      <c r="CWY118" s="418"/>
      <c r="CWZ118" s="418"/>
      <c r="CXA118" s="418"/>
      <c r="CXB118" s="418"/>
      <c r="CXC118" s="418"/>
      <c r="CXD118" s="418"/>
      <c r="CXE118" s="418"/>
      <c r="CXF118" s="418"/>
      <c r="CXG118" s="418"/>
      <c r="CXH118" s="418"/>
      <c r="CXI118" s="418"/>
      <c r="CXJ118" s="418"/>
      <c r="CXK118" s="418"/>
      <c r="CXL118" s="418"/>
      <c r="CXM118" s="418"/>
      <c r="CXN118" s="418"/>
      <c r="CXO118" s="418"/>
      <c r="CXP118" s="418"/>
      <c r="CXQ118" s="418"/>
      <c r="CXR118" s="418"/>
      <c r="CXS118" s="418"/>
      <c r="CXT118" s="418"/>
      <c r="CXU118" s="418"/>
      <c r="CXV118" s="418"/>
      <c r="CXW118" s="418"/>
      <c r="CXX118" s="418"/>
      <c r="CXY118" s="418"/>
      <c r="CXZ118" s="418"/>
      <c r="CYA118" s="418"/>
      <c r="CYB118" s="418"/>
      <c r="CYC118" s="418"/>
      <c r="CYD118" s="418"/>
      <c r="CYE118" s="418"/>
      <c r="CYF118" s="418"/>
      <c r="CYG118" s="418"/>
      <c r="CYH118" s="418"/>
      <c r="CYI118" s="418"/>
      <c r="CYJ118" s="418"/>
      <c r="CYK118" s="418"/>
      <c r="CYL118" s="418"/>
      <c r="CYM118" s="418"/>
      <c r="CYN118" s="418"/>
      <c r="CYO118" s="418"/>
      <c r="CYP118" s="418"/>
      <c r="CYQ118" s="418"/>
      <c r="CYR118" s="418"/>
      <c r="CYS118" s="418"/>
      <c r="CYT118" s="418"/>
      <c r="CYU118" s="418"/>
      <c r="CYV118" s="418"/>
      <c r="CYW118" s="418"/>
      <c r="CYX118" s="418"/>
      <c r="CYY118" s="418"/>
      <c r="CYZ118" s="418"/>
      <c r="CZA118" s="418"/>
      <c r="CZB118" s="418"/>
      <c r="CZC118" s="418"/>
      <c r="CZD118" s="418"/>
      <c r="CZE118" s="418"/>
      <c r="CZF118" s="418"/>
      <c r="CZG118" s="418"/>
      <c r="CZH118" s="418"/>
      <c r="CZI118" s="418"/>
      <c r="CZJ118" s="418"/>
      <c r="CZK118" s="418"/>
      <c r="CZL118" s="418"/>
      <c r="CZM118" s="418"/>
      <c r="CZN118" s="418"/>
      <c r="CZO118" s="418"/>
      <c r="CZP118" s="418"/>
      <c r="CZQ118" s="418"/>
      <c r="CZR118" s="418"/>
      <c r="CZS118" s="418"/>
      <c r="CZT118" s="418"/>
      <c r="CZU118" s="418"/>
      <c r="CZV118" s="418"/>
      <c r="CZW118" s="418"/>
      <c r="CZX118" s="418"/>
      <c r="CZY118" s="418"/>
      <c r="CZZ118" s="418"/>
      <c r="DAA118" s="418"/>
      <c r="DAB118" s="418"/>
      <c r="DAC118" s="418"/>
      <c r="DAD118" s="418"/>
      <c r="DAE118" s="418"/>
      <c r="DAF118" s="418"/>
      <c r="DAG118" s="418"/>
      <c r="DAH118" s="418"/>
      <c r="DAI118" s="418"/>
      <c r="DAJ118" s="418"/>
      <c r="DAK118" s="418"/>
      <c r="DAL118" s="418"/>
      <c r="DAM118" s="418"/>
      <c r="DAN118" s="418"/>
      <c r="DAO118" s="418"/>
      <c r="DAP118" s="418"/>
      <c r="DAQ118" s="418"/>
      <c r="DAR118" s="418"/>
      <c r="DAS118" s="418"/>
      <c r="DAT118" s="418"/>
      <c r="DAU118" s="418"/>
      <c r="DAV118" s="418"/>
      <c r="DAW118" s="418"/>
      <c r="DAX118" s="418"/>
      <c r="DAY118" s="418"/>
      <c r="DAZ118" s="418"/>
      <c r="DBA118" s="418"/>
      <c r="DBB118" s="418"/>
      <c r="DBC118" s="418"/>
      <c r="DBD118" s="418"/>
      <c r="DBE118" s="418"/>
      <c r="DBF118" s="418"/>
      <c r="DBG118" s="418"/>
      <c r="DBH118" s="418"/>
      <c r="DBI118" s="418"/>
      <c r="DBJ118" s="418"/>
      <c r="DBK118" s="418"/>
      <c r="DBL118" s="418"/>
      <c r="DBM118" s="418"/>
      <c r="DBN118" s="418"/>
      <c r="DBO118" s="418"/>
      <c r="DBP118" s="418"/>
      <c r="DBQ118" s="418"/>
      <c r="DBR118" s="418"/>
      <c r="DBS118" s="418"/>
      <c r="DBT118" s="418"/>
      <c r="DBU118" s="418"/>
      <c r="DBV118" s="418"/>
      <c r="DBW118" s="418"/>
      <c r="DBX118" s="418"/>
      <c r="DBY118" s="418"/>
      <c r="DBZ118" s="418"/>
      <c r="DCA118" s="418"/>
      <c r="DCB118" s="418"/>
      <c r="DCC118" s="418"/>
      <c r="DCD118" s="418"/>
      <c r="DCE118" s="418"/>
      <c r="DCF118" s="418"/>
      <c r="DCG118" s="418"/>
      <c r="DCH118" s="418"/>
      <c r="DCI118" s="418"/>
      <c r="DCJ118" s="418"/>
      <c r="DCK118" s="418"/>
      <c r="DCL118" s="418"/>
      <c r="DCM118" s="418"/>
      <c r="DCN118" s="418"/>
      <c r="DCO118" s="418"/>
      <c r="DCP118" s="418"/>
      <c r="DCQ118" s="418"/>
      <c r="DCR118" s="418"/>
      <c r="DCS118" s="418"/>
      <c r="DCT118" s="418"/>
      <c r="DCU118" s="418"/>
      <c r="DCV118" s="418"/>
      <c r="DCW118" s="418"/>
      <c r="DCX118" s="418"/>
      <c r="DCY118" s="418"/>
      <c r="DCZ118" s="418"/>
      <c r="DDA118" s="418"/>
      <c r="DDB118" s="418"/>
      <c r="DDC118" s="418"/>
      <c r="DDD118" s="418"/>
      <c r="DDE118" s="418"/>
      <c r="DDF118" s="418"/>
      <c r="DDG118" s="418"/>
      <c r="DDH118" s="418"/>
      <c r="DDI118" s="418"/>
      <c r="DDJ118" s="418"/>
      <c r="DDK118" s="418"/>
      <c r="DDL118" s="418"/>
      <c r="DDM118" s="418"/>
      <c r="DDN118" s="418"/>
      <c r="DDO118" s="418"/>
      <c r="DDP118" s="418"/>
      <c r="DDQ118" s="418"/>
      <c r="DDR118" s="418"/>
      <c r="DDS118" s="418"/>
      <c r="DDT118" s="418"/>
      <c r="DDU118" s="418"/>
      <c r="DDV118" s="418"/>
      <c r="DDW118" s="418"/>
      <c r="DDX118" s="418"/>
      <c r="DDY118" s="418"/>
      <c r="DDZ118" s="418"/>
      <c r="DEA118" s="418"/>
      <c r="DEB118" s="418"/>
      <c r="DEC118" s="418"/>
      <c r="DED118" s="418"/>
      <c r="DEE118" s="418"/>
      <c r="DEF118" s="418"/>
      <c r="DEG118" s="418"/>
      <c r="DEH118" s="418"/>
      <c r="DEI118" s="418"/>
      <c r="DEJ118" s="418"/>
      <c r="DEK118" s="418"/>
      <c r="DEL118" s="418"/>
      <c r="DEM118" s="418"/>
      <c r="DEN118" s="418"/>
      <c r="DEO118" s="418"/>
      <c r="DEP118" s="418"/>
      <c r="DEQ118" s="418"/>
      <c r="DER118" s="418"/>
      <c r="DES118" s="418"/>
      <c r="DET118" s="418"/>
      <c r="DEU118" s="418"/>
      <c r="DEV118" s="418"/>
      <c r="DEW118" s="418"/>
      <c r="DEX118" s="418"/>
      <c r="DEY118" s="418"/>
      <c r="DEZ118" s="418"/>
      <c r="DFA118" s="418"/>
      <c r="DFB118" s="418"/>
      <c r="DFC118" s="418"/>
      <c r="DFD118" s="418"/>
      <c r="DFE118" s="418"/>
      <c r="DFF118" s="418"/>
      <c r="DFG118" s="418"/>
      <c r="DFH118" s="418"/>
      <c r="DFI118" s="418"/>
      <c r="DFJ118" s="418"/>
      <c r="DFK118" s="418"/>
      <c r="DFL118" s="418"/>
      <c r="DFM118" s="418"/>
      <c r="DFN118" s="418"/>
      <c r="DFO118" s="418"/>
      <c r="DFP118" s="418"/>
      <c r="DFQ118" s="418"/>
      <c r="DFR118" s="418"/>
      <c r="DFS118" s="418"/>
      <c r="DFT118" s="418"/>
      <c r="DFU118" s="418"/>
      <c r="DFV118" s="418"/>
      <c r="DFW118" s="418"/>
      <c r="DFX118" s="418"/>
      <c r="DFY118" s="418"/>
      <c r="DFZ118" s="418"/>
      <c r="DGA118" s="418"/>
      <c r="DGB118" s="418"/>
      <c r="DGC118" s="418"/>
      <c r="DGD118" s="418"/>
      <c r="DGE118" s="418"/>
      <c r="DGF118" s="418"/>
      <c r="DGG118" s="418"/>
      <c r="DGH118" s="418"/>
      <c r="DGI118" s="418"/>
      <c r="DGJ118" s="418"/>
      <c r="DGK118" s="418"/>
      <c r="DGL118" s="418"/>
      <c r="DGM118" s="418"/>
      <c r="DGN118" s="418"/>
      <c r="DGO118" s="418"/>
      <c r="DGP118" s="418"/>
      <c r="DGQ118" s="418"/>
      <c r="DGR118" s="418"/>
      <c r="DGS118" s="418"/>
      <c r="DGT118" s="418"/>
      <c r="DGU118" s="418"/>
      <c r="DGV118" s="418"/>
      <c r="DGW118" s="418"/>
      <c r="DGX118" s="418"/>
      <c r="DGY118" s="418"/>
      <c r="DGZ118" s="418"/>
      <c r="DHA118" s="418"/>
      <c r="DHB118" s="418"/>
      <c r="DHC118" s="418"/>
      <c r="DHD118" s="418"/>
      <c r="DHE118" s="418"/>
      <c r="DHF118" s="418"/>
      <c r="DHG118" s="418"/>
      <c r="DHH118" s="418"/>
      <c r="DHI118" s="418"/>
      <c r="DHJ118" s="418"/>
      <c r="DHK118" s="418"/>
      <c r="DHL118" s="418"/>
      <c r="DHM118" s="418"/>
      <c r="DHN118" s="418"/>
      <c r="DHO118" s="418"/>
      <c r="DHP118" s="418"/>
      <c r="DHQ118" s="418"/>
      <c r="DHR118" s="418"/>
      <c r="DHS118" s="418"/>
      <c r="DHT118" s="418"/>
      <c r="DHU118" s="418"/>
      <c r="DHV118" s="418"/>
      <c r="DHW118" s="418"/>
      <c r="DHX118" s="418"/>
      <c r="DHY118" s="418"/>
      <c r="DHZ118" s="418"/>
      <c r="DIA118" s="418"/>
      <c r="DIB118" s="418"/>
      <c r="DIC118" s="418"/>
      <c r="DID118" s="418"/>
      <c r="DIE118" s="418"/>
      <c r="DIF118" s="418"/>
      <c r="DIG118" s="418"/>
      <c r="DIH118" s="418"/>
      <c r="DII118" s="418"/>
      <c r="DIJ118" s="418"/>
      <c r="DIK118" s="418"/>
      <c r="DIL118" s="418"/>
      <c r="DIM118" s="418"/>
      <c r="DIN118" s="418"/>
      <c r="DIO118" s="418"/>
      <c r="DIP118" s="418"/>
      <c r="DIQ118" s="418"/>
      <c r="DIR118" s="418"/>
      <c r="DIS118" s="418"/>
      <c r="DIT118" s="418"/>
      <c r="DIU118" s="418"/>
      <c r="DIV118" s="418"/>
      <c r="DIW118" s="418"/>
      <c r="DIX118" s="418"/>
      <c r="DIY118" s="418"/>
      <c r="DIZ118" s="418"/>
      <c r="DJA118" s="418"/>
      <c r="DJB118" s="418"/>
      <c r="DJC118" s="418"/>
      <c r="DJD118" s="418"/>
      <c r="DJE118" s="418"/>
      <c r="DJF118" s="418"/>
      <c r="DJG118" s="418"/>
      <c r="DJH118" s="418"/>
      <c r="DJI118" s="418"/>
      <c r="DJJ118" s="418"/>
      <c r="DJK118" s="418"/>
      <c r="DJL118" s="418"/>
      <c r="DJM118" s="418"/>
      <c r="DJN118" s="418"/>
      <c r="DJO118" s="418"/>
      <c r="DJP118" s="418"/>
      <c r="DJQ118" s="418"/>
      <c r="DJR118" s="418"/>
      <c r="DJS118" s="418"/>
      <c r="DJT118" s="418"/>
      <c r="DJU118" s="418"/>
      <c r="DJV118" s="418"/>
      <c r="DJW118" s="418"/>
      <c r="DJX118" s="418"/>
      <c r="DJY118" s="418"/>
      <c r="DJZ118" s="418"/>
      <c r="DKA118" s="418"/>
      <c r="DKB118" s="418"/>
      <c r="DKC118" s="418"/>
      <c r="DKD118" s="418"/>
      <c r="DKE118" s="418"/>
      <c r="DKF118" s="418"/>
      <c r="DKG118" s="418"/>
      <c r="DKH118" s="418"/>
      <c r="DKI118" s="418"/>
      <c r="DKJ118" s="418"/>
      <c r="DKK118" s="418"/>
      <c r="DKL118" s="418"/>
      <c r="DKM118" s="418"/>
      <c r="DKN118" s="418"/>
      <c r="DKO118" s="418"/>
      <c r="DKP118" s="418"/>
      <c r="DKQ118" s="418"/>
      <c r="DKR118" s="418"/>
      <c r="DKS118" s="418"/>
      <c r="DKT118" s="418"/>
      <c r="DKU118" s="418"/>
      <c r="DKV118" s="418"/>
      <c r="DKW118" s="418"/>
      <c r="DKX118" s="418"/>
      <c r="DKY118" s="418"/>
      <c r="DKZ118" s="418"/>
      <c r="DLA118" s="418"/>
      <c r="DLB118" s="418"/>
      <c r="DLC118" s="418"/>
      <c r="DLD118" s="418"/>
      <c r="DLE118" s="418"/>
      <c r="DLF118" s="418"/>
      <c r="DLG118" s="418"/>
      <c r="DLH118" s="418"/>
      <c r="DLI118" s="418"/>
      <c r="DLJ118" s="418"/>
      <c r="DLK118" s="418"/>
      <c r="DLL118" s="418"/>
      <c r="DLM118" s="418"/>
      <c r="DLN118" s="418"/>
      <c r="DLO118" s="418"/>
      <c r="DLP118" s="418"/>
      <c r="DLQ118" s="418"/>
      <c r="DLR118" s="418"/>
      <c r="DLS118" s="418"/>
      <c r="DLT118" s="418"/>
      <c r="DLU118" s="418"/>
      <c r="DLV118" s="418"/>
      <c r="DLW118" s="418"/>
      <c r="DLX118" s="418"/>
      <c r="DLY118" s="418"/>
      <c r="DLZ118" s="418"/>
      <c r="DMA118" s="418"/>
      <c r="DMB118" s="418"/>
      <c r="DMC118" s="418"/>
      <c r="DMD118" s="418"/>
      <c r="DME118" s="418"/>
      <c r="DMF118" s="418"/>
      <c r="DMG118" s="418"/>
      <c r="DMH118" s="418"/>
      <c r="DMI118" s="418"/>
      <c r="DMJ118" s="418"/>
      <c r="DMK118" s="418"/>
      <c r="DML118" s="418"/>
      <c r="DMM118" s="418"/>
      <c r="DMN118" s="418"/>
      <c r="DMO118" s="418"/>
      <c r="DMP118" s="418"/>
      <c r="DMQ118" s="418"/>
      <c r="DMR118" s="418"/>
      <c r="DMS118" s="418"/>
      <c r="DMT118" s="418"/>
      <c r="DMU118" s="418"/>
      <c r="DMV118" s="418"/>
      <c r="DMW118" s="418"/>
      <c r="DMX118" s="418"/>
      <c r="DMY118" s="418"/>
      <c r="DMZ118" s="418"/>
      <c r="DNA118" s="418"/>
      <c r="DNB118" s="418"/>
      <c r="DNC118" s="418"/>
      <c r="DND118" s="418"/>
      <c r="DNE118" s="418"/>
      <c r="DNF118" s="418"/>
      <c r="DNG118" s="418"/>
      <c r="DNH118" s="418"/>
      <c r="DNI118" s="418"/>
      <c r="DNJ118" s="418"/>
      <c r="DNK118" s="418"/>
      <c r="DNL118" s="418"/>
      <c r="DNM118" s="418"/>
      <c r="DNN118" s="418"/>
      <c r="DNO118" s="418"/>
      <c r="DNP118" s="418"/>
      <c r="DNQ118" s="418"/>
      <c r="DNR118" s="418"/>
      <c r="DNS118" s="418"/>
      <c r="DNT118" s="418"/>
      <c r="DNU118" s="418"/>
      <c r="DNV118" s="418"/>
      <c r="DNW118" s="418"/>
      <c r="DNX118" s="418"/>
      <c r="DNY118" s="418"/>
      <c r="DNZ118" s="418"/>
      <c r="DOA118" s="418"/>
      <c r="DOB118" s="418"/>
      <c r="DOC118" s="418"/>
      <c r="DOD118" s="418"/>
      <c r="DOE118" s="418"/>
      <c r="DOF118" s="418"/>
      <c r="DOG118" s="418"/>
      <c r="DOH118" s="418"/>
      <c r="DOI118" s="418"/>
      <c r="DOJ118" s="418"/>
      <c r="DOK118" s="418"/>
      <c r="DOL118" s="418"/>
      <c r="DOM118" s="418"/>
      <c r="DON118" s="418"/>
      <c r="DOO118" s="418"/>
      <c r="DOP118" s="418"/>
      <c r="DOQ118" s="418"/>
      <c r="DOR118" s="418"/>
      <c r="DOS118" s="418"/>
      <c r="DOT118" s="418"/>
      <c r="DOU118" s="418"/>
      <c r="DOV118" s="418"/>
      <c r="DOW118" s="418"/>
      <c r="DOX118" s="418"/>
      <c r="DOY118" s="418"/>
      <c r="DOZ118" s="418"/>
      <c r="DPA118" s="418"/>
      <c r="DPB118" s="418"/>
      <c r="DPC118" s="418"/>
      <c r="DPD118" s="418"/>
      <c r="DPE118" s="418"/>
      <c r="DPF118" s="418"/>
      <c r="DPG118" s="418"/>
      <c r="DPH118" s="418"/>
      <c r="DPI118" s="418"/>
      <c r="DPJ118" s="418"/>
      <c r="DPK118" s="418"/>
      <c r="DPL118" s="418"/>
      <c r="DPM118" s="418"/>
      <c r="DPN118" s="418"/>
      <c r="DPO118" s="418"/>
      <c r="DPP118" s="418"/>
      <c r="DPQ118" s="418"/>
      <c r="DPR118" s="418"/>
      <c r="DPS118" s="418"/>
      <c r="DPT118" s="418"/>
      <c r="DPU118" s="418"/>
      <c r="DPV118" s="418"/>
      <c r="DPW118" s="418"/>
      <c r="DPX118" s="418"/>
      <c r="DPY118" s="418"/>
      <c r="DPZ118" s="418"/>
      <c r="DQA118" s="418"/>
      <c r="DQB118" s="418"/>
      <c r="DQC118" s="418"/>
      <c r="DQD118" s="418"/>
      <c r="DQE118" s="418"/>
      <c r="DQF118" s="418"/>
      <c r="DQG118" s="418"/>
      <c r="DQH118" s="418"/>
      <c r="DQI118" s="418"/>
      <c r="DQJ118" s="418"/>
      <c r="DQK118" s="418"/>
      <c r="DQL118" s="418"/>
      <c r="DQM118" s="418"/>
      <c r="DQN118" s="418"/>
      <c r="DQO118" s="418"/>
      <c r="DQP118" s="418"/>
      <c r="DQQ118" s="418"/>
      <c r="DQR118" s="418"/>
      <c r="DQS118" s="418"/>
      <c r="DQT118" s="418"/>
      <c r="DQU118" s="418"/>
      <c r="DQV118" s="418"/>
      <c r="DQW118" s="418"/>
      <c r="DQX118" s="418"/>
      <c r="DQY118" s="418"/>
      <c r="DQZ118" s="418"/>
      <c r="DRA118" s="418"/>
      <c r="DRB118" s="418"/>
      <c r="DRC118" s="418"/>
      <c r="DRD118" s="418"/>
      <c r="DRE118" s="418"/>
      <c r="DRF118" s="418"/>
      <c r="DRG118" s="418"/>
      <c r="DRH118" s="418"/>
      <c r="DRI118" s="418"/>
      <c r="DRJ118" s="418"/>
      <c r="DRK118" s="418"/>
      <c r="DRL118" s="418"/>
      <c r="DRM118" s="418"/>
      <c r="DRN118" s="418"/>
      <c r="DRO118" s="418"/>
      <c r="DRP118" s="418"/>
      <c r="DRQ118" s="418"/>
      <c r="DRR118" s="418"/>
      <c r="DRS118" s="418"/>
      <c r="DRT118" s="418"/>
      <c r="DRU118" s="418"/>
      <c r="DRV118" s="418"/>
      <c r="DRW118" s="418"/>
      <c r="DRX118" s="418"/>
      <c r="DRY118" s="418"/>
      <c r="DRZ118" s="418"/>
      <c r="DSA118" s="418"/>
      <c r="DSB118" s="418"/>
      <c r="DSC118" s="418"/>
      <c r="DSD118" s="418"/>
      <c r="DSE118" s="418"/>
      <c r="DSF118" s="418"/>
      <c r="DSG118" s="418"/>
      <c r="DSH118" s="418"/>
      <c r="DSI118" s="418"/>
      <c r="DSJ118" s="418"/>
      <c r="DSK118" s="418"/>
      <c r="DSL118" s="418"/>
      <c r="DSM118" s="418"/>
      <c r="DSN118" s="418"/>
      <c r="DSO118" s="418"/>
      <c r="DSP118" s="418"/>
      <c r="DSQ118" s="418"/>
      <c r="DSR118" s="418"/>
      <c r="DSS118" s="418"/>
      <c r="DST118" s="418"/>
      <c r="DSU118" s="418"/>
      <c r="DSV118" s="418"/>
      <c r="DSW118" s="418"/>
      <c r="DSX118" s="418"/>
      <c r="DSY118" s="418"/>
      <c r="DSZ118" s="418"/>
      <c r="DTA118" s="418"/>
      <c r="DTB118" s="418"/>
      <c r="DTC118" s="418"/>
      <c r="DTD118" s="418"/>
      <c r="DTE118" s="418"/>
      <c r="DTF118" s="418"/>
      <c r="DTG118" s="418"/>
      <c r="DTH118" s="418"/>
      <c r="DTI118" s="418"/>
      <c r="DTJ118" s="418"/>
      <c r="DTK118" s="418"/>
      <c r="DTL118" s="418"/>
      <c r="DTM118" s="418"/>
      <c r="DTN118" s="418"/>
      <c r="DTO118" s="418"/>
      <c r="DTP118" s="418"/>
      <c r="DTQ118" s="418"/>
      <c r="DTR118" s="418"/>
      <c r="DTS118" s="418"/>
      <c r="DTT118" s="418"/>
      <c r="DTU118" s="418"/>
      <c r="DTV118" s="418"/>
      <c r="DTW118" s="418"/>
      <c r="DTX118" s="418"/>
      <c r="DTY118" s="418"/>
      <c r="DTZ118" s="418"/>
      <c r="DUA118" s="418"/>
      <c r="DUB118" s="418"/>
      <c r="DUC118" s="418"/>
      <c r="DUD118" s="418"/>
      <c r="DUE118" s="418"/>
      <c r="DUF118" s="418"/>
      <c r="DUG118" s="418"/>
      <c r="DUH118" s="418"/>
      <c r="DUI118" s="418"/>
      <c r="DUJ118" s="418"/>
      <c r="DUK118" s="418"/>
      <c r="DUL118" s="418"/>
      <c r="DUM118" s="418"/>
      <c r="DUN118" s="418"/>
      <c r="DUO118" s="418"/>
      <c r="DUP118" s="418"/>
      <c r="DUQ118" s="418"/>
      <c r="DUR118" s="418"/>
      <c r="DUS118" s="418"/>
      <c r="DUT118" s="418"/>
      <c r="DUU118" s="418"/>
      <c r="DUV118" s="418"/>
      <c r="DUW118" s="418"/>
      <c r="DUX118" s="418"/>
      <c r="DUY118" s="418"/>
      <c r="DUZ118" s="418"/>
      <c r="DVA118" s="418"/>
      <c r="DVB118" s="418"/>
      <c r="DVC118" s="418"/>
      <c r="DVD118" s="418"/>
      <c r="DVE118" s="418"/>
      <c r="DVF118" s="418"/>
      <c r="DVG118" s="418"/>
      <c r="DVH118" s="418"/>
      <c r="DVI118" s="418"/>
      <c r="DVJ118" s="418"/>
      <c r="DVK118" s="418"/>
      <c r="DVL118" s="418"/>
      <c r="DVM118" s="418"/>
      <c r="DVN118" s="418"/>
      <c r="DVO118" s="418"/>
      <c r="DVP118" s="418"/>
      <c r="DVQ118" s="418"/>
      <c r="DVR118" s="418"/>
      <c r="DVS118" s="418"/>
      <c r="DVT118" s="418"/>
      <c r="DVU118" s="418"/>
      <c r="DVV118" s="418"/>
      <c r="DVW118" s="418"/>
      <c r="DVX118" s="418"/>
      <c r="DVY118" s="418"/>
      <c r="DVZ118" s="418"/>
      <c r="DWA118" s="418"/>
      <c r="DWB118" s="418"/>
      <c r="DWC118" s="418"/>
      <c r="DWD118" s="418"/>
      <c r="DWE118" s="418"/>
      <c r="DWF118" s="418"/>
      <c r="DWG118" s="418"/>
      <c r="DWH118" s="418"/>
      <c r="DWI118" s="418"/>
      <c r="DWJ118" s="418"/>
      <c r="DWK118" s="418"/>
      <c r="DWL118" s="418"/>
      <c r="DWM118" s="418"/>
      <c r="DWN118" s="418"/>
      <c r="DWO118" s="418"/>
      <c r="DWP118" s="418"/>
      <c r="DWQ118" s="418"/>
      <c r="DWR118" s="418"/>
      <c r="DWS118" s="418"/>
      <c r="DWT118" s="418"/>
      <c r="DWU118" s="418"/>
      <c r="DWV118" s="418"/>
      <c r="DWW118" s="418"/>
      <c r="DWX118" s="418"/>
      <c r="DWY118" s="418"/>
      <c r="DWZ118" s="418"/>
      <c r="DXA118" s="418"/>
      <c r="DXB118" s="418"/>
      <c r="DXC118" s="418"/>
      <c r="DXD118" s="418"/>
      <c r="DXE118" s="418"/>
      <c r="DXF118" s="418"/>
      <c r="DXG118" s="418"/>
      <c r="DXH118" s="418"/>
      <c r="DXI118" s="418"/>
      <c r="DXJ118" s="418"/>
      <c r="DXK118" s="418"/>
      <c r="DXL118" s="418"/>
      <c r="DXM118" s="418"/>
      <c r="DXN118" s="418"/>
      <c r="DXO118" s="418"/>
      <c r="DXP118" s="418"/>
      <c r="DXQ118" s="418"/>
      <c r="DXR118" s="418"/>
      <c r="DXS118" s="418"/>
      <c r="DXT118" s="418"/>
      <c r="DXU118" s="418"/>
      <c r="DXV118" s="418"/>
      <c r="DXW118" s="418"/>
      <c r="DXX118" s="418"/>
      <c r="DXY118" s="418"/>
      <c r="DXZ118" s="418"/>
      <c r="DYA118" s="418"/>
      <c r="DYB118" s="418"/>
      <c r="DYC118" s="418"/>
      <c r="DYD118" s="418"/>
      <c r="DYE118" s="418"/>
      <c r="DYF118" s="418"/>
      <c r="DYG118" s="418"/>
      <c r="DYH118" s="418"/>
      <c r="DYI118" s="418"/>
      <c r="DYJ118" s="418"/>
      <c r="DYK118" s="418"/>
      <c r="DYL118" s="418"/>
      <c r="DYM118" s="418"/>
      <c r="DYN118" s="418"/>
      <c r="DYO118" s="418"/>
      <c r="DYP118" s="418"/>
      <c r="DYQ118" s="418"/>
      <c r="DYR118" s="418"/>
      <c r="DYS118" s="418"/>
      <c r="DYT118" s="418"/>
      <c r="DYU118" s="418"/>
      <c r="DYV118" s="418"/>
      <c r="DYW118" s="418"/>
      <c r="DYX118" s="418"/>
      <c r="DYY118" s="418"/>
      <c r="DYZ118" s="418"/>
      <c r="DZA118" s="418"/>
      <c r="DZB118" s="418"/>
      <c r="DZC118" s="418"/>
      <c r="DZD118" s="418"/>
      <c r="DZE118" s="418"/>
      <c r="DZF118" s="418"/>
      <c r="DZG118" s="418"/>
      <c r="DZH118" s="418"/>
      <c r="DZI118" s="418"/>
      <c r="DZJ118" s="418"/>
      <c r="DZK118" s="418"/>
      <c r="DZL118" s="418"/>
      <c r="DZM118" s="418"/>
      <c r="DZN118" s="418"/>
      <c r="DZO118" s="418"/>
      <c r="DZP118" s="418"/>
      <c r="DZQ118" s="418"/>
      <c r="DZR118" s="418"/>
      <c r="DZS118" s="418"/>
      <c r="DZT118" s="418"/>
      <c r="DZU118" s="418"/>
      <c r="DZV118" s="418"/>
      <c r="DZW118" s="418"/>
      <c r="DZX118" s="418"/>
      <c r="DZY118" s="418"/>
      <c r="DZZ118" s="418"/>
      <c r="EAA118" s="418"/>
      <c r="EAB118" s="418"/>
      <c r="EAC118" s="418"/>
      <c r="EAD118" s="418"/>
      <c r="EAE118" s="418"/>
      <c r="EAF118" s="418"/>
      <c r="EAG118" s="418"/>
      <c r="EAH118" s="418"/>
      <c r="EAI118" s="418"/>
      <c r="EAJ118" s="418"/>
      <c r="EAK118" s="418"/>
      <c r="EAL118" s="418"/>
      <c r="EAM118" s="418"/>
      <c r="EAN118" s="418"/>
      <c r="EAO118" s="418"/>
      <c r="EAP118" s="418"/>
      <c r="EAQ118" s="418"/>
      <c r="EAR118" s="418"/>
      <c r="EAS118" s="418"/>
      <c r="EAT118" s="418"/>
      <c r="EAU118" s="418"/>
      <c r="EAV118" s="418"/>
      <c r="EAW118" s="418"/>
      <c r="EAX118" s="418"/>
      <c r="EAY118" s="418"/>
      <c r="EAZ118" s="418"/>
      <c r="EBA118" s="418"/>
      <c r="EBB118" s="418"/>
      <c r="EBC118" s="418"/>
      <c r="EBD118" s="418"/>
      <c r="EBE118" s="418"/>
      <c r="EBF118" s="418"/>
      <c r="EBG118" s="418"/>
      <c r="EBH118" s="418"/>
      <c r="EBI118" s="418"/>
      <c r="EBJ118" s="418"/>
      <c r="EBK118" s="418"/>
      <c r="EBL118" s="418"/>
      <c r="EBM118" s="418"/>
      <c r="EBN118" s="418"/>
      <c r="EBO118" s="418"/>
      <c r="EBP118" s="418"/>
      <c r="EBQ118" s="418"/>
      <c r="EBR118" s="418"/>
      <c r="EBS118" s="418"/>
      <c r="EBT118" s="418"/>
      <c r="EBU118" s="418"/>
      <c r="EBV118" s="418"/>
      <c r="EBW118" s="418"/>
      <c r="EBX118" s="418"/>
      <c r="EBY118" s="418"/>
      <c r="EBZ118" s="418"/>
      <c r="ECA118" s="418"/>
      <c r="ECB118" s="418"/>
      <c r="ECC118" s="418"/>
      <c r="ECD118" s="418"/>
      <c r="ECE118" s="418"/>
      <c r="ECF118" s="418"/>
      <c r="ECG118" s="418"/>
      <c r="ECH118" s="418"/>
      <c r="ECI118" s="418"/>
      <c r="ECJ118" s="418"/>
      <c r="ECK118" s="418"/>
      <c r="ECL118" s="418"/>
      <c r="ECM118" s="418"/>
      <c r="ECN118" s="418"/>
      <c r="ECO118" s="418"/>
      <c r="ECP118" s="418"/>
      <c r="ECQ118" s="418"/>
      <c r="ECR118" s="418"/>
      <c r="ECS118" s="418"/>
      <c r="ECT118" s="418"/>
      <c r="ECU118" s="418"/>
      <c r="ECV118" s="418"/>
      <c r="ECW118" s="418"/>
      <c r="ECX118" s="418"/>
      <c r="ECY118" s="418"/>
      <c r="ECZ118" s="418"/>
      <c r="EDA118" s="418"/>
      <c r="EDB118" s="418"/>
      <c r="EDC118" s="418"/>
      <c r="EDD118" s="418"/>
      <c r="EDE118" s="418"/>
      <c r="EDF118" s="418"/>
      <c r="EDG118" s="418"/>
      <c r="EDH118" s="418"/>
      <c r="EDI118" s="418"/>
      <c r="EDJ118" s="418"/>
      <c r="EDK118" s="418"/>
      <c r="EDL118" s="418"/>
      <c r="EDM118" s="418"/>
      <c r="EDN118" s="418"/>
      <c r="EDO118" s="418"/>
      <c r="EDP118" s="418"/>
      <c r="EDQ118" s="418"/>
      <c r="EDR118" s="418"/>
      <c r="EDS118" s="418"/>
      <c r="EDT118" s="418"/>
      <c r="EDU118" s="418"/>
      <c r="EDV118" s="418"/>
      <c r="EDW118" s="418"/>
      <c r="EDX118" s="418"/>
      <c r="EDY118" s="418"/>
      <c r="EDZ118" s="418"/>
      <c r="EEA118" s="418"/>
      <c r="EEB118" s="418"/>
      <c r="EEC118" s="418"/>
      <c r="EED118" s="418"/>
      <c r="EEE118" s="418"/>
      <c r="EEF118" s="418"/>
      <c r="EEG118" s="418"/>
      <c r="EEH118" s="418"/>
      <c r="EEI118" s="418"/>
      <c r="EEJ118" s="418"/>
      <c r="EEK118" s="418"/>
      <c r="EEL118" s="418"/>
      <c r="EEM118" s="418"/>
      <c r="EEN118" s="418"/>
      <c r="EEO118" s="418"/>
      <c r="EEP118" s="418"/>
      <c r="EEQ118" s="418"/>
      <c r="EER118" s="418"/>
      <c r="EES118" s="418"/>
      <c r="EET118" s="418"/>
      <c r="EEU118" s="418"/>
      <c r="EEV118" s="418"/>
      <c r="EEW118" s="418"/>
      <c r="EEX118" s="418"/>
      <c r="EEY118" s="418"/>
      <c r="EEZ118" s="418"/>
      <c r="EFA118" s="418"/>
      <c r="EFB118" s="418"/>
      <c r="EFC118" s="418"/>
      <c r="EFD118" s="418"/>
      <c r="EFE118" s="418"/>
      <c r="EFF118" s="418"/>
      <c r="EFG118" s="418"/>
      <c r="EFH118" s="418"/>
      <c r="EFI118" s="418"/>
      <c r="EFJ118" s="418"/>
      <c r="EFK118" s="418"/>
      <c r="EFL118" s="418"/>
      <c r="EFM118" s="418"/>
      <c r="EFN118" s="418"/>
      <c r="EFO118" s="418"/>
      <c r="EFP118" s="418"/>
      <c r="EFQ118" s="418"/>
      <c r="EFR118" s="418"/>
      <c r="EFS118" s="418"/>
      <c r="EFT118" s="418"/>
      <c r="EFU118" s="418"/>
      <c r="EFV118" s="418"/>
      <c r="EFW118" s="418"/>
      <c r="EFX118" s="418"/>
      <c r="EFY118" s="418"/>
      <c r="EFZ118" s="418"/>
      <c r="EGA118" s="418"/>
      <c r="EGB118" s="418"/>
      <c r="EGC118" s="418"/>
      <c r="EGD118" s="418"/>
      <c r="EGE118" s="418"/>
      <c r="EGF118" s="418"/>
      <c r="EGG118" s="418"/>
      <c r="EGH118" s="418"/>
      <c r="EGI118" s="418"/>
      <c r="EGJ118" s="418"/>
      <c r="EGK118" s="418"/>
      <c r="EGL118" s="418"/>
      <c r="EGM118" s="418"/>
      <c r="EGN118" s="418"/>
      <c r="EGO118" s="418"/>
      <c r="EGP118" s="418"/>
      <c r="EGQ118" s="418"/>
      <c r="EGR118" s="418"/>
      <c r="EGS118" s="418"/>
      <c r="EGT118" s="418"/>
      <c r="EGU118" s="418"/>
      <c r="EGV118" s="418"/>
      <c r="EGW118" s="418"/>
      <c r="EGX118" s="418"/>
      <c r="EGY118" s="418"/>
      <c r="EGZ118" s="418"/>
      <c r="EHA118" s="418"/>
      <c r="EHB118" s="418"/>
      <c r="EHC118" s="418"/>
      <c r="EHD118" s="418"/>
      <c r="EHE118" s="418"/>
      <c r="EHF118" s="418"/>
      <c r="EHG118" s="418"/>
      <c r="EHH118" s="418"/>
      <c r="EHI118" s="418"/>
      <c r="EHJ118" s="418"/>
      <c r="EHK118" s="418"/>
      <c r="EHL118" s="418"/>
      <c r="EHM118" s="418"/>
      <c r="EHN118" s="418"/>
      <c r="EHO118" s="418"/>
      <c r="EHP118" s="418"/>
      <c r="EHQ118" s="418"/>
      <c r="EHR118" s="418"/>
      <c r="EHS118" s="418"/>
      <c r="EHT118" s="418"/>
      <c r="EHU118" s="418"/>
      <c r="EHV118" s="418"/>
      <c r="EHW118" s="418"/>
      <c r="EHX118" s="418"/>
      <c r="EHY118" s="418"/>
      <c r="EHZ118" s="418"/>
      <c r="EIA118" s="418"/>
      <c r="EIB118" s="418"/>
      <c r="EIC118" s="418"/>
      <c r="EID118" s="418"/>
      <c r="EIE118" s="418"/>
      <c r="EIF118" s="418"/>
      <c r="EIG118" s="418"/>
      <c r="EIH118" s="418"/>
      <c r="EII118" s="418"/>
      <c r="EIJ118" s="418"/>
      <c r="EIK118" s="418"/>
      <c r="EIL118" s="418"/>
      <c r="EIM118" s="418"/>
      <c r="EIN118" s="418"/>
      <c r="EIO118" s="418"/>
      <c r="EIP118" s="418"/>
      <c r="EIQ118" s="418"/>
      <c r="EIR118" s="418"/>
      <c r="EIS118" s="418"/>
      <c r="EIT118" s="418"/>
      <c r="EIU118" s="418"/>
      <c r="EIV118" s="418"/>
      <c r="EIW118" s="418"/>
      <c r="EIX118" s="418"/>
      <c r="EIY118" s="418"/>
      <c r="EIZ118" s="418"/>
      <c r="EJA118" s="418"/>
      <c r="EJB118" s="418"/>
      <c r="EJC118" s="418"/>
      <c r="EJD118" s="418"/>
      <c r="EJE118" s="418"/>
      <c r="EJF118" s="418"/>
      <c r="EJG118" s="418"/>
      <c r="EJH118" s="418"/>
      <c r="EJI118" s="418"/>
      <c r="EJJ118" s="418"/>
      <c r="EJK118" s="418"/>
      <c r="EJL118" s="418"/>
      <c r="EJM118" s="418"/>
      <c r="EJN118" s="418"/>
      <c r="EJO118" s="418"/>
      <c r="EJP118" s="418"/>
      <c r="EJQ118" s="418"/>
      <c r="EJR118" s="418"/>
      <c r="EJS118" s="418"/>
      <c r="EJT118" s="418"/>
      <c r="EJU118" s="418"/>
      <c r="EJV118" s="418"/>
      <c r="EJW118" s="418"/>
      <c r="EJX118" s="418"/>
      <c r="EJY118" s="418"/>
      <c r="EJZ118" s="418"/>
      <c r="EKA118" s="418"/>
      <c r="EKB118" s="418"/>
      <c r="EKC118" s="418"/>
      <c r="EKD118" s="418"/>
      <c r="EKE118" s="418"/>
      <c r="EKF118" s="418"/>
      <c r="EKG118" s="418"/>
      <c r="EKH118" s="418"/>
      <c r="EKI118" s="418"/>
      <c r="EKJ118" s="418"/>
      <c r="EKK118" s="418"/>
      <c r="EKL118" s="418"/>
      <c r="EKM118" s="418"/>
      <c r="EKN118" s="418"/>
      <c r="EKO118" s="418"/>
      <c r="EKP118" s="418"/>
      <c r="EKQ118" s="418"/>
      <c r="EKR118" s="418"/>
      <c r="EKS118" s="418"/>
      <c r="EKT118" s="418"/>
      <c r="EKU118" s="418"/>
      <c r="EKV118" s="418"/>
      <c r="EKW118" s="418"/>
      <c r="EKX118" s="418"/>
      <c r="EKY118" s="418"/>
      <c r="EKZ118" s="418"/>
      <c r="ELA118" s="418"/>
      <c r="ELB118" s="418"/>
      <c r="ELC118" s="418"/>
      <c r="ELD118" s="418"/>
      <c r="ELE118" s="418"/>
      <c r="ELF118" s="418"/>
      <c r="ELG118" s="418"/>
      <c r="ELH118" s="418"/>
      <c r="ELI118" s="418"/>
      <c r="ELJ118" s="418"/>
      <c r="ELK118" s="418"/>
      <c r="ELL118" s="418"/>
      <c r="ELM118" s="418"/>
      <c r="ELN118" s="418"/>
      <c r="ELO118" s="418"/>
      <c r="ELP118" s="418"/>
      <c r="ELQ118" s="418"/>
      <c r="ELR118" s="418"/>
      <c r="ELS118" s="418"/>
      <c r="ELT118" s="418"/>
      <c r="ELU118" s="418"/>
      <c r="ELV118" s="418"/>
      <c r="ELW118" s="418"/>
      <c r="ELX118" s="418"/>
      <c r="ELY118" s="418"/>
      <c r="ELZ118" s="418"/>
      <c r="EMA118" s="418"/>
      <c r="EMB118" s="418"/>
      <c r="EMC118" s="418"/>
      <c r="EMD118" s="418"/>
      <c r="EME118" s="418"/>
      <c r="EMF118" s="418"/>
      <c r="EMG118" s="418"/>
      <c r="EMH118" s="418"/>
      <c r="EMI118" s="418"/>
      <c r="EMJ118" s="418"/>
      <c r="EMK118" s="418"/>
      <c r="EML118" s="418"/>
      <c r="EMM118" s="418"/>
      <c r="EMN118" s="418"/>
      <c r="EMO118" s="418"/>
      <c r="EMP118" s="418"/>
      <c r="EMQ118" s="418"/>
      <c r="EMR118" s="418"/>
      <c r="EMS118" s="418"/>
      <c r="EMT118" s="418"/>
      <c r="EMU118" s="418"/>
      <c r="EMV118" s="418"/>
      <c r="EMW118" s="418"/>
      <c r="EMX118" s="418"/>
      <c r="EMY118" s="418"/>
      <c r="EMZ118" s="418"/>
      <c r="ENA118" s="418"/>
      <c r="ENB118" s="418"/>
      <c r="ENC118" s="418"/>
      <c r="END118" s="418"/>
      <c r="ENE118" s="418"/>
      <c r="ENF118" s="418"/>
      <c r="ENG118" s="418"/>
      <c r="ENH118" s="418"/>
      <c r="ENI118" s="418"/>
      <c r="ENJ118" s="418"/>
      <c r="ENK118" s="418"/>
      <c r="ENL118" s="418"/>
      <c r="ENM118" s="418"/>
      <c r="ENN118" s="418"/>
      <c r="ENO118" s="418"/>
      <c r="ENP118" s="418"/>
      <c r="ENQ118" s="418"/>
      <c r="ENR118" s="418"/>
      <c r="ENS118" s="418"/>
      <c r="ENT118" s="418"/>
      <c r="ENU118" s="418"/>
      <c r="ENV118" s="418"/>
      <c r="ENW118" s="418"/>
      <c r="ENX118" s="418"/>
      <c r="ENY118" s="418"/>
      <c r="ENZ118" s="418"/>
      <c r="EOA118" s="418"/>
      <c r="EOB118" s="418"/>
      <c r="EOC118" s="418"/>
      <c r="EOD118" s="418"/>
      <c r="EOE118" s="418"/>
      <c r="EOF118" s="418"/>
      <c r="EOG118" s="418"/>
      <c r="EOH118" s="418"/>
      <c r="EOI118" s="418"/>
      <c r="EOJ118" s="418"/>
      <c r="EOK118" s="418"/>
      <c r="EOL118" s="418"/>
      <c r="EOM118" s="418"/>
      <c r="EON118" s="418"/>
      <c r="EOO118" s="418"/>
      <c r="EOP118" s="418"/>
      <c r="EOQ118" s="418"/>
      <c r="EOR118" s="418"/>
      <c r="EOS118" s="418"/>
      <c r="EOT118" s="418"/>
      <c r="EOU118" s="418"/>
      <c r="EOV118" s="418"/>
      <c r="EOW118" s="418"/>
      <c r="EOX118" s="418"/>
      <c r="EOY118" s="418"/>
      <c r="EOZ118" s="418"/>
      <c r="EPA118" s="418"/>
      <c r="EPB118" s="418"/>
      <c r="EPC118" s="418"/>
      <c r="EPD118" s="418"/>
      <c r="EPE118" s="418"/>
      <c r="EPF118" s="418"/>
      <c r="EPG118" s="418"/>
      <c r="EPH118" s="418"/>
      <c r="EPI118" s="418"/>
      <c r="EPJ118" s="418"/>
      <c r="EPK118" s="418"/>
      <c r="EPL118" s="418"/>
      <c r="EPM118" s="418"/>
      <c r="EPN118" s="418"/>
      <c r="EPO118" s="418"/>
      <c r="EPP118" s="418"/>
      <c r="EPQ118" s="418"/>
      <c r="EPR118" s="418"/>
      <c r="EPS118" s="418"/>
      <c r="EPT118" s="418"/>
      <c r="EPU118" s="418"/>
      <c r="EPV118" s="418"/>
      <c r="EPW118" s="418"/>
      <c r="EPX118" s="418"/>
      <c r="EPY118" s="418"/>
      <c r="EPZ118" s="418"/>
      <c r="EQA118" s="418"/>
      <c r="EQB118" s="418"/>
      <c r="EQC118" s="418"/>
      <c r="EQD118" s="418"/>
      <c r="EQE118" s="418"/>
      <c r="EQF118" s="418"/>
      <c r="EQG118" s="418"/>
      <c r="EQH118" s="418"/>
      <c r="EQI118" s="418"/>
      <c r="EQJ118" s="418"/>
      <c r="EQK118" s="418"/>
      <c r="EQL118" s="418"/>
      <c r="EQM118" s="418"/>
      <c r="EQN118" s="418"/>
      <c r="EQO118" s="418"/>
      <c r="EQP118" s="418"/>
      <c r="EQQ118" s="418"/>
      <c r="EQR118" s="418"/>
      <c r="EQS118" s="418"/>
      <c r="EQT118" s="418"/>
      <c r="EQU118" s="418"/>
      <c r="EQV118" s="418"/>
      <c r="EQW118" s="418"/>
      <c r="EQX118" s="418"/>
      <c r="EQY118" s="418"/>
      <c r="EQZ118" s="418"/>
      <c r="ERA118" s="418"/>
      <c r="ERB118" s="418"/>
      <c r="ERC118" s="418"/>
      <c r="ERD118" s="418"/>
      <c r="ERE118" s="418"/>
      <c r="ERF118" s="418"/>
      <c r="ERG118" s="418"/>
      <c r="ERH118" s="418"/>
      <c r="ERI118" s="418"/>
      <c r="ERJ118" s="418"/>
      <c r="ERK118" s="418"/>
      <c r="ERL118" s="418"/>
      <c r="ERM118" s="418"/>
      <c r="ERN118" s="418"/>
      <c r="ERO118" s="418"/>
      <c r="ERP118" s="418"/>
      <c r="ERQ118" s="418"/>
      <c r="ERR118" s="418"/>
      <c r="ERS118" s="418"/>
      <c r="ERT118" s="418"/>
      <c r="ERU118" s="418"/>
      <c r="ERV118" s="418"/>
      <c r="ERW118" s="418"/>
      <c r="ERX118" s="418"/>
      <c r="ERY118" s="418"/>
      <c r="ERZ118" s="418"/>
      <c r="ESA118" s="418"/>
      <c r="ESB118" s="418"/>
      <c r="ESC118" s="418"/>
      <c r="ESD118" s="418"/>
      <c r="ESE118" s="418"/>
      <c r="ESF118" s="418"/>
      <c r="ESG118" s="418"/>
      <c r="ESH118" s="418"/>
      <c r="ESI118" s="418"/>
      <c r="ESJ118" s="418"/>
      <c r="ESK118" s="418"/>
      <c r="ESL118" s="418"/>
      <c r="ESM118" s="418"/>
      <c r="ESN118" s="418"/>
      <c r="ESO118" s="418"/>
      <c r="ESP118" s="418"/>
      <c r="ESQ118" s="418"/>
      <c r="ESR118" s="418"/>
      <c r="ESS118" s="418"/>
      <c r="EST118" s="418"/>
      <c r="ESU118" s="418"/>
      <c r="ESV118" s="418"/>
      <c r="ESW118" s="418"/>
      <c r="ESX118" s="418"/>
      <c r="ESY118" s="418"/>
      <c r="ESZ118" s="418"/>
      <c r="ETA118" s="418"/>
      <c r="ETB118" s="418"/>
      <c r="ETC118" s="418"/>
      <c r="ETD118" s="418"/>
      <c r="ETE118" s="418"/>
      <c r="ETF118" s="418"/>
      <c r="ETG118" s="418"/>
      <c r="ETH118" s="418"/>
      <c r="ETI118" s="418"/>
      <c r="ETJ118" s="418"/>
      <c r="ETK118" s="418"/>
      <c r="ETL118" s="418"/>
      <c r="ETM118" s="418"/>
      <c r="ETN118" s="418"/>
      <c r="ETO118" s="418"/>
      <c r="ETP118" s="418"/>
      <c r="ETQ118" s="418"/>
      <c r="ETR118" s="418"/>
      <c r="ETS118" s="418"/>
      <c r="ETT118" s="418"/>
      <c r="ETU118" s="418"/>
      <c r="ETV118" s="418"/>
      <c r="ETW118" s="418"/>
      <c r="ETX118" s="418"/>
      <c r="ETY118" s="418"/>
      <c r="ETZ118" s="418"/>
      <c r="EUA118" s="418"/>
      <c r="EUB118" s="418"/>
      <c r="EUC118" s="418"/>
      <c r="EUD118" s="418"/>
      <c r="EUE118" s="418"/>
      <c r="EUF118" s="418"/>
      <c r="EUG118" s="418"/>
      <c r="EUH118" s="418"/>
      <c r="EUI118" s="418"/>
      <c r="EUJ118" s="418"/>
      <c r="EUK118" s="418"/>
      <c r="EUL118" s="418"/>
      <c r="EUM118" s="418"/>
      <c r="EUN118" s="418"/>
      <c r="EUO118" s="418"/>
      <c r="EUP118" s="418"/>
      <c r="EUQ118" s="418"/>
      <c r="EUR118" s="418"/>
      <c r="EUS118" s="418"/>
      <c r="EUT118" s="418"/>
      <c r="EUU118" s="418"/>
      <c r="EUV118" s="418"/>
      <c r="EUW118" s="418"/>
      <c r="EUX118" s="418"/>
      <c r="EUY118" s="418"/>
      <c r="EUZ118" s="418"/>
      <c r="EVA118" s="418"/>
      <c r="EVB118" s="418"/>
      <c r="EVC118" s="418"/>
      <c r="EVD118" s="418"/>
      <c r="EVE118" s="418"/>
      <c r="EVF118" s="418"/>
      <c r="EVG118" s="418"/>
      <c r="EVH118" s="418"/>
      <c r="EVI118" s="418"/>
      <c r="EVJ118" s="418"/>
      <c r="EVK118" s="418"/>
      <c r="EVL118" s="418"/>
      <c r="EVM118" s="418"/>
      <c r="EVN118" s="418"/>
      <c r="EVO118" s="418"/>
      <c r="EVP118" s="418"/>
      <c r="EVQ118" s="418"/>
      <c r="EVR118" s="418"/>
      <c r="EVS118" s="418"/>
      <c r="EVT118" s="418"/>
      <c r="EVU118" s="418"/>
      <c r="EVV118" s="418"/>
      <c r="EVW118" s="418"/>
      <c r="EVX118" s="418"/>
      <c r="EVY118" s="418"/>
      <c r="EVZ118" s="418"/>
      <c r="EWA118" s="418"/>
      <c r="EWB118" s="418"/>
      <c r="EWC118" s="418"/>
      <c r="EWD118" s="418"/>
      <c r="EWE118" s="418"/>
      <c r="EWF118" s="418"/>
      <c r="EWG118" s="418"/>
      <c r="EWH118" s="418"/>
      <c r="EWI118" s="418"/>
      <c r="EWJ118" s="418"/>
      <c r="EWK118" s="418"/>
      <c r="EWL118" s="418"/>
      <c r="EWM118" s="418"/>
      <c r="EWN118" s="418"/>
      <c r="EWO118" s="418"/>
      <c r="EWP118" s="418"/>
      <c r="EWQ118" s="418"/>
      <c r="EWR118" s="418"/>
      <c r="EWS118" s="418"/>
      <c r="EWT118" s="418"/>
      <c r="EWU118" s="418"/>
      <c r="EWV118" s="418"/>
      <c r="EWW118" s="418"/>
      <c r="EWX118" s="418"/>
      <c r="EWY118" s="418"/>
      <c r="EWZ118" s="418"/>
      <c r="EXA118" s="418"/>
      <c r="EXB118" s="418"/>
      <c r="EXC118" s="418"/>
      <c r="EXD118" s="418"/>
      <c r="EXE118" s="418"/>
      <c r="EXF118" s="418"/>
      <c r="EXG118" s="418"/>
      <c r="EXH118" s="418"/>
      <c r="EXI118" s="418"/>
      <c r="EXJ118" s="418"/>
      <c r="EXK118" s="418"/>
      <c r="EXL118" s="418"/>
      <c r="EXM118" s="418"/>
      <c r="EXN118" s="418"/>
      <c r="EXO118" s="418"/>
      <c r="EXP118" s="418"/>
      <c r="EXQ118" s="418"/>
      <c r="EXR118" s="418"/>
      <c r="EXS118" s="418"/>
      <c r="EXT118" s="418"/>
      <c r="EXU118" s="418"/>
      <c r="EXV118" s="418"/>
      <c r="EXW118" s="418"/>
      <c r="EXX118" s="418"/>
      <c r="EXY118" s="418"/>
      <c r="EXZ118" s="418"/>
      <c r="EYA118" s="418"/>
      <c r="EYB118" s="418"/>
      <c r="EYC118" s="418"/>
      <c r="EYD118" s="418"/>
      <c r="EYE118" s="418"/>
      <c r="EYF118" s="418"/>
      <c r="EYG118" s="418"/>
      <c r="EYH118" s="418"/>
      <c r="EYI118" s="418"/>
      <c r="EYJ118" s="418"/>
      <c r="EYK118" s="418"/>
      <c r="EYL118" s="418"/>
      <c r="EYM118" s="418"/>
      <c r="EYN118" s="418"/>
      <c r="EYO118" s="418"/>
      <c r="EYP118" s="418"/>
      <c r="EYQ118" s="418"/>
      <c r="EYR118" s="418"/>
      <c r="EYS118" s="418"/>
      <c r="EYT118" s="418"/>
      <c r="EYU118" s="418"/>
      <c r="EYV118" s="418"/>
      <c r="EYW118" s="418"/>
      <c r="EYX118" s="418"/>
      <c r="EYY118" s="418"/>
      <c r="EYZ118" s="418"/>
      <c r="EZA118" s="418"/>
      <c r="EZB118" s="418"/>
      <c r="EZC118" s="418"/>
      <c r="EZD118" s="418"/>
      <c r="EZE118" s="418"/>
      <c r="EZF118" s="418"/>
      <c r="EZG118" s="418"/>
      <c r="EZH118" s="418"/>
      <c r="EZI118" s="418"/>
      <c r="EZJ118" s="418"/>
      <c r="EZK118" s="418"/>
      <c r="EZL118" s="418"/>
      <c r="EZM118" s="418"/>
      <c r="EZN118" s="418"/>
      <c r="EZO118" s="418"/>
      <c r="EZP118" s="418"/>
      <c r="EZQ118" s="418"/>
      <c r="EZR118" s="418"/>
      <c r="EZS118" s="418"/>
      <c r="EZT118" s="418"/>
      <c r="EZU118" s="418"/>
      <c r="EZV118" s="418"/>
      <c r="EZW118" s="418"/>
      <c r="EZX118" s="418"/>
      <c r="EZY118" s="418"/>
      <c r="EZZ118" s="418"/>
      <c r="FAA118" s="418"/>
      <c r="FAB118" s="418"/>
      <c r="FAC118" s="418"/>
      <c r="FAD118" s="418"/>
      <c r="FAE118" s="418"/>
      <c r="FAF118" s="418"/>
      <c r="FAG118" s="418"/>
      <c r="FAH118" s="418"/>
      <c r="FAI118" s="418"/>
      <c r="FAJ118" s="418"/>
      <c r="FAK118" s="418"/>
      <c r="FAL118" s="418"/>
      <c r="FAM118" s="418"/>
      <c r="FAN118" s="418"/>
      <c r="FAO118" s="418"/>
      <c r="FAP118" s="418"/>
      <c r="FAQ118" s="418"/>
      <c r="FAR118" s="418"/>
      <c r="FAS118" s="418"/>
      <c r="FAT118" s="418"/>
      <c r="FAU118" s="418"/>
      <c r="FAV118" s="418"/>
      <c r="FAW118" s="418"/>
      <c r="FAX118" s="418"/>
      <c r="FAY118" s="418"/>
      <c r="FAZ118" s="418"/>
      <c r="FBA118" s="418"/>
      <c r="FBB118" s="418"/>
      <c r="FBC118" s="418"/>
      <c r="FBD118" s="418"/>
      <c r="FBE118" s="418"/>
      <c r="FBF118" s="418"/>
      <c r="FBG118" s="418"/>
      <c r="FBH118" s="418"/>
      <c r="FBI118" s="418"/>
      <c r="FBJ118" s="418"/>
      <c r="FBK118" s="418"/>
      <c r="FBL118" s="418"/>
      <c r="FBM118" s="418"/>
      <c r="FBN118" s="418"/>
      <c r="FBO118" s="418"/>
      <c r="FBP118" s="418"/>
      <c r="FBQ118" s="418"/>
      <c r="FBR118" s="418"/>
      <c r="FBS118" s="418"/>
      <c r="FBT118" s="418"/>
      <c r="FBU118" s="418"/>
      <c r="FBV118" s="418"/>
      <c r="FBW118" s="418"/>
      <c r="FBX118" s="418"/>
      <c r="FBY118" s="418"/>
      <c r="FBZ118" s="418"/>
      <c r="FCA118" s="418"/>
      <c r="FCB118" s="418"/>
      <c r="FCC118" s="418"/>
      <c r="FCD118" s="418"/>
      <c r="FCE118" s="418"/>
      <c r="FCF118" s="418"/>
      <c r="FCG118" s="418"/>
      <c r="FCH118" s="418"/>
      <c r="FCI118" s="418"/>
      <c r="FCJ118" s="418"/>
      <c r="FCK118" s="418"/>
      <c r="FCL118" s="418"/>
      <c r="FCM118" s="418"/>
      <c r="FCN118" s="418"/>
      <c r="FCO118" s="418"/>
      <c r="FCP118" s="418"/>
      <c r="FCQ118" s="418"/>
      <c r="FCR118" s="418"/>
      <c r="FCS118" s="418"/>
      <c r="FCT118" s="418"/>
      <c r="FCU118" s="418"/>
      <c r="FCV118" s="418"/>
      <c r="FCW118" s="418"/>
      <c r="FCX118" s="418"/>
      <c r="FCY118" s="418"/>
      <c r="FCZ118" s="418"/>
      <c r="FDA118" s="418"/>
      <c r="FDB118" s="418"/>
      <c r="FDC118" s="418"/>
      <c r="FDD118" s="418"/>
      <c r="FDE118" s="418"/>
      <c r="FDF118" s="418"/>
      <c r="FDG118" s="418"/>
      <c r="FDH118" s="418"/>
      <c r="FDI118" s="418"/>
      <c r="FDJ118" s="418"/>
      <c r="FDK118" s="418"/>
      <c r="FDL118" s="418"/>
      <c r="FDM118" s="418"/>
      <c r="FDN118" s="418"/>
      <c r="FDO118" s="418"/>
      <c r="FDP118" s="418"/>
      <c r="FDQ118" s="418"/>
      <c r="FDR118" s="418"/>
      <c r="FDS118" s="418"/>
      <c r="FDT118" s="418"/>
      <c r="FDU118" s="418"/>
      <c r="FDV118" s="418"/>
      <c r="FDW118" s="418"/>
      <c r="FDX118" s="418"/>
      <c r="FDY118" s="418"/>
      <c r="FDZ118" s="418"/>
      <c r="FEA118" s="418"/>
      <c r="FEB118" s="418"/>
      <c r="FEC118" s="418"/>
      <c r="FED118" s="418"/>
      <c r="FEE118" s="418"/>
      <c r="FEF118" s="418"/>
      <c r="FEG118" s="418"/>
      <c r="FEH118" s="418"/>
      <c r="FEI118" s="418"/>
      <c r="FEJ118" s="418"/>
      <c r="FEK118" s="418"/>
      <c r="FEL118" s="418"/>
      <c r="FEM118" s="418"/>
      <c r="FEN118" s="418"/>
      <c r="FEO118" s="418"/>
      <c r="FEP118" s="418"/>
      <c r="FEQ118" s="418"/>
      <c r="FER118" s="418"/>
      <c r="FES118" s="418"/>
      <c r="FET118" s="418"/>
      <c r="FEU118" s="418"/>
      <c r="FEV118" s="418"/>
      <c r="FEW118" s="418"/>
      <c r="FEX118" s="418"/>
      <c r="FEY118" s="418"/>
      <c r="FEZ118" s="418"/>
      <c r="FFA118" s="418"/>
      <c r="FFB118" s="418"/>
      <c r="FFC118" s="418"/>
      <c r="FFD118" s="418"/>
      <c r="FFE118" s="418"/>
      <c r="FFF118" s="418"/>
      <c r="FFG118" s="418"/>
      <c r="FFH118" s="418"/>
      <c r="FFI118" s="418"/>
      <c r="FFJ118" s="418"/>
      <c r="FFK118" s="418"/>
      <c r="FFL118" s="418"/>
      <c r="FFM118" s="418"/>
      <c r="FFN118" s="418"/>
      <c r="FFO118" s="418"/>
      <c r="FFP118" s="418"/>
      <c r="FFQ118" s="418"/>
      <c r="FFR118" s="418"/>
      <c r="FFS118" s="418"/>
      <c r="FFT118" s="418"/>
      <c r="FFU118" s="418"/>
      <c r="FFV118" s="418"/>
      <c r="FFW118" s="418"/>
      <c r="FFX118" s="418"/>
      <c r="FFY118" s="418"/>
      <c r="FFZ118" s="418"/>
      <c r="FGA118" s="418"/>
      <c r="FGB118" s="418"/>
      <c r="FGC118" s="418"/>
      <c r="FGD118" s="418"/>
      <c r="FGE118" s="418"/>
      <c r="FGF118" s="418"/>
      <c r="FGG118" s="418"/>
      <c r="FGH118" s="418"/>
      <c r="FGI118" s="418"/>
      <c r="FGJ118" s="418"/>
      <c r="FGK118" s="418"/>
      <c r="FGL118" s="418"/>
      <c r="FGM118" s="418"/>
      <c r="FGN118" s="418"/>
      <c r="FGO118" s="418"/>
      <c r="FGP118" s="418"/>
      <c r="FGQ118" s="418"/>
      <c r="FGR118" s="418"/>
      <c r="FGS118" s="418"/>
      <c r="FGT118" s="418"/>
      <c r="FGU118" s="418"/>
      <c r="FGV118" s="418"/>
      <c r="FGW118" s="418"/>
      <c r="FGX118" s="418"/>
      <c r="FGY118" s="418"/>
      <c r="FGZ118" s="418"/>
      <c r="FHA118" s="418"/>
      <c r="FHB118" s="418"/>
      <c r="FHC118" s="418"/>
      <c r="FHD118" s="418"/>
      <c r="FHE118" s="418"/>
      <c r="FHF118" s="418"/>
      <c r="FHG118" s="418"/>
      <c r="FHH118" s="418"/>
      <c r="FHI118" s="418"/>
      <c r="FHJ118" s="418"/>
      <c r="FHK118" s="418"/>
      <c r="FHL118" s="418"/>
      <c r="FHM118" s="418"/>
      <c r="FHN118" s="418"/>
      <c r="FHO118" s="418"/>
      <c r="FHP118" s="418"/>
      <c r="FHQ118" s="418"/>
      <c r="FHR118" s="418"/>
      <c r="FHS118" s="418"/>
      <c r="FHT118" s="418"/>
      <c r="FHU118" s="418"/>
      <c r="FHV118" s="418"/>
      <c r="FHW118" s="418"/>
      <c r="FHX118" s="418"/>
      <c r="FHY118" s="418"/>
      <c r="FHZ118" s="418"/>
      <c r="FIA118" s="418"/>
      <c r="FIB118" s="418"/>
      <c r="FIC118" s="418"/>
      <c r="FID118" s="418"/>
      <c r="FIE118" s="418"/>
      <c r="FIF118" s="418"/>
      <c r="FIG118" s="418"/>
      <c r="FIH118" s="418"/>
      <c r="FII118" s="418"/>
      <c r="FIJ118" s="418"/>
      <c r="FIK118" s="418"/>
      <c r="FIL118" s="418"/>
      <c r="FIM118" s="418"/>
      <c r="FIN118" s="418"/>
      <c r="FIO118" s="418"/>
      <c r="FIP118" s="418"/>
      <c r="FIQ118" s="418"/>
      <c r="FIR118" s="418"/>
      <c r="FIS118" s="418"/>
      <c r="FIT118" s="418"/>
      <c r="FIU118" s="418"/>
      <c r="FIV118" s="418"/>
      <c r="FIW118" s="418"/>
      <c r="FIX118" s="418"/>
      <c r="FIY118" s="418"/>
      <c r="FIZ118" s="418"/>
      <c r="FJA118" s="418"/>
      <c r="FJB118" s="418"/>
      <c r="FJC118" s="418"/>
      <c r="FJD118" s="418"/>
      <c r="FJE118" s="418"/>
      <c r="FJF118" s="418"/>
      <c r="FJG118" s="418"/>
      <c r="FJH118" s="418"/>
      <c r="FJI118" s="418"/>
      <c r="FJJ118" s="418"/>
      <c r="FJK118" s="418"/>
      <c r="FJL118" s="418"/>
      <c r="FJM118" s="418"/>
      <c r="FJN118" s="418"/>
      <c r="FJO118" s="418"/>
      <c r="FJP118" s="418"/>
      <c r="FJQ118" s="418"/>
      <c r="FJR118" s="418"/>
      <c r="FJS118" s="418"/>
      <c r="FJT118" s="418"/>
      <c r="FJU118" s="418"/>
      <c r="FJV118" s="418"/>
      <c r="FJW118" s="418"/>
      <c r="FJX118" s="418"/>
      <c r="FJY118" s="418"/>
      <c r="FJZ118" s="418"/>
      <c r="FKA118" s="418"/>
      <c r="FKB118" s="418"/>
      <c r="FKC118" s="418"/>
      <c r="FKD118" s="418"/>
      <c r="FKE118" s="418"/>
      <c r="FKF118" s="418"/>
      <c r="FKG118" s="418"/>
      <c r="FKH118" s="418"/>
      <c r="FKI118" s="418"/>
      <c r="FKJ118" s="418"/>
      <c r="FKK118" s="418"/>
      <c r="FKL118" s="418"/>
      <c r="FKM118" s="418"/>
      <c r="FKN118" s="418"/>
      <c r="FKO118" s="418"/>
      <c r="FKP118" s="418"/>
      <c r="FKQ118" s="418"/>
      <c r="FKR118" s="418"/>
      <c r="FKS118" s="418"/>
      <c r="FKT118" s="418"/>
      <c r="FKU118" s="418"/>
      <c r="FKV118" s="418"/>
      <c r="FKW118" s="418"/>
      <c r="FKX118" s="418"/>
      <c r="FKY118" s="418"/>
      <c r="FKZ118" s="418"/>
      <c r="FLA118" s="418"/>
      <c r="FLB118" s="418"/>
      <c r="FLC118" s="418"/>
      <c r="FLD118" s="418"/>
      <c r="FLE118" s="418"/>
      <c r="FLF118" s="418"/>
      <c r="FLG118" s="418"/>
      <c r="FLH118" s="418"/>
      <c r="FLI118" s="418"/>
      <c r="FLJ118" s="418"/>
      <c r="FLK118" s="418"/>
      <c r="FLL118" s="418"/>
      <c r="FLM118" s="418"/>
      <c r="FLN118" s="418"/>
      <c r="FLO118" s="418"/>
      <c r="FLP118" s="418"/>
      <c r="FLQ118" s="418"/>
      <c r="FLR118" s="418"/>
      <c r="FLS118" s="418"/>
      <c r="FLT118" s="418"/>
      <c r="FLU118" s="418"/>
      <c r="FLV118" s="418"/>
      <c r="FLW118" s="418"/>
      <c r="FLX118" s="418"/>
      <c r="FLY118" s="418"/>
      <c r="FLZ118" s="418"/>
      <c r="FMA118" s="418"/>
      <c r="FMB118" s="418"/>
      <c r="FMC118" s="418"/>
      <c r="FMD118" s="418"/>
      <c r="FME118" s="418"/>
      <c r="FMF118" s="418"/>
      <c r="FMG118" s="418"/>
      <c r="FMH118" s="418"/>
      <c r="FMI118" s="418"/>
      <c r="FMJ118" s="418"/>
      <c r="FMK118" s="418"/>
      <c r="FML118" s="418"/>
      <c r="FMM118" s="418"/>
      <c r="FMN118" s="418"/>
      <c r="FMO118" s="418"/>
      <c r="FMP118" s="418"/>
      <c r="FMQ118" s="418"/>
      <c r="FMR118" s="418"/>
      <c r="FMS118" s="418"/>
      <c r="FMT118" s="418"/>
      <c r="FMU118" s="418"/>
      <c r="FMV118" s="418"/>
      <c r="FMW118" s="418"/>
      <c r="FMX118" s="418"/>
      <c r="FMY118" s="418"/>
      <c r="FMZ118" s="418"/>
      <c r="FNA118" s="418"/>
      <c r="FNB118" s="418"/>
      <c r="FNC118" s="418"/>
      <c r="FND118" s="418"/>
      <c r="FNE118" s="418"/>
      <c r="FNF118" s="418"/>
      <c r="FNG118" s="418"/>
      <c r="FNH118" s="418"/>
      <c r="FNI118" s="418"/>
      <c r="FNJ118" s="418"/>
      <c r="FNK118" s="418"/>
      <c r="FNL118" s="418"/>
      <c r="FNM118" s="418"/>
      <c r="FNN118" s="418"/>
      <c r="FNO118" s="418"/>
      <c r="FNP118" s="418"/>
      <c r="FNQ118" s="418"/>
      <c r="FNR118" s="418"/>
      <c r="FNS118" s="418"/>
      <c r="FNT118" s="418"/>
      <c r="FNU118" s="418"/>
      <c r="FNV118" s="418"/>
      <c r="FNW118" s="418"/>
      <c r="FNX118" s="418"/>
      <c r="FNY118" s="418"/>
      <c r="FNZ118" s="418"/>
      <c r="FOA118" s="418"/>
      <c r="FOB118" s="418"/>
      <c r="FOC118" s="418"/>
      <c r="FOD118" s="418"/>
      <c r="FOE118" s="418"/>
      <c r="FOF118" s="418"/>
      <c r="FOG118" s="418"/>
      <c r="FOH118" s="418"/>
      <c r="FOI118" s="418"/>
      <c r="FOJ118" s="418"/>
      <c r="FOK118" s="418"/>
      <c r="FOL118" s="418"/>
      <c r="FOM118" s="418"/>
      <c r="FON118" s="418"/>
      <c r="FOO118" s="418"/>
      <c r="FOP118" s="418"/>
      <c r="FOQ118" s="418"/>
      <c r="FOR118" s="418"/>
      <c r="FOS118" s="418"/>
      <c r="FOT118" s="418"/>
      <c r="FOU118" s="418"/>
      <c r="FOV118" s="418"/>
      <c r="FOW118" s="418"/>
      <c r="FOX118" s="418"/>
      <c r="FOY118" s="418"/>
      <c r="FOZ118" s="418"/>
      <c r="FPA118" s="418"/>
      <c r="FPB118" s="418"/>
      <c r="FPC118" s="418"/>
      <c r="FPD118" s="418"/>
      <c r="FPE118" s="418"/>
      <c r="FPF118" s="418"/>
      <c r="FPG118" s="418"/>
      <c r="FPH118" s="418"/>
      <c r="FPI118" s="418"/>
      <c r="FPJ118" s="418"/>
      <c r="FPK118" s="418"/>
      <c r="FPL118" s="418"/>
      <c r="FPM118" s="418"/>
      <c r="FPN118" s="418"/>
      <c r="FPO118" s="418"/>
      <c r="FPP118" s="418"/>
      <c r="FPQ118" s="418"/>
      <c r="FPR118" s="418"/>
      <c r="FPS118" s="418"/>
      <c r="FPT118" s="418"/>
      <c r="FPU118" s="418"/>
      <c r="FPV118" s="418"/>
      <c r="FPW118" s="418"/>
      <c r="FPX118" s="418"/>
      <c r="FPY118" s="418"/>
      <c r="FPZ118" s="418"/>
      <c r="FQA118" s="418"/>
      <c r="FQB118" s="418"/>
      <c r="FQC118" s="418"/>
      <c r="FQD118" s="418"/>
      <c r="FQE118" s="418"/>
      <c r="FQF118" s="418"/>
      <c r="FQG118" s="418"/>
      <c r="FQH118" s="418"/>
      <c r="FQI118" s="418"/>
      <c r="FQJ118" s="418"/>
      <c r="FQK118" s="418"/>
      <c r="FQL118" s="418"/>
      <c r="FQM118" s="418"/>
      <c r="FQN118" s="418"/>
      <c r="FQO118" s="418"/>
      <c r="FQP118" s="418"/>
      <c r="FQQ118" s="418"/>
      <c r="FQR118" s="418"/>
      <c r="FQS118" s="418"/>
      <c r="FQT118" s="418"/>
      <c r="FQU118" s="418"/>
      <c r="FQV118" s="418"/>
      <c r="FQW118" s="418"/>
      <c r="FQX118" s="418"/>
      <c r="FQY118" s="418"/>
      <c r="FQZ118" s="418"/>
      <c r="FRA118" s="418"/>
      <c r="FRB118" s="418"/>
      <c r="FRC118" s="418"/>
      <c r="FRD118" s="418"/>
      <c r="FRE118" s="418"/>
      <c r="FRF118" s="418"/>
      <c r="FRG118" s="418"/>
      <c r="FRH118" s="418"/>
      <c r="FRI118" s="418"/>
      <c r="FRJ118" s="418"/>
      <c r="FRK118" s="418"/>
      <c r="FRL118" s="418"/>
      <c r="FRM118" s="418"/>
      <c r="FRN118" s="418"/>
      <c r="FRO118" s="418"/>
      <c r="FRP118" s="418"/>
      <c r="FRQ118" s="418"/>
      <c r="FRR118" s="418"/>
      <c r="FRS118" s="418"/>
      <c r="FRT118" s="418"/>
      <c r="FRU118" s="418"/>
      <c r="FRV118" s="418"/>
      <c r="FRW118" s="418"/>
      <c r="FRX118" s="418"/>
      <c r="FRY118" s="418"/>
      <c r="FRZ118" s="418"/>
      <c r="FSA118" s="418"/>
      <c r="FSB118" s="418"/>
      <c r="FSC118" s="418"/>
      <c r="FSD118" s="418"/>
      <c r="FSE118" s="418"/>
      <c r="FSF118" s="418"/>
      <c r="FSG118" s="418"/>
      <c r="FSH118" s="418"/>
      <c r="FSI118" s="418"/>
      <c r="FSJ118" s="418"/>
      <c r="FSK118" s="418"/>
      <c r="FSL118" s="418"/>
      <c r="FSM118" s="418"/>
      <c r="FSN118" s="418"/>
      <c r="FSO118" s="418"/>
      <c r="FSP118" s="418"/>
      <c r="FSQ118" s="418"/>
      <c r="FSR118" s="418"/>
      <c r="FSS118" s="418"/>
      <c r="FST118" s="418"/>
      <c r="FSU118" s="418"/>
      <c r="FSV118" s="418"/>
      <c r="FSW118" s="418"/>
      <c r="FSX118" s="418"/>
      <c r="FSY118" s="418"/>
      <c r="FSZ118" s="418"/>
      <c r="FTA118" s="418"/>
      <c r="FTB118" s="418"/>
      <c r="FTC118" s="418"/>
      <c r="FTD118" s="418"/>
      <c r="FTE118" s="418"/>
      <c r="FTF118" s="418"/>
      <c r="FTG118" s="418"/>
      <c r="FTH118" s="418"/>
      <c r="FTI118" s="418"/>
      <c r="FTJ118" s="418"/>
      <c r="FTK118" s="418"/>
      <c r="FTL118" s="418"/>
      <c r="FTM118" s="418"/>
      <c r="FTN118" s="418"/>
      <c r="FTO118" s="418"/>
      <c r="FTP118" s="418"/>
      <c r="FTQ118" s="418"/>
      <c r="FTR118" s="418"/>
      <c r="FTS118" s="418"/>
      <c r="FTT118" s="418"/>
      <c r="FTU118" s="418"/>
      <c r="FTV118" s="418"/>
      <c r="FTW118" s="418"/>
      <c r="FTX118" s="418"/>
      <c r="FTY118" s="418"/>
      <c r="FTZ118" s="418"/>
      <c r="FUA118" s="418"/>
      <c r="FUB118" s="418"/>
      <c r="FUC118" s="418"/>
      <c r="FUD118" s="418"/>
      <c r="FUE118" s="418"/>
      <c r="FUF118" s="418"/>
      <c r="FUG118" s="418"/>
      <c r="FUH118" s="418"/>
      <c r="FUI118" s="418"/>
      <c r="FUJ118" s="418"/>
      <c r="FUK118" s="418"/>
      <c r="FUL118" s="418"/>
      <c r="FUM118" s="418"/>
      <c r="FUN118" s="418"/>
      <c r="FUO118" s="418"/>
      <c r="FUP118" s="418"/>
      <c r="FUQ118" s="418"/>
      <c r="FUR118" s="418"/>
      <c r="FUS118" s="418"/>
      <c r="FUT118" s="418"/>
      <c r="FUU118" s="418"/>
      <c r="FUV118" s="418"/>
      <c r="FUW118" s="418"/>
      <c r="FUX118" s="418"/>
      <c r="FUY118" s="418"/>
      <c r="FUZ118" s="418"/>
      <c r="FVA118" s="418"/>
      <c r="FVB118" s="418"/>
      <c r="FVC118" s="418"/>
      <c r="FVD118" s="418"/>
      <c r="FVE118" s="418"/>
      <c r="FVF118" s="418"/>
      <c r="FVG118" s="418"/>
      <c r="FVH118" s="418"/>
      <c r="FVI118" s="418"/>
      <c r="FVJ118" s="418"/>
      <c r="FVK118" s="418"/>
      <c r="FVL118" s="418"/>
      <c r="FVM118" s="418"/>
      <c r="FVN118" s="418"/>
      <c r="FVO118" s="418"/>
      <c r="FVP118" s="418"/>
      <c r="FVQ118" s="418"/>
      <c r="FVR118" s="418"/>
      <c r="FVS118" s="418"/>
      <c r="FVT118" s="418"/>
      <c r="FVU118" s="418"/>
      <c r="FVV118" s="418"/>
      <c r="FVW118" s="418"/>
      <c r="FVX118" s="418"/>
      <c r="FVY118" s="418"/>
      <c r="FVZ118" s="418"/>
      <c r="FWA118" s="418"/>
      <c r="FWB118" s="418"/>
      <c r="FWC118" s="418"/>
      <c r="FWD118" s="418"/>
      <c r="FWE118" s="418"/>
      <c r="FWF118" s="418"/>
      <c r="FWG118" s="418"/>
      <c r="FWH118" s="418"/>
      <c r="FWI118" s="418"/>
      <c r="FWJ118" s="418"/>
      <c r="FWK118" s="418"/>
      <c r="FWL118" s="418"/>
      <c r="FWM118" s="418"/>
      <c r="FWN118" s="418"/>
      <c r="FWO118" s="418"/>
      <c r="FWP118" s="418"/>
      <c r="FWQ118" s="418"/>
      <c r="FWR118" s="418"/>
      <c r="FWS118" s="418"/>
      <c r="FWT118" s="418"/>
      <c r="FWU118" s="418"/>
      <c r="FWV118" s="418"/>
      <c r="FWW118" s="418"/>
      <c r="FWX118" s="418"/>
      <c r="FWY118" s="418"/>
      <c r="FWZ118" s="418"/>
      <c r="FXA118" s="418"/>
      <c r="FXB118" s="418"/>
      <c r="FXC118" s="418"/>
      <c r="FXD118" s="418"/>
      <c r="FXE118" s="418"/>
      <c r="FXF118" s="418"/>
      <c r="FXG118" s="418"/>
      <c r="FXH118" s="418"/>
      <c r="FXI118" s="418"/>
      <c r="FXJ118" s="418"/>
      <c r="FXK118" s="418"/>
      <c r="FXL118" s="418"/>
      <c r="FXM118" s="418"/>
      <c r="FXN118" s="418"/>
      <c r="FXO118" s="418"/>
      <c r="FXP118" s="418"/>
      <c r="FXQ118" s="418"/>
      <c r="FXR118" s="418"/>
      <c r="FXS118" s="418"/>
      <c r="FXT118" s="418"/>
      <c r="FXU118" s="418"/>
      <c r="FXV118" s="418"/>
      <c r="FXW118" s="418"/>
      <c r="FXX118" s="418"/>
      <c r="FXY118" s="418"/>
      <c r="FXZ118" s="418"/>
      <c r="FYA118" s="418"/>
      <c r="FYB118" s="418"/>
      <c r="FYC118" s="418"/>
      <c r="FYD118" s="418"/>
      <c r="FYE118" s="418"/>
      <c r="FYF118" s="418"/>
      <c r="FYG118" s="418"/>
      <c r="FYH118" s="418"/>
      <c r="FYI118" s="418"/>
      <c r="FYJ118" s="418"/>
      <c r="FYK118" s="418"/>
      <c r="FYL118" s="418"/>
      <c r="FYM118" s="418"/>
      <c r="FYN118" s="418"/>
      <c r="FYO118" s="418"/>
      <c r="FYP118" s="418"/>
      <c r="FYQ118" s="418"/>
      <c r="FYR118" s="418"/>
      <c r="FYS118" s="418"/>
      <c r="FYT118" s="418"/>
      <c r="FYU118" s="418"/>
      <c r="FYV118" s="418"/>
      <c r="FYW118" s="418"/>
      <c r="FYX118" s="418"/>
      <c r="FYY118" s="418"/>
      <c r="FYZ118" s="418"/>
      <c r="FZA118" s="418"/>
      <c r="FZB118" s="418"/>
      <c r="FZC118" s="418"/>
      <c r="FZD118" s="418"/>
      <c r="FZE118" s="418"/>
      <c r="FZF118" s="418"/>
      <c r="FZG118" s="418"/>
      <c r="FZH118" s="418"/>
      <c r="FZI118" s="418"/>
      <c r="FZJ118" s="418"/>
      <c r="FZK118" s="418"/>
      <c r="FZL118" s="418"/>
      <c r="FZM118" s="418"/>
      <c r="FZN118" s="418"/>
      <c r="FZO118" s="418"/>
      <c r="FZP118" s="418"/>
      <c r="FZQ118" s="418"/>
      <c r="FZR118" s="418"/>
      <c r="FZS118" s="418"/>
      <c r="FZT118" s="418"/>
      <c r="FZU118" s="418"/>
      <c r="FZV118" s="418"/>
      <c r="FZW118" s="418"/>
      <c r="FZX118" s="418"/>
      <c r="FZY118" s="418"/>
      <c r="FZZ118" s="418"/>
      <c r="GAA118" s="418"/>
      <c r="GAB118" s="418"/>
      <c r="GAC118" s="418"/>
      <c r="GAD118" s="418"/>
      <c r="GAE118" s="418"/>
      <c r="GAF118" s="418"/>
      <c r="GAG118" s="418"/>
      <c r="GAH118" s="418"/>
      <c r="GAI118" s="418"/>
      <c r="GAJ118" s="418"/>
      <c r="GAK118" s="418"/>
      <c r="GAL118" s="418"/>
      <c r="GAM118" s="418"/>
      <c r="GAN118" s="418"/>
      <c r="GAO118" s="418"/>
      <c r="GAP118" s="418"/>
      <c r="GAQ118" s="418"/>
      <c r="GAR118" s="418"/>
      <c r="GAS118" s="418"/>
      <c r="GAT118" s="418"/>
      <c r="GAU118" s="418"/>
      <c r="GAV118" s="418"/>
      <c r="GAW118" s="418"/>
      <c r="GAX118" s="418"/>
      <c r="GAY118" s="418"/>
      <c r="GAZ118" s="418"/>
      <c r="GBA118" s="418"/>
      <c r="GBB118" s="418"/>
      <c r="GBC118" s="418"/>
      <c r="GBD118" s="418"/>
      <c r="GBE118" s="418"/>
      <c r="GBF118" s="418"/>
      <c r="GBG118" s="418"/>
      <c r="GBH118" s="418"/>
      <c r="GBI118" s="418"/>
      <c r="GBJ118" s="418"/>
      <c r="GBK118" s="418"/>
      <c r="GBL118" s="418"/>
      <c r="GBM118" s="418"/>
      <c r="GBN118" s="418"/>
      <c r="GBO118" s="418"/>
      <c r="GBP118" s="418"/>
      <c r="GBQ118" s="418"/>
      <c r="GBR118" s="418"/>
      <c r="GBS118" s="418"/>
      <c r="GBT118" s="418"/>
      <c r="GBU118" s="418"/>
      <c r="GBV118" s="418"/>
      <c r="GBW118" s="418"/>
      <c r="GBX118" s="418"/>
      <c r="GBY118" s="418"/>
      <c r="GBZ118" s="418"/>
      <c r="GCA118" s="418"/>
      <c r="GCB118" s="418"/>
      <c r="GCC118" s="418"/>
      <c r="GCD118" s="418"/>
      <c r="GCE118" s="418"/>
      <c r="GCF118" s="418"/>
      <c r="GCG118" s="418"/>
      <c r="GCH118" s="418"/>
      <c r="GCI118" s="418"/>
      <c r="GCJ118" s="418"/>
      <c r="GCK118" s="418"/>
      <c r="GCL118" s="418"/>
      <c r="GCM118" s="418"/>
      <c r="GCN118" s="418"/>
      <c r="GCO118" s="418"/>
      <c r="GCP118" s="418"/>
      <c r="GCQ118" s="418"/>
      <c r="GCR118" s="418"/>
      <c r="GCS118" s="418"/>
      <c r="GCT118" s="418"/>
      <c r="GCU118" s="418"/>
      <c r="GCV118" s="418"/>
      <c r="GCW118" s="418"/>
      <c r="GCX118" s="418"/>
      <c r="GCY118" s="418"/>
      <c r="GCZ118" s="418"/>
      <c r="GDA118" s="418"/>
      <c r="GDB118" s="418"/>
      <c r="GDC118" s="418"/>
      <c r="GDD118" s="418"/>
      <c r="GDE118" s="418"/>
      <c r="GDF118" s="418"/>
      <c r="GDG118" s="418"/>
      <c r="GDH118" s="418"/>
      <c r="GDI118" s="418"/>
      <c r="GDJ118" s="418"/>
      <c r="GDK118" s="418"/>
      <c r="GDL118" s="418"/>
      <c r="GDM118" s="418"/>
      <c r="GDN118" s="418"/>
      <c r="GDO118" s="418"/>
      <c r="GDP118" s="418"/>
      <c r="GDQ118" s="418"/>
      <c r="GDR118" s="418"/>
      <c r="GDS118" s="418"/>
      <c r="GDT118" s="418"/>
      <c r="GDU118" s="418"/>
      <c r="GDV118" s="418"/>
      <c r="GDW118" s="418"/>
      <c r="GDX118" s="418"/>
      <c r="GDY118" s="418"/>
      <c r="GDZ118" s="418"/>
      <c r="GEA118" s="418"/>
      <c r="GEB118" s="418"/>
      <c r="GEC118" s="418"/>
      <c r="GED118" s="418"/>
      <c r="GEE118" s="418"/>
      <c r="GEF118" s="418"/>
      <c r="GEG118" s="418"/>
      <c r="GEH118" s="418"/>
      <c r="GEI118" s="418"/>
      <c r="GEJ118" s="418"/>
      <c r="GEK118" s="418"/>
      <c r="GEL118" s="418"/>
      <c r="GEM118" s="418"/>
      <c r="GEN118" s="418"/>
      <c r="GEO118" s="418"/>
      <c r="GEP118" s="418"/>
      <c r="GEQ118" s="418"/>
      <c r="GER118" s="418"/>
      <c r="GES118" s="418"/>
      <c r="GET118" s="418"/>
      <c r="GEU118" s="418"/>
      <c r="GEV118" s="418"/>
      <c r="GEW118" s="418"/>
      <c r="GEX118" s="418"/>
      <c r="GEY118" s="418"/>
      <c r="GEZ118" s="418"/>
      <c r="GFA118" s="418"/>
      <c r="GFB118" s="418"/>
      <c r="GFC118" s="418"/>
      <c r="GFD118" s="418"/>
      <c r="GFE118" s="418"/>
      <c r="GFF118" s="418"/>
      <c r="GFG118" s="418"/>
      <c r="GFH118" s="418"/>
      <c r="GFI118" s="418"/>
      <c r="GFJ118" s="418"/>
      <c r="GFK118" s="418"/>
      <c r="GFL118" s="418"/>
      <c r="GFM118" s="418"/>
      <c r="GFN118" s="418"/>
      <c r="GFO118" s="418"/>
      <c r="GFP118" s="418"/>
      <c r="GFQ118" s="418"/>
      <c r="GFR118" s="418"/>
      <c r="GFS118" s="418"/>
      <c r="GFT118" s="418"/>
      <c r="GFU118" s="418"/>
      <c r="GFV118" s="418"/>
      <c r="GFW118" s="418"/>
      <c r="GFX118" s="418"/>
      <c r="GFY118" s="418"/>
      <c r="GFZ118" s="418"/>
      <c r="GGA118" s="418"/>
      <c r="GGB118" s="418"/>
      <c r="GGC118" s="418"/>
      <c r="GGD118" s="418"/>
      <c r="GGE118" s="418"/>
      <c r="GGF118" s="418"/>
      <c r="GGG118" s="418"/>
      <c r="GGH118" s="418"/>
      <c r="GGI118" s="418"/>
      <c r="GGJ118" s="418"/>
      <c r="GGK118" s="418"/>
      <c r="GGL118" s="418"/>
      <c r="GGM118" s="418"/>
      <c r="GGN118" s="418"/>
      <c r="GGO118" s="418"/>
      <c r="GGP118" s="418"/>
      <c r="GGQ118" s="418"/>
      <c r="GGR118" s="418"/>
      <c r="GGS118" s="418"/>
      <c r="GGT118" s="418"/>
      <c r="GGU118" s="418"/>
      <c r="GGV118" s="418"/>
      <c r="GGW118" s="418"/>
      <c r="GGX118" s="418"/>
      <c r="GGY118" s="418"/>
      <c r="GGZ118" s="418"/>
      <c r="GHA118" s="418"/>
      <c r="GHB118" s="418"/>
      <c r="GHC118" s="418"/>
      <c r="GHD118" s="418"/>
      <c r="GHE118" s="418"/>
      <c r="GHF118" s="418"/>
      <c r="GHG118" s="418"/>
      <c r="GHH118" s="418"/>
      <c r="GHI118" s="418"/>
      <c r="GHJ118" s="418"/>
      <c r="GHK118" s="418"/>
      <c r="GHL118" s="418"/>
      <c r="GHM118" s="418"/>
      <c r="GHN118" s="418"/>
      <c r="GHO118" s="418"/>
      <c r="GHP118" s="418"/>
      <c r="GHQ118" s="418"/>
      <c r="GHR118" s="418"/>
      <c r="GHS118" s="418"/>
      <c r="GHT118" s="418"/>
      <c r="GHU118" s="418"/>
      <c r="GHV118" s="418"/>
      <c r="GHW118" s="418"/>
      <c r="GHX118" s="418"/>
      <c r="GHY118" s="418"/>
      <c r="GHZ118" s="418"/>
      <c r="GIA118" s="418"/>
      <c r="GIB118" s="418"/>
      <c r="GIC118" s="418"/>
      <c r="GID118" s="418"/>
      <c r="GIE118" s="418"/>
      <c r="GIF118" s="418"/>
      <c r="GIG118" s="418"/>
      <c r="GIH118" s="418"/>
      <c r="GII118" s="418"/>
      <c r="GIJ118" s="418"/>
      <c r="GIK118" s="418"/>
      <c r="GIL118" s="418"/>
      <c r="GIM118" s="418"/>
      <c r="GIN118" s="418"/>
      <c r="GIO118" s="418"/>
      <c r="GIP118" s="418"/>
      <c r="GIQ118" s="418"/>
      <c r="GIR118" s="418"/>
      <c r="GIS118" s="418"/>
      <c r="GIT118" s="418"/>
      <c r="GIU118" s="418"/>
      <c r="GIV118" s="418"/>
      <c r="GIW118" s="418"/>
      <c r="GIX118" s="418"/>
      <c r="GIY118" s="418"/>
      <c r="GIZ118" s="418"/>
      <c r="GJA118" s="418"/>
      <c r="GJB118" s="418"/>
      <c r="GJC118" s="418"/>
      <c r="GJD118" s="418"/>
      <c r="GJE118" s="418"/>
      <c r="GJF118" s="418"/>
      <c r="GJG118" s="418"/>
      <c r="GJH118" s="418"/>
      <c r="GJI118" s="418"/>
      <c r="GJJ118" s="418"/>
      <c r="GJK118" s="418"/>
      <c r="GJL118" s="418"/>
      <c r="GJM118" s="418"/>
      <c r="GJN118" s="418"/>
      <c r="GJO118" s="418"/>
      <c r="GJP118" s="418"/>
      <c r="GJQ118" s="418"/>
      <c r="GJR118" s="418"/>
      <c r="GJS118" s="418"/>
      <c r="GJT118" s="418"/>
      <c r="GJU118" s="418"/>
      <c r="GJV118" s="418"/>
      <c r="GJW118" s="418"/>
      <c r="GJX118" s="418"/>
      <c r="GJY118" s="418"/>
      <c r="GJZ118" s="418"/>
      <c r="GKA118" s="418"/>
      <c r="GKB118" s="418"/>
      <c r="GKC118" s="418"/>
      <c r="GKD118" s="418"/>
      <c r="GKE118" s="418"/>
      <c r="GKF118" s="418"/>
      <c r="GKG118" s="418"/>
      <c r="GKH118" s="418"/>
      <c r="GKI118" s="418"/>
      <c r="GKJ118" s="418"/>
      <c r="GKK118" s="418"/>
      <c r="GKL118" s="418"/>
      <c r="GKM118" s="418"/>
      <c r="GKN118" s="418"/>
      <c r="GKO118" s="418"/>
      <c r="GKP118" s="418"/>
      <c r="GKQ118" s="418"/>
      <c r="GKR118" s="418"/>
      <c r="GKS118" s="418"/>
      <c r="GKT118" s="418"/>
      <c r="GKU118" s="418"/>
      <c r="GKV118" s="418"/>
      <c r="GKW118" s="418"/>
      <c r="GKX118" s="418"/>
      <c r="GKY118" s="418"/>
      <c r="GKZ118" s="418"/>
      <c r="GLA118" s="418"/>
      <c r="GLB118" s="418"/>
      <c r="GLC118" s="418"/>
      <c r="GLD118" s="418"/>
      <c r="GLE118" s="418"/>
      <c r="GLF118" s="418"/>
      <c r="GLG118" s="418"/>
      <c r="GLH118" s="418"/>
      <c r="GLI118" s="418"/>
      <c r="GLJ118" s="418"/>
      <c r="GLK118" s="418"/>
      <c r="GLL118" s="418"/>
      <c r="GLM118" s="418"/>
      <c r="GLN118" s="418"/>
      <c r="GLO118" s="418"/>
      <c r="GLP118" s="418"/>
      <c r="GLQ118" s="418"/>
      <c r="GLR118" s="418"/>
      <c r="GLS118" s="418"/>
      <c r="GLT118" s="418"/>
      <c r="GLU118" s="418"/>
      <c r="GLV118" s="418"/>
      <c r="GLW118" s="418"/>
      <c r="GLX118" s="418"/>
      <c r="GLY118" s="418"/>
      <c r="GLZ118" s="418"/>
      <c r="GMA118" s="418"/>
      <c r="GMB118" s="418"/>
      <c r="GMC118" s="418"/>
      <c r="GMD118" s="418"/>
      <c r="GME118" s="418"/>
      <c r="GMF118" s="418"/>
      <c r="GMG118" s="418"/>
      <c r="GMH118" s="418"/>
      <c r="GMI118" s="418"/>
      <c r="GMJ118" s="418"/>
      <c r="GMK118" s="418"/>
      <c r="GML118" s="418"/>
      <c r="GMM118" s="418"/>
      <c r="GMN118" s="418"/>
      <c r="GMO118" s="418"/>
      <c r="GMP118" s="418"/>
      <c r="GMQ118" s="418"/>
      <c r="GMR118" s="418"/>
      <c r="GMS118" s="418"/>
      <c r="GMT118" s="418"/>
      <c r="GMU118" s="418"/>
      <c r="GMV118" s="418"/>
      <c r="GMW118" s="418"/>
      <c r="GMX118" s="418"/>
      <c r="GMY118" s="418"/>
      <c r="GMZ118" s="418"/>
      <c r="GNA118" s="418"/>
      <c r="GNB118" s="418"/>
      <c r="GNC118" s="418"/>
      <c r="GND118" s="418"/>
      <c r="GNE118" s="418"/>
      <c r="GNF118" s="418"/>
      <c r="GNG118" s="418"/>
      <c r="GNH118" s="418"/>
      <c r="GNI118" s="418"/>
      <c r="GNJ118" s="418"/>
      <c r="GNK118" s="418"/>
      <c r="GNL118" s="418"/>
      <c r="GNM118" s="418"/>
      <c r="GNN118" s="418"/>
      <c r="GNO118" s="418"/>
      <c r="GNP118" s="418"/>
      <c r="GNQ118" s="418"/>
      <c r="GNR118" s="418"/>
      <c r="GNS118" s="418"/>
      <c r="GNT118" s="418"/>
      <c r="GNU118" s="418"/>
      <c r="GNV118" s="418"/>
      <c r="GNW118" s="418"/>
      <c r="GNX118" s="418"/>
      <c r="GNY118" s="418"/>
      <c r="GNZ118" s="418"/>
      <c r="GOA118" s="418"/>
      <c r="GOB118" s="418"/>
      <c r="GOC118" s="418"/>
      <c r="GOD118" s="418"/>
      <c r="GOE118" s="418"/>
      <c r="GOF118" s="418"/>
      <c r="GOG118" s="418"/>
      <c r="GOH118" s="418"/>
      <c r="GOI118" s="418"/>
      <c r="GOJ118" s="418"/>
      <c r="GOK118" s="418"/>
      <c r="GOL118" s="418"/>
      <c r="GOM118" s="418"/>
      <c r="GON118" s="418"/>
      <c r="GOO118" s="418"/>
      <c r="GOP118" s="418"/>
      <c r="GOQ118" s="418"/>
      <c r="GOR118" s="418"/>
      <c r="GOS118" s="418"/>
      <c r="GOT118" s="418"/>
      <c r="GOU118" s="418"/>
      <c r="GOV118" s="418"/>
      <c r="GOW118" s="418"/>
      <c r="GOX118" s="418"/>
      <c r="GOY118" s="418"/>
      <c r="GOZ118" s="418"/>
      <c r="GPA118" s="418"/>
      <c r="GPB118" s="418"/>
      <c r="GPC118" s="418"/>
      <c r="GPD118" s="418"/>
      <c r="GPE118" s="418"/>
      <c r="GPF118" s="418"/>
      <c r="GPG118" s="418"/>
      <c r="GPH118" s="418"/>
      <c r="GPI118" s="418"/>
      <c r="GPJ118" s="418"/>
      <c r="GPK118" s="418"/>
      <c r="GPL118" s="418"/>
      <c r="GPM118" s="418"/>
      <c r="GPN118" s="418"/>
      <c r="GPO118" s="418"/>
      <c r="GPP118" s="418"/>
      <c r="GPQ118" s="418"/>
      <c r="GPR118" s="418"/>
      <c r="GPS118" s="418"/>
      <c r="GPT118" s="418"/>
      <c r="GPU118" s="418"/>
      <c r="GPV118" s="418"/>
      <c r="GPW118" s="418"/>
      <c r="GPX118" s="418"/>
      <c r="GPY118" s="418"/>
      <c r="GPZ118" s="418"/>
      <c r="GQA118" s="418"/>
      <c r="GQB118" s="418"/>
      <c r="GQC118" s="418"/>
      <c r="GQD118" s="418"/>
      <c r="GQE118" s="418"/>
      <c r="GQF118" s="418"/>
      <c r="GQG118" s="418"/>
      <c r="GQH118" s="418"/>
      <c r="GQI118" s="418"/>
      <c r="GQJ118" s="418"/>
      <c r="GQK118" s="418"/>
      <c r="GQL118" s="418"/>
      <c r="GQM118" s="418"/>
      <c r="GQN118" s="418"/>
      <c r="GQO118" s="418"/>
      <c r="GQP118" s="418"/>
      <c r="GQQ118" s="418"/>
      <c r="GQR118" s="418"/>
      <c r="GQS118" s="418"/>
      <c r="GQT118" s="418"/>
      <c r="GQU118" s="418"/>
      <c r="GQV118" s="418"/>
      <c r="GQW118" s="418"/>
      <c r="GQX118" s="418"/>
      <c r="GQY118" s="418"/>
      <c r="GQZ118" s="418"/>
      <c r="GRA118" s="418"/>
      <c r="GRB118" s="418"/>
      <c r="GRC118" s="418"/>
      <c r="GRD118" s="418"/>
      <c r="GRE118" s="418"/>
      <c r="GRF118" s="418"/>
      <c r="GRG118" s="418"/>
      <c r="GRH118" s="418"/>
      <c r="GRI118" s="418"/>
      <c r="GRJ118" s="418"/>
      <c r="GRK118" s="418"/>
      <c r="GRL118" s="418"/>
      <c r="GRM118" s="418"/>
      <c r="GRN118" s="418"/>
      <c r="GRO118" s="418"/>
      <c r="GRP118" s="418"/>
      <c r="GRQ118" s="418"/>
      <c r="GRR118" s="418"/>
      <c r="GRS118" s="418"/>
      <c r="GRT118" s="418"/>
      <c r="GRU118" s="418"/>
      <c r="GRV118" s="418"/>
      <c r="GRW118" s="418"/>
      <c r="GRX118" s="418"/>
      <c r="GRY118" s="418"/>
      <c r="GRZ118" s="418"/>
      <c r="GSA118" s="418"/>
      <c r="GSB118" s="418"/>
      <c r="GSC118" s="418"/>
      <c r="GSD118" s="418"/>
      <c r="GSE118" s="418"/>
      <c r="GSF118" s="418"/>
      <c r="GSG118" s="418"/>
      <c r="GSH118" s="418"/>
      <c r="GSI118" s="418"/>
      <c r="GSJ118" s="418"/>
      <c r="GSK118" s="418"/>
      <c r="GSL118" s="418"/>
      <c r="GSM118" s="418"/>
      <c r="GSN118" s="418"/>
      <c r="GSO118" s="418"/>
      <c r="GSP118" s="418"/>
      <c r="GSQ118" s="418"/>
      <c r="GSR118" s="418"/>
      <c r="GSS118" s="418"/>
      <c r="GST118" s="418"/>
      <c r="GSU118" s="418"/>
      <c r="GSV118" s="418"/>
      <c r="GSW118" s="418"/>
      <c r="GSX118" s="418"/>
      <c r="GSY118" s="418"/>
      <c r="GSZ118" s="418"/>
      <c r="GTA118" s="418"/>
      <c r="GTB118" s="418"/>
      <c r="GTC118" s="418"/>
      <c r="GTD118" s="418"/>
      <c r="GTE118" s="418"/>
      <c r="GTF118" s="418"/>
      <c r="GTG118" s="418"/>
      <c r="GTH118" s="418"/>
      <c r="GTI118" s="418"/>
      <c r="GTJ118" s="418"/>
      <c r="GTK118" s="418"/>
      <c r="GTL118" s="418"/>
      <c r="GTM118" s="418"/>
      <c r="GTN118" s="418"/>
      <c r="GTO118" s="418"/>
      <c r="GTP118" s="418"/>
      <c r="GTQ118" s="418"/>
      <c r="GTR118" s="418"/>
      <c r="GTS118" s="418"/>
      <c r="GTT118" s="418"/>
      <c r="GTU118" s="418"/>
      <c r="GTV118" s="418"/>
      <c r="GTW118" s="418"/>
      <c r="GTX118" s="418"/>
      <c r="GTY118" s="418"/>
      <c r="GTZ118" s="418"/>
      <c r="GUA118" s="418"/>
      <c r="GUB118" s="418"/>
      <c r="GUC118" s="418"/>
      <c r="GUD118" s="418"/>
      <c r="GUE118" s="418"/>
      <c r="GUF118" s="418"/>
      <c r="GUG118" s="418"/>
      <c r="GUH118" s="418"/>
      <c r="GUI118" s="418"/>
      <c r="GUJ118" s="418"/>
      <c r="GUK118" s="418"/>
      <c r="GUL118" s="418"/>
      <c r="GUM118" s="418"/>
      <c r="GUN118" s="418"/>
      <c r="GUO118" s="418"/>
      <c r="GUP118" s="418"/>
      <c r="GUQ118" s="418"/>
      <c r="GUR118" s="418"/>
      <c r="GUS118" s="418"/>
      <c r="GUT118" s="418"/>
      <c r="GUU118" s="418"/>
      <c r="GUV118" s="418"/>
      <c r="GUW118" s="418"/>
      <c r="GUX118" s="418"/>
      <c r="GUY118" s="418"/>
      <c r="GUZ118" s="418"/>
      <c r="GVA118" s="418"/>
      <c r="GVB118" s="418"/>
      <c r="GVC118" s="418"/>
      <c r="GVD118" s="418"/>
      <c r="GVE118" s="418"/>
      <c r="GVF118" s="418"/>
      <c r="GVG118" s="418"/>
      <c r="GVH118" s="418"/>
      <c r="GVI118" s="418"/>
      <c r="GVJ118" s="418"/>
      <c r="GVK118" s="418"/>
      <c r="GVL118" s="418"/>
      <c r="GVM118" s="418"/>
      <c r="GVN118" s="418"/>
      <c r="GVO118" s="418"/>
      <c r="GVP118" s="418"/>
      <c r="GVQ118" s="418"/>
      <c r="GVR118" s="418"/>
      <c r="GVS118" s="418"/>
      <c r="GVT118" s="418"/>
      <c r="GVU118" s="418"/>
      <c r="GVV118" s="418"/>
      <c r="GVW118" s="418"/>
      <c r="GVX118" s="418"/>
      <c r="GVY118" s="418"/>
      <c r="GVZ118" s="418"/>
      <c r="GWA118" s="418"/>
      <c r="GWB118" s="418"/>
      <c r="GWC118" s="418"/>
      <c r="GWD118" s="418"/>
      <c r="GWE118" s="418"/>
      <c r="GWF118" s="418"/>
      <c r="GWG118" s="418"/>
      <c r="GWH118" s="418"/>
      <c r="GWI118" s="418"/>
      <c r="GWJ118" s="418"/>
      <c r="GWK118" s="418"/>
      <c r="GWL118" s="418"/>
      <c r="GWM118" s="418"/>
      <c r="GWN118" s="418"/>
      <c r="GWO118" s="418"/>
      <c r="GWP118" s="418"/>
      <c r="GWQ118" s="418"/>
      <c r="GWR118" s="418"/>
      <c r="GWS118" s="418"/>
      <c r="GWT118" s="418"/>
      <c r="GWU118" s="418"/>
      <c r="GWV118" s="418"/>
      <c r="GWW118" s="418"/>
      <c r="GWX118" s="418"/>
      <c r="GWY118" s="418"/>
      <c r="GWZ118" s="418"/>
      <c r="GXA118" s="418"/>
      <c r="GXB118" s="418"/>
      <c r="GXC118" s="418"/>
      <c r="GXD118" s="418"/>
      <c r="GXE118" s="418"/>
      <c r="GXF118" s="418"/>
      <c r="GXG118" s="418"/>
      <c r="GXH118" s="418"/>
      <c r="GXI118" s="418"/>
      <c r="GXJ118" s="418"/>
      <c r="GXK118" s="418"/>
      <c r="GXL118" s="418"/>
      <c r="GXM118" s="418"/>
      <c r="GXN118" s="418"/>
      <c r="GXO118" s="418"/>
      <c r="GXP118" s="418"/>
      <c r="GXQ118" s="418"/>
      <c r="GXR118" s="418"/>
      <c r="GXS118" s="418"/>
      <c r="GXT118" s="418"/>
      <c r="GXU118" s="418"/>
      <c r="GXV118" s="418"/>
      <c r="GXW118" s="418"/>
      <c r="GXX118" s="418"/>
      <c r="GXY118" s="418"/>
      <c r="GXZ118" s="418"/>
      <c r="GYA118" s="418"/>
      <c r="GYB118" s="418"/>
      <c r="GYC118" s="418"/>
      <c r="GYD118" s="418"/>
      <c r="GYE118" s="418"/>
      <c r="GYF118" s="418"/>
      <c r="GYG118" s="418"/>
      <c r="GYH118" s="418"/>
      <c r="GYI118" s="418"/>
      <c r="GYJ118" s="418"/>
      <c r="GYK118" s="418"/>
      <c r="GYL118" s="418"/>
      <c r="GYM118" s="418"/>
      <c r="GYN118" s="418"/>
      <c r="GYO118" s="418"/>
      <c r="GYP118" s="418"/>
      <c r="GYQ118" s="418"/>
      <c r="GYR118" s="418"/>
      <c r="GYS118" s="418"/>
      <c r="GYT118" s="418"/>
      <c r="GYU118" s="418"/>
      <c r="GYV118" s="418"/>
      <c r="GYW118" s="418"/>
      <c r="GYX118" s="418"/>
      <c r="GYY118" s="418"/>
      <c r="GYZ118" s="418"/>
      <c r="GZA118" s="418"/>
      <c r="GZB118" s="418"/>
      <c r="GZC118" s="418"/>
      <c r="GZD118" s="418"/>
      <c r="GZE118" s="418"/>
      <c r="GZF118" s="418"/>
      <c r="GZG118" s="418"/>
      <c r="GZH118" s="418"/>
      <c r="GZI118" s="418"/>
      <c r="GZJ118" s="418"/>
      <c r="GZK118" s="418"/>
      <c r="GZL118" s="418"/>
      <c r="GZM118" s="418"/>
      <c r="GZN118" s="418"/>
      <c r="GZO118" s="418"/>
      <c r="GZP118" s="418"/>
      <c r="GZQ118" s="418"/>
      <c r="GZR118" s="418"/>
      <c r="GZS118" s="418"/>
      <c r="GZT118" s="418"/>
      <c r="GZU118" s="418"/>
      <c r="GZV118" s="418"/>
      <c r="GZW118" s="418"/>
      <c r="GZX118" s="418"/>
      <c r="GZY118" s="418"/>
      <c r="GZZ118" s="418"/>
      <c r="HAA118" s="418"/>
      <c r="HAB118" s="418"/>
      <c r="HAC118" s="418"/>
      <c r="HAD118" s="418"/>
      <c r="HAE118" s="418"/>
      <c r="HAF118" s="418"/>
      <c r="HAG118" s="418"/>
      <c r="HAH118" s="418"/>
      <c r="HAI118" s="418"/>
      <c r="HAJ118" s="418"/>
      <c r="HAK118" s="418"/>
      <c r="HAL118" s="418"/>
      <c r="HAM118" s="418"/>
      <c r="HAN118" s="418"/>
      <c r="HAO118" s="418"/>
      <c r="HAP118" s="418"/>
      <c r="HAQ118" s="418"/>
      <c r="HAR118" s="418"/>
      <c r="HAS118" s="418"/>
      <c r="HAT118" s="418"/>
      <c r="HAU118" s="418"/>
      <c r="HAV118" s="418"/>
      <c r="HAW118" s="418"/>
      <c r="HAX118" s="418"/>
      <c r="HAY118" s="418"/>
      <c r="HAZ118" s="418"/>
      <c r="HBA118" s="418"/>
      <c r="HBB118" s="418"/>
      <c r="HBC118" s="418"/>
      <c r="HBD118" s="418"/>
      <c r="HBE118" s="418"/>
      <c r="HBF118" s="418"/>
      <c r="HBG118" s="418"/>
      <c r="HBH118" s="418"/>
      <c r="HBI118" s="418"/>
      <c r="HBJ118" s="418"/>
      <c r="HBK118" s="418"/>
      <c r="HBL118" s="418"/>
      <c r="HBM118" s="418"/>
      <c r="HBN118" s="418"/>
      <c r="HBO118" s="418"/>
      <c r="HBP118" s="418"/>
      <c r="HBQ118" s="418"/>
      <c r="HBR118" s="418"/>
      <c r="HBS118" s="418"/>
      <c r="HBT118" s="418"/>
      <c r="HBU118" s="418"/>
      <c r="HBV118" s="418"/>
      <c r="HBW118" s="418"/>
      <c r="HBX118" s="418"/>
      <c r="HBY118" s="418"/>
      <c r="HBZ118" s="418"/>
      <c r="HCA118" s="418"/>
      <c r="HCB118" s="418"/>
      <c r="HCC118" s="418"/>
      <c r="HCD118" s="418"/>
      <c r="HCE118" s="418"/>
      <c r="HCF118" s="418"/>
      <c r="HCG118" s="418"/>
      <c r="HCH118" s="418"/>
      <c r="HCI118" s="418"/>
      <c r="HCJ118" s="418"/>
      <c r="HCK118" s="418"/>
      <c r="HCL118" s="418"/>
      <c r="HCM118" s="418"/>
      <c r="HCN118" s="418"/>
      <c r="HCO118" s="418"/>
      <c r="HCP118" s="418"/>
      <c r="HCQ118" s="418"/>
      <c r="HCR118" s="418"/>
      <c r="HCS118" s="418"/>
      <c r="HCT118" s="418"/>
      <c r="HCU118" s="418"/>
      <c r="HCV118" s="418"/>
      <c r="HCW118" s="418"/>
      <c r="HCX118" s="418"/>
      <c r="HCY118" s="418"/>
      <c r="HCZ118" s="418"/>
      <c r="HDA118" s="418"/>
      <c r="HDB118" s="418"/>
      <c r="HDC118" s="418"/>
      <c r="HDD118" s="418"/>
      <c r="HDE118" s="418"/>
      <c r="HDF118" s="418"/>
      <c r="HDG118" s="418"/>
      <c r="HDH118" s="418"/>
      <c r="HDI118" s="418"/>
      <c r="HDJ118" s="418"/>
      <c r="HDK118" s="418"/>
      <c r="HDL118" s="418"/>
      <c r="HDM118" s="418"/>
      <c r="HDN118" s="418"/>
      <c r="HDO118" s="418"/>
      <c r="HDP118" s="418"/>
      <c r="HDQ118" s="418"/>
      <c r="HDR118" s="418"/>
      <c r="HDS118" s="418"/>
      <c r="HDT118" s="418"/>
      <c r="HDU118" s="418"/>
      <c r="HDV118" s="418"/>
      <c r="HDW118" s="418"/>
      <c r="HDX118" s="418"/>
      <c r="HDY118" s="418"/>
      <c r="HDZ118" s="418"/>
      <c r="HEA118" s="418"/>
      <c r="HEB118" s="418"/>
      <c r="HEC118" s="418"/>
      <c r="HED118" s="418"/>
      <c r="HEE118" s="418"/>
      <c r="HEF118" s="418"/>
      <c r="HEG118" s="418"/>
      <c r="HEH118" s="418"/>
      <c r="HEI118" s="418"/>
      <c r="HEJ118" s="418"/>
      <c r="HEK118" s="418"/>
      <c r="HEL118" s="418"/>
      <c r="HEM118" s="418"/>
      <c r="HEN118" s="418"/>
      <c r="HEO118" s="418"/>
      <c r="HEP118" s="418"/>
      <c r="HEQ118" s="418"/>
      <c r="HER118" s="418"/>
      <c r="HES118" s="418"/>
      <c r="HET118" s="418"/>
      <c r="HEU118" s="418"/>
      <c r="HEV118" s="418"/>
      <c r="HEW118" s="418"/>
      <c r="HEX118" s="418"/>
      <c r="HEY118" s="418"/>
      <c r="HEZ118" s="418"/>
      <c r="HFA118" s="418"/>
      <c r="HFB118" s="418"/>
      <c r="HFC118" s="418"/>
      <c r="HFD118" s="418"/>
      <c r="HFE118" s="418"/>
      <c r="HFF118" s="418"/>
      <c r="HFG118" s="418"/>
      <c r="HFH118" s="418"/>
      <c r="HFI118" s="418"/>
      <c r="HFJ118" s="418"/>
      <c r="HFK118" s="418"/>
      <c r="HFL118" s="418"/>
      <c r="HFM118" s="418"/>
      <c r="HFN118" s="418"/>
      <c r="HFO118" s="418"/>
      <c r="HFP118" s="418"/>
      <c r="HFQ118" s="418"/>
      <c r="HFR118" s="418"/>
      <c r="HFS118" s="418"/>
      <c r="HFT118" s="418"/>
      <c r="HFU118" s="418"/>
      <c r="HFV118" s="418"/>
      <c r="HFW118" s="418"/>
      <c r="HFX118" s="418"/>
      <c r="HFY118" s="418"/>
      <c r="HFZ118" s="418"/>
      <c r="HGA118" s="418"/>
      <c r="HGB118" s="418"/>
      <c r="HGC118" s="418"/>
      <c r="HGD118" s="418"/>
      <c r="HGE118" s="418"/>
      <c r="HGF118" s="418"/>
      <c r="HGG118" s="418"/>
      <c r="HGH118" s="418"/>
      <c r="HGI118" s="418"/>
      <c r="HGJ118" s="418"/>
      <c r="HGK118" s="418"/>
      <c r="HGL118" s="418"/>
      <c r="HGM118" s="418"/>
      <c r="HGN118" s="418"/>
      <c r="HGO118" s="418"/>
      <c r="HGP118" s="418"/>
      <c r="HGQ118" s="418"/>
      <c r="HGR118" s="418"/>
      <c r="HGS118" s="418"/>
      <c r="HGT118" s="418"/>
      <c r="HGU118" s="418"/>
      <c r="HGV118" s="418"/>
      <c r="HGW118" s="418"/>
      <c r="HGX118" s="418"/>
      <c r="HGY118" s="418"/>
      <c r="HGZ118" s="418"/>
      <c r="HHA118" s="418"/>
      <c r="HHB118" s="418"/>
      <c r="HHC118" s="418"/>
      <c r="HHD118" s="418"/>
      <c r="HHE118" s="418"/>
      <c r="HHF118" s="418"/>
      <c r="HHG118" s="418"/>
      <c r="HHH118" s="418"/>
      <c r="HHI118" s="418"/>
      <c r="HHJ118" s="418"/>
      <c r="HHK118" s="418"/>
      <c r="HHL118" s="418"/>
      <c r="HHM118" s="418"/>
      <c r="HHN118" s="418"/>
      <c r="HHO118" s="418"/>
      <c r="HHP118" s="418"/>
      <c r="HHQ118" s="418"/>
      <c r="HHR118" s="418"/>
      <c r="HHS118" s="418"/>
      <c r="HHT118" s="418"/>
      <c r="HHU118" s="418"/>
      <c r="HHV118" s="418"/>
      <c r="HHW118" s="418"/>
      <c r="HHX118" s="418"/>
      <c r="HHY118" s="418"/>
      <c r="HHZ118" s="418"/>
      <c r="HIA118" s="418"/>
      <c r="HIB118" s="418"/>
      <c r="HIC118" s="418"/>
      <c r="HID118" s="418"/>
      <c r="HIE118" s="418"/>
      <c r="HIF118" s="418"/>
      <c r="HIG118" s="418"/>
      <c r="HIH118" s="418"/>
      <c r="HII118" s="418"/>
      <c r="HIJ118" s="418"/>
      <c r="HIK118" s="418"/>
      <c r="HIL118" s="418"/>
      <c r="HIM118" s="418"/>
      <c r="HIN118" s="418"/>
      <c r="HIO118" s="418"/>
      <c r="HIP118" s="418"/>
      <c r="HIQ118" s="418"/>
      <c r="HIR118" s="418"/>
      <c r="HIS118" s="418"/>
      <c r="HIT118" s="418"/>
      <c r="HIU118" s="418"/>
      <c r="HIV118" s="418"/>
      <c r="HIW118" s="418"/>
      <c r="HIX118" s="418"/>
      <c r="HIY118" s="418"/>
      <c r="HIZ118" s="418"/>
      <c r="HJA118" s="418"/>
      <c r="HJB118" s="418"/>
      <c r="HJC118" s="418"/>
      <c r="HJD118" s="418"/>
      <c r="HJE118" s="418"/>
      <c r="HJF118" s="418"/>
      <c r="HJG118" s="418"/>
      <c r="HJH118" s="418"/>
      <c r="HJI118" s="418"/>
      <c r="HJJ118" s="418"/>
      <c r="HJK118" s="418"/>
      <c r="HJL118" s="418"/>
      <c r="HJM118" s="418"/>
      <c r="HJN118" s="418"/>
      <c r="HJO118" s="418"/>
      <c r="HJP118" s="418"/>
      <c r="HJQ118" s="418"/>
      <c r="HJR118" s="418"/>
      <c r="HJS118" s="418"/>
      <c r="HJT118" s="418"/>
      <c r="HJU118" s="418"/>
      <c r="HJV118" s="418"/>
      <c r="HJW118" s="418"/>
      <c r="HJX118" s="418"/>
      <c r="HJY118" s="418"/>
      <c r="HJZ118" s="418"/>
      <c r="HKA118" s="418"/>
      <c r="HKB118" s="418"/>
      <c r="HKC118" s="418"/>
      <c r="HKD118" s="418"/>
      <c r="HKE118" s="418"/>
      <c r="HKF118" s="418"/>
      <c r="HKG118" s="418"/>
      <c r="HKH118" s="418"/>
      <c r="HKI118" s="418"/>
      <c r="HKJ118" s="418"/>
      <c r="HKK118" s="418"/>
      <c r="HKL118" s="418"/>
      <c r="HKM118" s="418"/>
      <c r="HKN118" s="418"/>
      <c r="HKO118" s="418"/>
      <c r="HKP118" s="418"/>
      <c r="HKQ118" s="418"/>
      <c r="HKR118" s="418"/>
      <c r="HKS118" s="418"/>
      <c r="HKT118" s="418"/>
      <c r="HKU118" s="418"/>
      <c r="HKV118" s="418"/>
      <c r="HKW118" s="418"/>
      <c r="HKX118" s="418"/>
      <c r="HKY118" s="418"/>
      <c r="HKZ118" s="418"/>
      <c r="HLA118" s="418"/>
      <c r="HLB118" s="418"/>
      <c r="HLC118" s="418"/>
      <c r="HLD118" s="418"/>
      <c r="HLE118" s="418"/>
      <c r="HLF118" s="418"/>
      <c r="HLG118" s="418"/>
      <c r="HLH118" s="418"/>
      <c r="HLI118" s="418"/>
      <c r="HLJ118" s="418"/>
      <c r="HLK118" s="418"/>
      <c r="HLL118" s="418"/>
      <c r="HLM118" s="418"/>
      <c r="HLN118" s="418"/>
      <c r="HLO118" s="418"/>
      <c r="HLP118" s="418"/>
      <c r="HLQ118" s="418"/>
      <c r="HLR118" s="418"/>
      <c r="HLS118" s="418"/>
      <c r="HLT118" s="418"/>
      <c r="HLU118" s="418"/>
      <c r="HLV118" s="418"/>
      <c r="HLW118" s="418"/>
      <c r="HLX118" s="418"/>
      <c r="HLY118" s="418"/>
      <c r="HLZ118" s="418"/>
      <c r="HMA118" s="418"/>
      <c r="HMB118" s="418"/>
      <c r="HMC118" s="418"/>
      <c r="HMD118" s="418"/>
      <c r="HME118" s="418"/>
      <c r="HMF118" s="418"/>
      <c r="HMG118" s="418"/>
      <c r="HMH118" s="418"/>
      <c r="HMI118" s="418"/>
      <c r="HMJ118" s="418"/>
      <c r="HMK118" s="418"/>
      <c r="HML118" s="418"/>
      <c r="HMM118" s="418"/>
      <c r="HMN118" s="418"/>
      <c r="HMO118" s="418"/>
      <c r="HMP118" s="418"/>
      <c r="HMQ118" s="418"/>
      <c r="HMR118" s="418"/>
      <c r="HMS118" s="418"/>
      <c r="HMT118" s="418"/>
      <c r="HMU118" s="418"/>
      <c r="HMV118" s="418"/>
      <c r="HMW118" s="418"/>
      <c r="HMX118" s="418"/>
      <c r="HMY118" s="418"/>
      <c r="HMZ118" s="418"/>
      <c r="HNA118" s="418"/>
      <c r="HNB118" s="418"/>
      <c r="HNC118" s="418"/>
      <c r="HND118" s="418"/>
      <c r="HNE118" s="418"/>
      <c r="HNF118" s="418"/>
      <c r="HNG118" s="418"/>
      <c r="HNH118" s="418"/>
      <c r="HNI118" s="418"/>
      <c r="HNJ118" s="418"/>
      <c r="HNK118" s="418"/>
      <c r="HNL118" s="418"/>
      <c r="HNM118" s="418"/>
      <c r="HNN118" s="418"/>
      <c r="HNO118" s="418"/>
      <c r="HNP118" s="418"/>
      <c r="HNQ118" s="418"/>
      <c r="HNR118" s="418"/>
      <c r="HNS118" s="418"/>
      <c r="HNT118" s="418"/>
      <c r="HNU118" s="418"/>
      <c r="HNV118" s="418"/>
      <c r="HNW118" s="418"/>
      <c r="HNX118" s="418"/>
      <c r="HNY118" s="418"/>
      <c r="HNZ118" s="418"/>
      <c r="HOA118" s="418"/>
      <c r="HOB118" s="418"/>
      <c r="HOC118" s="418"/>
      <c r="HOD118" s="418"/>
      <c r="HOE118" s="418"/>
      <c r="HOF118" s="418"/>
      <c r="HOG118" s="418"/>
      <c r="HOH118" s="418"/>
      <c r="HOI118" s="418"/>
      <c r="HOJ118" s="418"/>
      <c r="HOK118" s="418"/>
      <c r="HOL118" s="418"/>
      <c r="HOM118" s="418"/>
      <c r="HON118" s="418"/>
      <c r="HOO118" s="418"/>
      <c r="HOP118" s="418"/>
      <c r="HOQ118" s="418"/>
      <c r="HOR118" s="418"/>
      <c r="HOS118" s="418"/>
      <c r="HOT118" s="418"/>
      <c r="HOU118" s="418"/>
      <c r="HOV118" s="418"/>
      <c r="HOW118" s="418"/>
      <c r="HOX118" s="418"/>
      <c r="HOY118" s="418"/>
      <c r="HOZ118" s="418"/>
      <c r="HPA118" s="418"/>
      <c r="HPB118" s="418"/>
      <c r="HPC118" s="418"/>
      <c r="HPD118" s="418"/>
      <c r="HPE118" s="418"/>
      <c r="HPF118" s="418"/>
      <c r="HPG118" s="418"/>
      <c r="HPH118" s="418"/>
      <c r="HPI118" s="418"/>
      <c r="HPJ118" s="418"/>
      <c r="HPK118" s="418"/>
      <c r="HPL118" s="418"/>
      <c r="HPM118" s="418"/>
      <c r="HPN118" s="418"/>
      <c r="HPO118" s="418"/>
      <c r="HPP118" s="418"/>
      <c r="HPQ118" s="418"/>
      <c r="HPR118" s="418"/>
      <c r="HPS118" s="418"/>
      <c r="HPT118" s="418"/>
      <c r="HPU118" s="418"/>
      <c r="HPV118" s="418"/>
      <c r="HPW118" s="418"/>
      <c r="HPX118" s="418"/>
      <c r="HPY118" s="418"/>
      <c r="HPZ118" s="418"/>
      <c r="HQA118" s="418"/>
      <c r="HQB118" s="418"/>
      <c r="HQC118" s="418"/>
      <c r="HQD118" s="418"/>
      <c r="HQE118" s="418"/>
      <c r="HQF118" s="418"/>
      <c r="HQG118" s="418"/>
      <c r="HQH118" s="418"/>
      <c r="HQI118" s="418"/>
      <c r="HQJ118" s="418"/>
      <c r="HQK118" s="418"/>
      <c r="HQL118" s="418"/>
      <c r="HQM118" s="418"/>
      <c r="HQN118" s="418"/>
      <c r="HQO118" s="418"/>
      <c r="HQP118" s="418"/>
      <c r="HQQ118" s="418"/>
      <c r="HQR118" s="418"/>
      <c r="HQS118" s="418"/>
      <c r="HQT118" s="418"/>
      <c r="HQU118" s="418"/>
      <c r="HQV118" s="418"/>
      <c r="HQW118" s="418"/>
      <c r="HQX118" s="418"/>
      <c r="HQY118" s="418"/>
      <c r="HQZ118" s="418"/>
      <c r="HRA118" s="418"/>
      <c r="HRB118" s="418"/>
      <c r="HRC118" s="418"/>
      <c r="HRD118" s="418"/>
      <c r="HRE118" s="418"/>
      <c r="HRF118" s="418"/>
      <c r="HRG118" s="418"/>
      <c r="HRH118" s="418"/>
      <c r="HRI118" s="418"/>
      <c r="HRJ118" s="418"/>
      <c r="HRK118" s="418"/>
      <c r="HRL118" s="418"/>
      <c r="HRM118" s="418"/>
      <c r="HRN118" s="418"/>
      <c r="HRO118" s="418"/>
      <c r="HRP118" s="418"/>
      <c r="HRQ118" s="418"/>
      <c r="HRR118" s="418"/>
      <c r="HRS118" s="418"/>
      <c r="HRT118" s="418"/>
      <c r="HRU118" s="418"/>
      <c r="HRV118" s="418"/>
      <c r="HRW118" s="418"/>
      <c r="HRX118" s="418"/>
      <c r="HRY118" s="418"/>
      <c r="HRZ118" s="418"/>
      <c r="HSA118" s="418"/>
      <c r="HSB118" s="418"/>
      <c r="HSC118" s="418"/>
      <c r="HSD118" s="418"/>
      <c r="HSE118" s="418"/>
      <c r="HSF118" s="418"/>
      <c r="HSG118" s="418"/>
      <c r="HSH118" s="418"/>
      <c r="HSI118" s="418"/>
      <c r="HSJ118" s="418"/>
      <c r="HSK118" s="418"/>
      <c r="HSL118" s="418"/>
      <c r="HSM118" s="418"/>
      <c r="HSN118" s="418"/>
      <c r="HSO118" s="418"/>
      <c r="HSP118" s="418"/>
      <c r="HSQ118" s="418"/>
      <c r="HSR118" s="418"/>
      <c r="HSS118" s="418"/>
      <c r="HST118" s="418"/>
      <c r="HSU118" s="418"/>
      <c r="HSV118" s="418"/>
      <c r="HSW118" s="418"/>
      <c r="HSX118" s="418"/>
      <c r="HSY118" s="418"/>
      <c r="HSZ118" s="418"/>
      <c r="HTA118" s="418"/>
      <c r="HTB118" s="418"/>
      <c r="HTC118" s="418"/>
      <c r="HTD118" s="418"/>
      <c r="HTE118" s="418"/>
      <c r="HTF118" s="418"/>
      <c r="HTG118" s="418"/>
      <c r="HTH118" s="418"/>
      <c r="HTI118" s="418"/>
      <c r="HTJ118" s="418"/>
      <c r="HTK118" s="418"/>
      <c r="HTL118" s="418"/>
      <c r="HTM118" s="418"/>
      <c r="HTN118" s="418"/>
      <c r="HTO118" s="418"/>
      <c r="HTP118" s="418"/>
      <c r="HTQ118" s="418"/>
      <c r="HTR118" s="418"/>
      <c r="HTS118" s="418"/>
      <c r="HTT118" s="418"/>
      <c r="HTU118" s="418"/>
      <c r="HTV118" s="418"/>
      <c r="HTW118" s="418"/>
      <c r="HTX118" s="418"/>
      <c r="HTY118" s="418"/>
      <c r="HTZ118" s="418"/>
      <c r="HUA118" s="418"/>
      <c r="HUB118" s="418"/>
      <c r="HUC118" s="418"/>
      <c r="HUD118" s="418"/>
      <c r="HUE118" s="418"/>
      <c r="HUF118" s="418"/>
      <c r="HUG118" s="418"/>
      <c r="HUH118" s="418"/>
      <c r="HUI118" s="418"/>
      <c r="HUJ118" s="418"/>
      <c r="HUK118" s="418"/>
      <c r="HUL118" s="418"/>
      <c r="HUM118" s="418"/>
      <c r="HUN118" s="418"/>
      <c r="HUO118" s="418"/>
      <c r="HUP118" s="418"/>
      <c r="HUQ118" s="418"/>
      <c r="HUR118" s="418"/>
      <c r="HUS118" s="418"/>
      <c r="HUT118" s="418"/>
      <c r="HUU118" s="418"/>
      <c r="HUV118" s="418"/>
      <c r="HUW118" s="418"/>
      <c r="HUX118" s="418"/>
      <c r="HUY118" s="418"/>
      <c r="HUZ118" s="418"/>
      <c r="HVA118" s="418"/>
      <c r="HVB118" s="418"/>
      <c r="HVC118" s="418"/>
      <c r="HVD118" s="418"/>
      <c r="HVE118" s="418"/>
      <c r="HVF118" s="418"/>
      <c r="HVG118" s="418"/>
      <c r="HVH118" s="418"/>
      <c r="HVI118" s="418"/>
      <c r="HVJ118" s="418"/>
      <c r="HVK118" s="418"/>
      <c r="HVL118" s="418"/>
      <c r="HVM118" s="418"/>
      <c r="HVN118" s="418"/>
      <c r="HVO118" s="418"/>
      <c r="HVP118" s="418"/>
      <c r="HVQ118" s="418"/>
      <c r="HVR118" s="418"/>
      <c r="HVS118" s="418"/>
      <c r="HVT118" s="418"/>
      <c r="HVU118" s="418"/>
      <c r="HVV118" s="418"/>
      <c r="HVW118" s="418"/>
      <c r="HVX118" s="418"/>
      <c r="HVY118" s="418"/>
      <c r="HVZ118" s="418"/>
      <c r="HWA118" s="418"/>
      <c r="HWB118" s="418"/>
      <c r="HWC118" s="418"/>
      <c r="HWD118" s="418"/>
      <c r="HWE118" s="418"/>
      <c r="HWF118" s="418"/>
      <c r="HWG118" s="418"/>
      <c r="HWH118" s="418"/>
      <c r="HWI118" s="418"/>
      <c r="HWJ118" s="418"/>
      <c r="HWK118" s="418"/>
      <c r="HWL118" s="418"/>
      <c r="HWM118" s="418"/>
      <c r="HWN118" s="418"/>
      <c r="HWO118" s="418"/>
      <c r="HWP118" s="418"/>
      <c r="HWQ118" s="418"/>
      <c r="HWR118" s="418"/>
      <c r="HWS118" s="418"/>
      <c r="HWT118" s="418"/>
      <c r="HWU118" s="418"/>
      <c r="HWV118" s="418"/>
      <c r="HWW118" s="418"/>
      <c r="HWX118" s="418"/>
      <c r="HWY118" s="418"/>
      <c r="HWZ118" s="418"/>
      <c r="HXA118" s="418"/>
      <c r="HXB118" s="418"/>
      <c r="HXC118" s="418"/>
      <c r="HXD118" s="418"/>
      <c r="HXE118" s="418"/>
      <c r="HXF118" s="418"/>
      <c r="HXG118" s="418"/>
      <c r="HXH118" s="418"/>
      <c r="HXI118" s="418"/>
      <c r="HXJ118" s="418"/>
      <c r="HXK118" s="418"/>
      <c r="HXL118" s="418"/>
      <c r="HXM118" s="418"/>
      <c r="HXN118" s="418"/>
      <c r="HXO118" s="418"/>
      <c r="HXP118" s="418"/>
      <c r="HXQ118" s="418"/>
      <c r="HXR118" s="418"/>
      <c r="HXS118" s="418"/>
      <c r="HXT118" s="418"/>
      <c r="HXU118" s="418"/>
      <c r="HXV118" s="418"/>
      <c r="HXW118" s="418"/>
      <c r="HXX118" s="418"/>
      <c r="HXY118" s="418"/>
      <c r="HXZ118" s="418"/>
      <c r="HYA118" s="418"/>
      <c r="HYB118" s="418"/>
      <c r="HYC118" s="418"/>
      <c r="HYD118" s="418"/>
      <c r="HYE118" s="418"/>
      <c r="HYF118" s="418"/>
      <c r="HYG118" s="418"/>
      <c r="HYH118" s="418"/>
      <c r="HYI118" s="418"/>
      <c r="HYJ118" s="418"/>
      <c r="HYK118" s="418"/>
      <c r="HYL118" s="418"/>
      <c r="HYM118" s="418"/>
      <c r="HYN118" s="418"/>
      <c r="HYO118" s="418"/>
      <c r="HYP118" s="418"/>
      <c r="HYQ118" s="418"/>
      <c r="HYR118" s="418"/>
      <c r="HYS118" s="418"/>
      <c r="HYT118" s="418"/>
      <c r="HYU118" s="418"/>
      <c r="HYV118" s="418"/>
      <c r="HYW118" s="418"/>
      <c r="HYX118" s="418"/>
      <c r="HYY118" s="418"/>
      <c r="HYZ118" s="418"/>
      <c r="HZA118" s="418"/>
      <c r="HZB118" s="418"/>
      <c r="HZC118" s="418"/>
      <c r="HZD118" s="418"/>
      <c r="HZE118" s="418"/>
      <c r="HZF118" s="418"/>
      <c r="HZG118" s="418"/>
      <c r="HZH118" s="418"/>
      <c r="HZI118" s="418"/>
      <c r="HZJ118" s="418"/>
      <c r="HZK118" s="418"/>
      <c r="HZL118" s="418"/>
      <c r="HZM118" s="418"/>
      <c r="HZN118" s="418"/>
      <c r="HZO118" s="418"/>
      <c r="HZP118" s="418"/>
      <c r="HZQ118" s="418"/>
      <c r="HZR118" s="418"/>
      <c r="HZS118" s="418"/>
      <c r="HZT118" s="418"/>
      <c r="HZU118" s="418"/>
      <c r="HZV118" s="418"/>
      <c r="HZW118" s="418"/>
      <c r="HZX118" s="418"/>
      <c r="HZY118" s="418"/>
      <c r="HZZ118" s="418"/>
      <c r="IAA118" s="418"/>
      <c r="IAB118" s="418"/>
      <c r="IAC118" s="418"/>
      <c r="IAD118" s="418"/>
      <c r="IAE118" s="418"/>
      <c r="IAF118" s="418"/>
      <c r="IAG118" s="418"/>
      <c r="IAH118" s="418"/>
      <c r="IAI118" s="418"/>
      <c r="IAJ118" s="418"/>
      <c r="IAK118" s="418"/>
      <c r="IAL118" s="418"/>
      <c r="IAM118" s="418"/>
      <c r="IAN118" s="418"/>
      <c r="IAO118" s="418"/>
      <c r="IAP118" s="418"/>
      <c r="IAQ118" s="418"/>
      <c r="IAR118" s="418"/>
      <c r="IAS118" s="418"/>
      <c r="IAT118" s="418"/>
      <c r="IAU118" s="418"/>
      <c r="IAV118" s="418"/>
      <c r="IAW118" s="418"/>
      <c r="IAX118" s="418"/>
      <c r="IAY118" s="418"/>
      <c r="IAZ118" s="418"/>
      <c r="IBA118" s="418"/>
      <c r="IBB118" s="418"/>
      <c r="IBC118" s="418"/>
      <c r="IBD118" s="418"/>
      <c r="IBE118" s="418"/>
      <c r="IBF118" s="418"/>
      <c r="IBG118" s="418"/>
      <c r="IBH118" s="418"/>
      <c r="IBI118" s="418"/>
      <c r="IBJ118" s="418"/>
      <c r="IBK118" s="418"/>
      <c r="IBL118" s="418"/>
      <c r="IBM118" s="418"/>
      <c r="IBN118" s="418"/>
      <c r="IBO118" s="418"/>
      <c r="IBP118" s="418"/>
      <c r="IBQ118" s="418"/>
      <c r="IBR118" s="418"/>
      <c r="IBS118" s="418"/>
      <c r="IBT118" s="418"/>
      <c r="IBU118" s="418"/>
      <c r="IBV118" s="418"/>
      <c r="IBW118" s="418"/>
      <c r="IBX118" s="418"/>
      <c r="IBY118" s="418"/>
      <c r="IBZ118" s="418"/>
      <c r="ICA118" s="418"/>
      <c r="ICB118" s="418"/>
      <c r="ICC118" s="418"/>
      <c r="ICD118" s="418"/>
      <c r="ICE118" s="418"/>
      <c r="ICF118" s="418"/>
      <c r="ICG118" s="418"/>
      <c r="ICH118" s="418"/>
      <c r="ICI118" s="418"/>
      <c r="ICJ118" s="418"/>
      <c r="ICK118" s="418"/>
      <c r="ICL118" s="418"/>
      <c r="ICM118" s="418"/>
      <c r="ICN118" s="418"/>
      <c r="ICO118" s="418"/>
      <c r="ICP118" s="418"/>
      <c r="ICQ118" s="418"/>
      <c r="ICR118" s="418"/>
      <c r="ICS118" s="418"/>
      <c r="ICT118" s="418"/>
      <c r="ICU118" s="418"/>
      <c r="ICV118" s="418"/>
      <c r="ICW118" s="418"/>
      <c r="ICX118" s="418"/>
      <c r="ICY118" s="418"/>
      <c r="ICZ118" s="418"/>
      <c r="IDA118" s="418"/>
      <c r="IDB118" s="418"/>
      <c r="IDC118" s="418"/>
      <c r="IDD118" s="418"/>
      <c r="IDE118" s="418"/>
      <c r="IDF118" s="418"/>
      <c r="IDG118" s="418"/>
      <c r="IDH118" s="418"/>
      <c r="IDI118" s="418"/>
      <c r="IDJ118" s="418"/>
      <c r="IDK118" s="418"/>
      <c r="IDL118" s="418"/>
      <c r="IDM118" s="418"/>
      <c r="IDN118" s="418"/>
      <c r="IDO118" s="418"/>
      <c r="IDP118" s="418"/>
      <c r="IDQ118" s="418"/>
      <c r="IDR118" s="418"/>
      <c r="IDS118" s="418"/>
      <c r="IDT118" s="418"/>
      <c r="IDU118" s="418"/>
      <c r="IDV118" s="418"/>
      <c r="IDW118" s="418"/>
      <c r="IDX118" s="418"/>
      <c r="IDY118" s="418"/>
      <c r="IDZ118" s="418"/>
      <c r="IEA118" s="418"/>
      <c r="IEB118" s="418"/>
      <c r="IEC118" s="418"/>
      <c r="IED118" s="418"/>
      <c r="IEE118" s="418"/>
      <c r="IEF118" s="418"/>
      <c r="IEG118" s="418"/>
      <c r="IEH118" s="418"/>
      <c r="IEI118" s="418"/>
      <c r="IEJ118" s="418"/>
      <c r="IEK118" s="418"/>
      <c r="IEL118" s="418"/>
      <c r="IEM118" s="418"/>
      <c r="IEN118" s="418"/>
      <c r="IEO118" s="418"/>
      <c r="IEP118" s="418"/>
      <c r="IEQ118" s="418"/>
      <c r="IER118" s="418"/>
      <c r="IES118" s="418"/>
      <c r="IET118" s="418"/>
      <c r="IEU118" s="418"/>
      <c r="IEV118" s="418"/>
      <c r="IEW118" s="418"/>
      <c r="IEX118" s="418"/>
      <c r="IEY118" s="418"/>
      <c r="IEZ118" s="418"/>
      <c r="IFA118" s="418"/>
      <c r="IFB118" s="418"/>
      <c r="IFC118" s="418"/>
      <c r="IFD118" s="418"/>
      <c r="IFE118" s="418"/>
      <c r="IFF118" s="418"/>
      <c r="IFG118" s="418"/>
      <c r="IFH118" s="418"/>
      <c r="IFI118" s="418"/>
      <c r="IFJ118" s="418"/>
      <c r="IFK118" s="418"/>
      <c r="IFL118" s="418"/>
      <c r="IFM118" s="418"/>
      <c r="IFN118" s="418"/>
      <c r="IFO118" s="418"/>
      <c r="IFP118" s="418"/>
      <c r="IFQ118" s="418"/>
      <c r="IFR118" s="418"/>
      <c r="IFS118" s="418"/>
      <c r="IFT118" s="418"/>
      <c r="IFU118" s="418"/>
      <c r="IFV118" s="418"/>
      <c r="IFW118" s="418"/>
      <c r="IFX118" s="418"/>
      <c r="IFY118" s="418"/>
      <c r="IFZ118" s="418"/>
      <c r="IGA118" s="418"/>
      <c r="IGB118" s="418"/>
      <c r="IGC118" s="418"/>
      <c r="IGD118" s="418"/>
      <c r="IGE118" s="418"/>
      <c r="IGF118" s="418"/>
      <c r="IGG118" s="418"/>
      <c r="IGH118" s="418"/>
      <c r="IGI118" s="418"/>
      <c r="IGJ118" s="418"/>
      <c r="IGK118" s="418"/>
      <c r="IGL118" s="418"/>
      <c r="IGM118" s="418"/>
      <c r="IGN118" s="418"/>
      <c r="IGO118" s="418"/>
      <c r="IGP118" s="418"/>
      <c r="IGQ118" s="418"/>
      <c r="IGR118" s="418"/>
      <c r="IGS118" s="418"/>
      <c r="IGT118" s="418"/>
      <c r="IGU118" s="418"/>
      <c r="IGV118" s="418"/>
      <c r="IGW118" s="418"/>
      <c r="IGX118" s="418"/>
      <c r="IGY118" s="418"/>
      <c r="IGZ118" s="418"/>
      <c r="IHA118" s="418"/>
      <c r="IHB118" s="418"/>
      <c r="IHC118" s="418"/>
      <c r="IHD118" s="418"/>
      <c r="IHE118" s="418"/>
      <c r="IHF118" s="418"/>
      <c r="IHG118" s="418"/>
      <c r="IHH118" s="418"/>
      <c r="IHI118" s="418"/>
      <c r="IHJ118" s="418"/>
      <c r="IHK118" s="418"/>
      <c r="IHL118" s="418"/>
      <c r="IHM118" s="418"/>
      <c r="IHN118" s="418"/>
      <c r="IHO118" s="418"/>
      <c r="IHP118" s="418"/>
      <c r="IHQ118" s="418"/>
      <c r="IHR118" s="418"/>
      <c r="IHS118" s="418"/>
      <c r="IHT118" s="418"/>
      <c r="IHU118" s="418"/>
      <c r="IHV118" s="418"/>
      <c r="IHW118" s="418"/>
      <c r="IHX118" s="418"/>
      <c r="IHY118" s="418"/>
      <c r="IHZ118" s="418"/>
      <c r="IIA118" s="418"/>
      <c r="IIB118" s="418"/>
      <c r="IIC118" s="418"/>
      <c r="IID118" s="418"/>
      <c r="IIE118" s="418"/>
      <c r="IIF118" s="418"/>
      <c r="IIG118" s="418"/>
      <c r="IIH118" s="418"/>
      <c r="III118" s="418"/>
      <c r="IIJ118" s="418"/>
      <c r="IIK118" s="418"/>
      <c r="IIL118" s="418"/>
      <c r="IIM118" s="418"/>
      <c r="IIN118" s="418"/>
      <c r="IIO118" s="418"/>
      <c r="IIP118" s="418"/>
      <c r="IIQ118" s="418"/>
      <c r="IIR118" s="418"/>
      <c r="IIS118" s="418"/>
      <c r="IIT118" s="418"/>
      <c r="IIU118" s="418"/>
      <c r="IIV118" s="418"/>
      <c r="IIW118" s="418"/>
      <c r="IIX118" s="418"/>
      <c r="IIY118" s="418"/>
      <c r="IIZ118" s="418"/>
      <c r="IJA118" s="418"/>
      <c r="IJB118" s="418"/>
      <c r="IJC118" s="418"/>
      <c r="IJD118" s="418"/>
      <c r="IJE118" s="418"/>
      <c r="IJF118" s="418"/>
      <c r="IJG118" s="418"/>
      <c r="IJH118" s="418"/>
      <c r="IJI118" s="418"/>
      <c r="IJJ118" s="418"/>
      <c r="IJK118" s="418"/>
      <c r="IJL118" s="418"/>
      <c r="IJM118" s="418"/>
      <c r="IJN118" s="418"/>
      <c r="IJO118" s="418"/>
      <c r="IJP118" s="418"/>
      <c r="IJQ118" s="418"/>
      <c r="IJR118" s="418"/>
      <c r="IJS118" s="418"/>
      <c r="IJT118" s="418"/>
      <c r="IJU118" s="418"/>
      <c r="IJV118" s="418"/>
      <c r="IJW118" s="418"/>
      <c r="IJX118" s="418"/>
      <c r="IJY118" s="418"/>
      <c r="IJZ118" s="418"/>
      <c r="IKA118" s="418"/>
      <c r="IKB118" s="418"/>
      <c r="IKC118" s="418"/>
      <c r="IKD118" s="418"/>
      <c r="IKE118" s="418"/>
      <c r="IKF118" s="418"/>
      <c r="IKG118" s="418"/>
      <c r="IKH118" s="418"/>
      <c r="IKI118" s="418"/>
      <c r="IKJ118" s="418"/>
      <c r="IKK118" s="418"/>
      <c r="IKL118" s="418"/>
      <c r="IKM118" s="418"/>
      <c r="IKN118" s="418"/>
      <c r="IKO118" s="418"/>
      <c r="IKP118" s="418"/>
      <c r="IKQ118" s="418"/>
      <c r="IKR118" s="418"/>
      <c r="IKS118" s="418"/>
      <c r="IKT118" s="418"/>
      <c r="IKU118" s="418"/>
      <c r="IKV118" s="418"/>
      <c r="IKW118" s="418"/>
      <c r="IKX118" s="418"/>
      <c r="IKY118" s="418"/>
      <c r="IKZ118" s="418"/>
      <c r="ILA118" s="418"/>
      <c r="ILB118" s="418"/>
      <c r="ILC118" s="418"/>
      <c r="ILD118" s="418"/>
      <c r="ILE118" s="418"/>
      <c r="ILF118" s="418"/>
      <c r="ILG118" s="418"/>
      <c r="ILH118" s="418"/>
      <c r="ILI118" s="418"/>
      <c r="ILJ118" s="418"/>
      <c r="ILK118" s="418"/>
      <c r="ILL118" s="418"/>
      <c r="ILM118" s="418"/>
      <c r="ILN118" s="418"/>
      <c r="ILO118" s="418"/>
      <c r="ILP118" s="418"/>
      <c r="ILQ118" s="418"/>
      <c r="ILR118" s="418"/>
      <c r="ILS118" s="418"/>
      <c r="ILT118" s="418"/>
      <c r="ILU118" s="418"/>
      <c r="ILV118" s="418"/>
      <c r="ILW118" s="418"/>
      <c r="ILX118" s="418"/>
      <c r="ILY118" s="418"/>
      <c r="ILZ118" s="418"/>
      <c r="IMA118" s="418"/>
      <c r="IMB118" s="418"/>
      <c r="IMC118" s="418"/>
      <c r="IMD118" s="418"/>
      <c r="IME118" s="418"/>
      <c r="IMF118" s="418"/>
      <c r="IMG118" s="418"/>
      <c r="IMH118" s="418"/>
      <c r="IMI118" s="418"/>
      <c r="IMJ118" s="418"/>
      <c r="IMK118" s="418"/>
      <c r="IML118" s="418"/>
      <c r="IMM118" s="418"/>
      <c r="IMN118" s="418"/>
      <c r="IMO118" s="418"/>
      <c r="IMP118" s="418"/>
      <c r="IMQ118" s="418"/>
      <c r="IMR118" s="418"/>
      <c r="IMS118" s="418"/>
      <c r="IMT118" s="418"/>
      <c r="IMU118" s="418"/>
      <c r="IMV118" s="418"/>
      <c r="IMW118" s="418"/>
      <c r="IMX118" s="418"/>
      <c r="IMY118" s="418"/>
      <c r="IMZ118" s="418"/>
      <c r="INA118" s="418"/>
      <c r="INB118" s="418"/>
      <c r="INC118" s="418"/>
      <c r="IND118" s="418"/>
      <c r="INE118" s="418"/>
      <c r="INF118" s="418"/>
      <c r="ING118" s="418"/>
      <c r="INH118" s="418"/>
      <c r="INI118" s="418"/>
      <c r="INJ118" s="418"/>
      <c r="INK118" s="418"/>
      <c r="INL118" s="418"/>
      <c r="INM118" s="418"/>
      <c r="INN118" s="418"/>
      <c r="INO118" s="418"/>
      <c r="INP118" s="418"/>
      <c r="INQ118" s="418"/>
      <c r="INR118" s="418"/>
      <c r="INS118" s="418"/>
      <c r="INT118" s="418"/>
      <c r="INU118" s="418"/>
      <c r="INV118" s="418"/>
      <c r="INW118" s="418"/>
      <c r="INX118" s="418"/>
      <c r="INY118" s="418"/>
      <c r="INZ118" s="418"/>
      <c r="IOA118" s="418"/>
      <c r="IOB118" s="418"/>
      <c r="IOC118" s="418"/>
      <c r="IOD118" s="418"/>
      <c r="IOE118" s="418"/>
      <c r="IOF118" s="418"/>
      <c r="IOG118" s="418"/>
      <c r="IOH118" s="418"/>
      <c r="IOI118" s="418"/>
      <c r="IOJ118" s="418"/>
      <c r="IOK118" s="418"/>
      <c r="IOL118" s="418"/>
      <c r="IOM118" s="418"/>
      <c r="ION118" s="418"/>
      <c r="IOO118" s="418"/>
      <c r="IOP118" s="418"/>
      <c r="IOQ118" s="418"/>
      <c r="IOR118" s="418"/>
      <c r="IOS118" s="418"/>
      <c r="IOT118" s="418"/>
      <c r="IOU118" s="418"/>
      <c r="IOV118" s="418"/>
      <c r="IOW118" s="418"/>
      <c r="IOX118" s="418"/>
      <c r="IOY118" s="418"/>
      <c r="IOZ118" s="418"/>
      <c r="IPA118" s="418"/>
      <c r="IPB118" s="418"/>
      <c r="IPC118" s="418"/>
      <c r="IPD118" s="418"/>
      <c r="IPE118" s="418"/>
      <c r="IPF118" s="418"/>
      <c r="IPG118" s="418"/>
      <c r="IPH118" s="418"/>
      <c r="IPI118" s="418"/>
      <c r="IPJ118" s="418"/>
      <c r="IPK118" s="418"/>
      <c r="IPL118" s="418"/>
      <c r="IPM118" s="418"/>
      <c r="IPN118" s="418"/>
      <c r="IPO118" s="418"/>
      <c r="IPP118" s="418"/>
      <c r="IPQ118" s="418"/>
      <c r="IPR118" s="418"/>
      <c r="IPS118" s="418"/>
      <c r="IPT118" s="418"/>
      <c r="IPU118" s="418"/>
      <c r="IPV118" s="418"/>
      <c r="IPW118" s="418"/>
      <c r="IPX118" s="418"/>
      <c r="IPY118" s="418"/>
      <c r="IPZ118" s="418"/>
      <c r="IQA118" s="418"/>
      <c r="IQB118" s="418"/>
      <c r="IQC118" s="418"/>
      <c r="IQD118" s="418"/>
      <c r="IQE118" s="418"/>
      <c r="IQF118" s="418"/>
      <c r="IQG118" s="418"/>
      <c r="IQH118" s="418"/>
      <c r="IQI118" s="418"/>
      <c r="IQJ118" s="418"/>
      <c r="IQK118" s="418"/>
      <c r="IQL118" s="418"/>
      <c r="IQM118" s="418"/>
      <c r="IQN118" s="418"/>
      <c r="IQO118" s="418"/>
      <c r="IQP118" s="418"/>
      <c r="IQQ118" s="418"/>
      <c r="IQR118" s="418"/>
      <c r="IQS118" s="418"/>
      <c r="IQT118" s="418"/>
      <c r="IQU118" s="418"/>
      <c r="IQV118" s="418"/>
      <c r="IQW118" s="418"/>
      <c r="IQX118" s="418"/>
      <c r="IQY118" s="418"/>
      <c r="IQZ118" s="418"/>
      <c r="IRA118" s="418"/>
      <c r="IRB118" s="418"/>
      <c r="IRC118" s="418"/>
      <c r="IRD118" s="418"/>
      <c r="IRE118" s="418"/>
      <c r="IRF118" s="418"/>
      <c r="IRG118" s="418"/>
      <c r="IRH118" s="418"/>
      <c r="IRI118" s="418"/>
      <c r="IRJ118" s="418"/>
      <c r="IRK118" s="418"/>
      <c r="IRL118" s="418"/>
      <c r="IRM118" s="418"/>
      <c r="IRN118" s="418"/>
      <c r="IRO118" s="418"/>
      <c r="IRP118" s="418"/>
      <c r="IRQ118" s="418"/>
      <c r="IRR118" s="418"/>
      <c r="IRS118" s="418"/>
      <c r="IRT118" s="418"/>
      <c r="IRU118" s="418"/>
      <c r="IRV118" s="418"/>
      <c r="IRW118" s="418"/>
      <c r="IRX118" s="418"/>
      <c r="IRY118" s="418"/>
      <c r="IRZ118" s="418"/>
      <c r="ISA118" s="418"/>
      <c r="ISB118" s="418"/>
      <c r="ISC118" s="418"/>
      <c r="ISD118" s="418"/>
      <c r="ISE118" s="418"/>
      <c r="ISF118" s="418"/>
      <c r="ISG118" s="418"/>
      <c r="ISH118" s="418"/>
      <c r="ISI118" s="418"/>
      <c r="ISJ118" s="418"/>
      <c r="ISK118" s="418"/>
      <c r="ISL118" s="418"/>
      <c r="ISM118" s="418"/>
      <c r="ISN118" s="418"/>
      <c r="ISO118" s="418"/>
      <c r="ISP118" s="418"/>
      <c r="ISQ118" s="418"/>
      <c r="ISR118" s="418"/>
      <c r="ISS118" s="418"/>
      <c r="IST118" s="418"/>
      <c r="ISU118" s="418"/>
      <c r="ISV118" s="418"/>
      <c r="ISW118" s="418"/>
      <c r="ISX118" s="418"/>
      <c r="ISY118" s="418"/>
      <c r="ISZ118" s="418"/>
      <c r="ITA118" s="418"/>
      <c r="ITB118" s="418"/>
      <c r="ITC118" s="418"/>
      <c r="ITD118" s="418"/>
      <c r="ITE118" s="418"/>
      <c r="ITF118" s="418"/>
      <c r="ITG118" s="418"/>
      <c r="ITH118" s="418"/>
      <c r="ITI118" s="418"/>
      <c r="ITJ118" s="418"/>
      <c r="ITK118" s="418"/>
      <c r="ITL118" s="418"/>
      <c r="ITM118" s="418"/>
      <c r="ITN118" s="418"/>
      <c r="ITO118" s="418"/>
      <c r="ITP118" s="418"/>
      <c r="ITQ118" s="418"/>
      <c r="ITR118" s="418"/>
      <c r="ITS118" s="418"/>
      <c r="ITT118" s="418"/>
      <c r="ITU118" s="418"/>
      <c r="ITV118" s="418"/>
      <c r="ITW118" s="418"/>
      <c r="ITX118" s="418"/>
      <c r="ITY118" s="418"/>
      <c r="ITZ118" s="418"/>
      <c r="IUA118" s="418"/>
      <c r="IUB118" s="418"/>
      <c r="IUC118" s="418"/>
      <c r="IUD118" s="418"/>
      <c r="IUE118" s="418"/>
      <c r="IUF118" s="418"/>
      <c r="IUG118" s="418"/>
      <c r="IUH118" s="418"/>
      <c r="IUI118" s="418"/>
      <c r="IUJ118" s="418"/>
      <c r="IUK118" s="418"/>
      <c r="IUL118" s="418"/>
      <c r="IUM118" s="418"/>
      <c r="IUN118" s="418"/>
      <c r="IUO118" s="418"/>
      <c r="IUP118" s="418"/>
      <c r="IUQ118" s="418"/>
      <c r="IUR118" s="418"/>
      <c r="IUS118" s="418"/>
      <c r="IUT118" s="418"/>
      <c r="IUU118" s="418"/>
      <c r="IUV118" s="418"/>
      <c r="IUW118" s="418"/>
      <c r="IUX118" s="418"/>
      <c r="IUY118" s="418"/>
      <c r="IUZ118" s="418"/>
      <c r="IVA118" s="418"/>
      <c r="IVB118" s="418"/>
      <c r="IVC118" s="418"/>
      <c r="IVD118" s="418"/>
      <c r="IVE118" s="418"/>
      <c r="IVF118" s="418"/>
      <c r="IVG118" s="418"/>
      <c r="IVH118" s="418"/>
      <c r="IVI118" s="418"/>
      <c r="IVJ118" s="418"/>
      <c r="IVK118" s="418"/>
      <c r="IVL118" s="418"/>
      <c r="IVM118" s="418"/>
      <c r="IVN118" s="418"/>
      <c r="IVO118" s="418"/>
      <c r="IVP118" s="418"/>
      <c r="IVQ118" s="418"/>
      <c r="IVR118" s="418"/>
      <c r="IVS118" s="418"/>
      <c r="IVT118" s="418"/>
      <c r="IVU118" s="418"/>
      <c r="IVV118" s="418"/>
      <c r="IVW118" s="418"/>
      <c r="IVX118" s="418"/>
      <c r="IVY118" s="418"/>
      <c r="IVZ118" s="418"/>
      <c r="IWA118" s="418"/>
      <c r="IWB118" s="418"/>
      <c r="IWC118" s="418"/>
      <c r="IWD118" s="418"/>
      <c r="IWE118" s="418"/>
      <c r="IWF118" s="418"/>
      <c r="IWG118" s="418"/>
      <c r="IWH118" s="418"/>
      <c r="IWI118" s="418"/>
      <c r="IWJ118" s="418"/>
      <c r="IWK118" s="418"/>
      <c r="IWL118" s="418"/>
      <c r="IWM118" s="418"/>
      <c r="IWN118" s="418"/>
      <c r="IWO118" s="418"/>
      <c r="IWP118" s="418"/>
      <c r="IWQ118" s="418"/>
      <c r="IWR118" s="418"/>
      <c r="IWS118" s="418"/>
      <c r="IWT118" s="418"/>
      <c r="IWU118" s="418"/>
      <c r="IWV118" s="418"/>
      <c r="IWW118" s="418"/>
      <c r="IWX118" s="418"/>
      <c r="IWY118" s="418"/>
      <c r="IWZ118" s="418"/>
      <c r="IXA118" s="418"/>
      <c r="IXB118" s="418"/>
      <c r="IXC118" s="418"/>
      <c r="IXD118" s="418"/>
      <c r="IXE118" s="418"/>
      <c r="IXF118" s="418"/>
      <c r="IXG118" s="418"/>
      <c r="IXH118" s="418"/>
      <c r="IXI118" s="418"/>
      <c r="IXJ118" s="418"/>
      <c r="IXK118" s="418"/>
      <c r="IXL118" s="418"/>
      <c r="IXM118" s="418"/>
      <c r="IXN118" s="418"/>
      <c r="IXO118" s="418"/>
      <c r="IXP118" s="418"/>
      <c r="IXQ118" s="418"/>
      <c r="IXR118" s="418"/>
      <c r="IXS118" s="418"/>
      <c r="IXT118" s="418"/>
      <c r="IXU118" s="418"/>
      <c r="IXV118" s="418"/>
      <c r="IXW118" s="418"/>
      <c r="IXX118" s="418"/>
      <c r="IXY118" s="418"/>
      <c r="IXZ118" s="418"/>
      <c r="IYA118" s="418"/>
      <c r="IYB118" s="418"/>
      <c r="IYC118" s="418"/>
      <c r="IYD118" s="418"/>
      <c r="IYE118" s="418"/>
      <c r="IYF118" s="418"/>
      <c r="IYG118" s="418"/>
      <c r="IYH118" s="418"/>
      <c r="IYI118" s="418"/>
      <c r="IYJ118" s="418"/>
      <c r="IYK118" s="418"/>
      <c r="IYL118" s="418"/>
      <c r="IYM118" s="418"/>
      <c r="IYN118" s="418"/>
      <c r="IYO118" s="418"/>
      <c r="IYP118" s="418"/>
      <c r="IYQ118" s="418"/>
      <c r="IYR118" s="418"/>
      <c r="IYS118" s="418"/>
      <c r="IYT118" s="418"/>
      <c r="IYU118" s="418"/>
      <c r="IYV118" s="418"/>
      <c r="IYW118" s="418"/>
      <c r="IYX118" s="418"/>
      <c r="IYY118" s="418"/>
      <c r="IYZ118" s="418"/>
      <c r="IZA118" s="418"/>
      <c r="IZB118" s="418"/>
      <c r="IZC118" s="418"/>
      <c r="IZD118" s="418"/>
      <c r="IZE118" s="418"/>
      <c r="IZF118" s="418"/>
      <c r="IZG118" s="418"/>
      <c r="IZH118" s="418"/>
      <c r="IZI118" s="418"/>
      <c r="IZJ118" s="418"/>
      <c r="IZK118" s="418"/>
      <c r="IZL118" s="418"/>
      <c r="IZM118" s="418"/>
      <c r="IZN118" s="418"/>
      <c r="IZO118" s="418"/>
      <c r="IZP118" s="418"/>
      <c r="IZQ118" s="418"/>
      <c r="IZR118" s="418"/>
      <c r="IZS118" s="418"/>
      <c r="IZT118" s="418"/>
      <c r="IZU118" s="418"/>
      <c r="IZV118" s="418"/>
      <c r="IZW118" s="418"/>
      <c r="IZX118" s="418"/>
      <c r="IZY118" s="418"/>
      <c r="IZZ118" s="418"/>
      <c r="JAA118" s="418"/>
      <c r="JAB118" s="418"/>
      <c r="JAC118" s="418"/>
      <c r="JAD118" s="418"/>
      <c r="JAE118" s="418"/>
      <c r="JAF118" s="418"/>
      <c r="JAG118" s="418"/>
      <c r="JAH118" s="418"/>
      <c r="JAI118" s="418"/>
      <c r="JAJ118" s="418"/>
      <c r="JAK118" s="418"/>
      <c r="JAL118" s="418"/>
      <c r="JAM118" s="418"/>
      <c r="JAN118" s="418"/>
      <c r="JAO118" s="418"/>
      <c r="JAP118" s="418"/>
      <c r="JAQ118" s="418"/>
      <c r="JAR118" s="418"/>
      <c r="JAS118" s="418"/>
      <c r="JAT118" s="418"/>
      <c r="JAU118" s="418"/>
      <c r="JAV118" s="418"/>
      <c r="JAW118" s="418"/>
      <c r="JAX118" s="418"/>
      <c r="JAY118" s="418"/>
      <c r="JAZ118" s="418"/>
      <c r="JBA118" s="418"/>
      <c r="JBB118" s="418"/>
      <c r="JBC118" s="418"/>
      <c r="JBD118" s="418"/>
      <c r="JBE118" s="418"/>
      <c r="JBF118" s="418"/>
      <c r="JBG118" s="418"/>
      <c r="JBH118" s="418"/>
      <c r="JBI118" s="418"/>
      <c r="JBJ118" s="418"/>
      <c r="JBK118" s="418"/>
      <c r="JBL118" s="418"/>
      <c r="JBM118" s="418"/>
      <c r="JBN118" s="418"/>
      <c r="JBO118" s="418"/>
      <c r="JBP118" s="418"/>
      <c r="JBQ118" s="418"/>
      <c r="JBR118" s="418"/>
      <c r="JBS118" s="418"/>
      <c r="JBT118" s="418"/>
      <c r="JBU118" s="418"/>
      <c r="JBV118" s="418"/>
      <c r="JBW118" s="418"/>
      <c r="JBX118" s="418"/>
      <c r="JBY118" s="418"/>
      <c r="JBZ118" s="418"/>
      <c r="JCA118" s="418"/>
      <c r="JCB118" s="418"/>
      <c r="JCC118" s="418"/>
      <c r="JCD118" s="418"/>
      <c r="JCE118" s="418"/>
      <c r="JCF118" s="418"/>
      <c r="JCG118" s="418"/>
      <c r="JCH118" s="418"/>
      <c r="JCI118" s="418"/>
      <c r="JCJ118" s="418"/>
      <c r="JCK118" s="418"/>
      <c r="JCL118" s="418"/>
      <c r="JCM118" s="418"/>
      <c r="JCN118" s="418"/>
      <c r="JCO118" s="418"/>
      <c r="JCP118" s="418"/>
      <c r="JCQ118" s="418"/>
      <c r="JCR118" s="418"/>
      <c r="JCS118" s="418"/>
      <c r="JCT118" s="418"/>
      <c r="JCU118" s="418"/>
      <c r="JCV118" s="418"/>
      <c r="JCW118" s="418"/>
      <c r="JCX118" s="418"/>
      <c r="JCY118" s="418"/>
      <c r="JCZ118" s="418"/>
      <c r="JDA118" s="418"/>
      <c r="JDB118" s="418"/>
      <c r="JDC118" s="418"/>
      <c r="JDD118" s="418"/>
      <c r="JDE118" s="418"/>
      <c r="JDF118" s="418"/>
      <c r="JDG118" s="418"/>
      <c r="JDH118" s="418"/>
      <c r="JDI118" s="418"/>
      <c r="JDJ118" s="418"/>
      <c r="JDK118" s="418"/>
      <c r="JDL118" s="418"/>
      <c r="JDM118" s="418"/>
      <c r="JDN118" s="418"/>
      <c r="JDO118" s="418"/>
      <c r="JDP118" s="418"/>
      <c r="JDQ118" s="418"/>
      <c r="JDR118" s="418"/>
      <c r="JDS118" s="418"/>
      <c r="JDT118" s="418"/>
      <c r="JDU118" s="418"/>
      <c r="JDV118" s="418"/>
      <c r="JDW118" s="418"/>
      <c r="JDX118" s="418"/>
      <c r="JDY118" s="418"/>
      <c r="JDZ118" s="418"/>
      <c r="JEA118" s="418"/>
      <c r="JEB118" s="418"/>
      <c r="JEC118" s="418"/>
      <c r="JED118" s="418"/>
      <c r="JEE118" s="418"/>
      <c r="JEF118" s="418"/>
      <c r="JEG118" s="418"/>
      <c r="JEH118" s="418"/>
      <c r="JEI118" s="418"/>
      <c r="JEJ118" s="418"/>
      <c r="JEK118" s="418"/>
      <c r="JEL118" s="418"/>
      <c r="JEM118" s="418"/>
      <c r="JEN118" s="418"/>
      <c r="JEO118" s="418"/>
      <c r="JEP118" s="418"/>
      <c r="JEQ118" s="418"/>
      <c r="JER118" s="418"/>
      <c r="JES118" s="418"/>
      <c r="JET118" s="418"/>
      <c r="JEU118" s="418"/>
      <c r="JEV118" s="418"/>
      <c r="JEW118" s="418"/>
      <c r="JEX118" s="418"/>
      <c r="JEY118" s="418"/>
      <c r="JEZ118" s="418"/>
      <c r="JFA118" s="418"/>
      <c r="JFB118" s="418"/>
      <c r="JFC118" s="418"/>
      <c r="JFD118" s="418"/>
      <c r="JFE118" s="418"/>
      <c r="JFF118" s="418"/>
      <c r="JFG118" s="418"/>
      <c r="JFH118" s="418"/>
      <c r="JFI118" s="418"/>
      <c r="JFJ118" s="418"/>
      <c r="JFK118" s="418"/>
      <c r="JFL118" s="418"/>
      <c r="JFM118" s="418"/>
      <c r="JFN118" s="418"/>
      <c r="JFO118" s="418"/>
      <c r="JFP118" s="418"/>
      <c r="JFQ118" s="418"/>
      <c r="JFR118" s="418"/>
      <c r="JFS118" s="418"/>
      <c r="JFT118" s="418"/>
      <c r="JFU118" s="418"/>
      <c r="JFV118" s="418"/>
      <c r="JFW118" s="418"/>
      <c r="JFX118" s="418"/>
      <c r="JFY118" s="418"/>
      <c r="JFZ118" s="418"/>
      <c r="JGA118" s="418"/>
      <c r="JGB118" s="418"/>
      <c r="JGC118" s="418"/>
      <c r="JGD118" s="418"/>
      <c r="JGE118" s="418"/>
      <c r="JGF118" s="418"/>
      <c r="JGG118" s="418"/>
      <c r="JGH118" s="418"/>
      <c r="JGI118" s="418"/>
      <c r="JGJ118" s="418"/>
      <c r="JGK118" s="418"/>
      <c r="JGL118" s="418"/>
      <c r="JGM118" s="418"/>
      <c r="JGN118" s="418"/>
      <c r="JGO118" s="418"/>
      <c r="JGP118" s="418"/>
      <c r="JGQ118" s="418"/>
      <c r="JGR118" s="418"/>
      <c r="JGS118" s="418"/>
      <c r="JGT118" s="418"/>
      <c r="JGU118" s="418"/>
      <c r="JGV118" s="418"/>
      <c r="JGW118" s="418"/>
      <c r="JGX118" s="418"/>
      <c r="JGY118" s="418"/>
      <c r="JGZ118" s="418"/>
      <c r="JHA118" s="418"/>
      <c r="JHB118" s="418"/>
      <c r="JHC118" s="418"/>
      <c r="JHD118" s="418"/>
      <c r="JHE118" s="418"/>
      <c r="JHF118" s="418"/>
      <c r="JHG118" s="418"/>
      <c r="JHH118" s="418"/>
      <c r="JHI118" s="418"/>
      <c r="JHJ118" s="418"/>
      <c r="JHK118" s="418"/>
      <c r="JHL118" s="418"/>
      <c r="JHM118" s="418"/>
      <c r="JHN118" s="418"/>
      <c r="JHO118" s="418"/>
      <c r="JHP118" s="418"/>
      <c r="JHQ118" s="418"/>
      <c r="JHR118" s="418"/>
      <c r="JHS118" s="418"/>
      <c r="JHT118" s="418"/>
      <c r="JHU118" s="418"/>
      <c r="JHV118" s="418"/>
      <c r="JHW118" s="418"/>
      <c r="JHX118" s="418"/>
      <c r="JHY118" s="418"/>
      <c r="JHZ118" s="418"/>
      <c r="JIA118" s="418"/>
      <c r="JIB118" s="418"/>
      <c r="JIC118" s="418"/>
      <c r="JID118" s="418"/>
      <c r="JIE118" s="418"/>
      <c r="JIF118" s="418"/>
      <c r="JIG118" s="418"/>
      <c r="JIH118" s="418"/>
      <c r="JII118" s="418"/>
      <c r="JIJ118" s="418"/>
      <c r="JIK118" s="418"/>
      <c r="JIL118" s="418"/>
      <c r="JIM118" s="418"/>
      <c r="JIN118" s="418"/>
      <c r="JIO118" s="418"/>
      <c r="JIP118" s="418"/>
      <c r="JIQ118" s="418"/>
      <c r="JIR118" s="418"/>
      <c r="JIS118" s="418"/>
      <c r="JIT118" s="418"/>
      <c r="JIU118" s="418"/>
      <c r="JIV118" s="418"/>
      <c r="JIW118" s="418"/>
      <c r="JIX118" s="418"/>
      <c r="JIY118" s="418"/>
      <c r="JIZ118" s="418"/>
      <c r="JJA118" s="418"/>
      <c r="JJB118" s="418"/>
      <c r="JJC118" s="418"/>
      <c r="JJD118" s="418"/>
      <c r="JJE118" s="418"/>
      <c r="JJF118" s="418"/>
      <c r="JJG118" s="418"/>
      <c r="JJH118" s="418"/>
      <c r="JJI118" s="418"/>
      <c r="JJJ118" s="418"/>
      <c r="JJK118" s="418"/>
      <c r="JJL118" s="418"/>
      <c r="JJM118" s="418"/>
      <c r="JJN118" s="418"/>
      <c r="JJO118" s="418"/>
      <c r="JJP118" s="418"/>
      <c r="JJQ118" s="418"/>
      <c r="JJR118" s="418"/>
      <c r="JJS118" s="418"/>
      <c r="JJT118" s="418"/>
      <c r="JJU118" s="418"/>
      <c r="JJV118" s="418"/>
      <c r="JJW118" s="418"/>
      <c r="JJX118" s="418"/>
      <c r="JJY118" s="418"/>
      <c r="JJZ118" s="418"/>
      <c r="JKA118" s="418"/>
      <c r="JKB118" s="418"/>
      <c r="JKC118" s="418"/>
      <c r="JKD118" s="418"/>
      <c r="JKE118" s="418"/>
      <c r="JKF118" s="418"/>
      <c r="JKG118" s="418"/>
      <c r="JKH118" s="418"/>
      <c r="JKI118" s="418"/>
      <c r="JKJ118" s="418"/>
      <c r="JKK118" s="418"/>
      <c r="JKL118" s="418"/>
      <c r="JKM118" s="418"/>
      <c r="JKN118" s="418"/>
      <c r="JKO118" s="418"/>
      <c r="JKP118" s="418"/>
      <c r="JKQ118" s="418"/>
      <c r="JKR118" s="418"/>
      <c r="JKS118" s="418"/>
      <c r="JKT118" s="418"/>
      <c r="JKU118" s="418"/>
      <c r="JKV118" s="418"/>
      <c r="JKW118" s="418"/>
      <c r="JKX118" s="418"/>
      <c r="JKY118" s="418"/>
      <c r="JKZ118" s="418"/>
      <c r="JLA118" s="418"/>
      <c r="JLB118" s="418"/>
      <c r="JLC118" s="418"/>
      <c r="JLD118" s="418"/>
      <c r="JLE118" s="418"/>
      <c r="JLF118" s="418"/>
      <c r="JLG118" s="418"/>
      <c r="JLH118" s="418"/>
      <c r="JLI118" s="418"/>
      <c r="JLJ118" s="418"/>
      <c r="JLK118" s="418"/>
      <c r="JLL118" s="418"/>
      <c r="JLM118" s="418"/>
      <c r="JLN118" s="418"/>
      <c r="JLO118" s="418"/>
      <c r="JLP118" s="418"/>
      <c r="JLQ118" s="418"/>
      <c r="JLR118" s="418"/>
      <c r="JLS118" s="418"/>
      <c r="JLT118" s="418"/>
      <c r="JLU118" s="418"/>
      <c r="JLV118" s="418"/>
      <c r="JLW118" s="418"/>
      <c r="JLX118" s="418"/>
      <c r="JLY118" s="418"/>
      <c r="JLZ118" s="418"/>
      <c r="JMA118" s="418"/>
      <c r="JMB118" s="418"/>
      <c r="JMC118" s="418"/>
      <c r="JMD118" s="418"/>
      <c r="JME118" s="418"/>
      <c r="JMF118" s="418"/>
      <c r="JMG118" s="418"/>
      <c r="JMH118" s="418"/>
      <c r="JMI118" s="418"/>
      <c r="JMJ118" s="418"/>
      <c r="JMK118" s="418"/>
      <c r="JML118" s="418"/>
      <c r="JMM118" s="418"/>
      <c r="JMN118" s="418"/>
      <c r="JMO118" s="418"/>
      <c r="JMP118" s="418"/>
      <c r="JMQ118" s="418"/>
      <c r="JMR118" s="418"/>
      <c r="JMS118" s="418"/>
      <c r="JMT118" s="418"/>
      <c r="JMU118" s="418"/>
      <c r="JMV118" s="418"/>
      <c r="JMW118" s="418"/>
      <c r="JMX118" s="418"/>
      <c r="JMY118" s="418"/>
      <c r="JMZ118" s="418"/>
      <c r="JNA118" s="418"/>
      <c r="JNB118" s="418"/>
      <c r="JNC118" s="418"/>
      <c r="JND118" s="418"/>
      <c r="JNE118" s="418"/>
      <c r="JNF118" s="418"/>
      <c r="JNG118" s="418"/>
      <c r="JNH118" s="418"/>
      <c r="JNI118" s="418"/>
      <c r="JNJ118" s="418"/>
      <c r="JNK118" s="418"/>
      <c r="JNL118" s="418"/>
      <c r="JNM118" s="418"/>
      <c r="JNN118" s="418"/>
      <c r="JNO118" s="418"/>
      <c r="JNP118" s="418"/>
      <c r="JNQ118" s="418"/>
      <c r="JNR118" s="418"/>
      <c r="JNS118" s="418"/>
      <c r="JNT118" s="418"/>
      <c r="JNU118" s="418"/>
      <c r="JNV118" s="418"/>
      <c r="JNW118" s="418"/>
      <c r="JNX118" s="418"/>
      <c r="JNY118" s="418"/>
      <c r="JNZ118" s="418"/>
      <c r="JOA118" s="418"/>
      <c r="JOB118" s="418"/>
      <c r="JOC118" s="418"/>
      <c r="JOD118" s="418"/>
      <c r="JOE118" s="418"/>
      <c r="JOF118" s="418"/>
      <c r="JOG118" s="418"/>
      <c r="JOH118" s="418"/>
      <c r="JOI118" s="418"/>
      <c r="JOJ118" s="418"/>
      <c r="JOK118" s="418"/>
      <c r="JOL118" s="418"/>
      <c r="JOM118" s="418"/>
      <c r="JON118" s="418"/>
      <c r="JOO118" s="418"/>
      <c r="JOP118" s="418"/>
      <c r="JOQ118" s="418"/>
      <c r="JOR118" s="418"/>
      <c r="JOS118" s="418"/>
      <c r="JOT118" s="418"/>
      <c r="JOU118" s="418"/>
      <c r="JOV118" s="418"/>
      <c r="JOW118" s="418"/>
      <c r="JOX118" s="418"/>
      <c r="JOY118" s="418"/>
      <c r="JOZ118" s="418"/>
      <c r="JPA118" s="418"/>
      <c r="JPB118" s="418"/>
      <c r="JPC118" s="418"/>
      <c r="JPD118" s="418"/>
      <c r="JPE118" s="418"/>
      <c r="JPF118" s="418"/>
      <c r="JPG118" s="418"/>
      <c r="JPH118" s="418"/>
      <c r="JPI118" s="418"/>
      <c r="JPJ118" s="418"/>
      <c r="JPK118" s="418"/>
      <c r="JPL118" s="418"/>
      <c r="JPM118" s="418"/>
      <c r="JPN118" s="418"/>
      <c r="JPO118" s="418"/>
      <c r="JPP118" s="418"/>
      <c r="JPQ118" s="418"/>
      <c r="JPR118" s="418"/>
      <c r="JPS118" s="418"/>
      <c r="JPT118" s="418"/>
      <c r="JPU118" s="418"/>
      <c r="JPV118" s="418"/>
      <c r="JPW118" s="418"/>
      <c r="JPX118" s="418"/>
      <c r="JPY118" s="418"/>
      <c r="JPZ118" s="418"/>
      <c r="JQA118" s="418"/>
      <c r="JQB118" s="418"/>
      <c r="JQC118" s="418"/>
      <c r="JQD118" s="418"/>
      <c r="JQE118" s="418"/>
      <c r="JQF118" s="418"/>
      <c r="JQG118" s="418"/>
      <c r="JQH118" s="418"/>
      <c r="JQI118" s="418"/>
      <c r="JQJ118" s="418"/>
      <c r="JQK118" s="418"/>
      <c r="JQL118" s="418"/>
      <c r="JQM118" s="418"/>
      <c r="JQN118" s="418"/>
      <c r="JQO118" s="418"/>
      <c r="JQP118" s="418"/>
      <c r="JQQ118" s="418"/>
      <c r="JQR118" s="418"/>
      <c r="JQS118" s="418"/>
      <c r="JQT118" s="418"/>
      <c r="JQU118" s="418"/>
      <c r="JQV118" s="418"/>
      <c r="JQW118" s="418"/>
      <c r="JQX118" s="418"/>
      <c r="JQY118" s="418"/>
      <c r="JQZ118" s="418"/>
      <c r="JRA118" s="418"/>
      <c r="JRB118" s="418"/>
      <c r="JRC118" s="418"/>
      <c r="JRD118" s="418"/>
      <c r="JRE118" s="418"/>
      <c r="JRF118" s="418"/>
      <c r="JRG118" s="418"/>
      <c r="JRH118" s="418"/>
      <c r="JRI118" s="418"/>
      <c r="JRJ118" s="418"/>
      <c r="JRK118" s="418"/>
      <c r="JRL118" s="418"/>
      <c r="JRM118" s="418"/>
      <c r="JRN118" s="418"/>
      <c r="JRO118" s="418"/>
      <c r="JRP118" s="418"/>
      <c r="JRQ118" s="418"/>
      <c r="JRR118" s="418"/>
      <c r="JRS118" s="418"/>
      <c r="JRT118" s="418"/>
      <c r="JRU118" s="418"/>
      <c r="JRV118" s="418"/>
      <c r="JRW118" s="418"/>
      <c r="JRX118" s="418"/>
      <c r="JRY118" s="418"/>
      <c r="JRZ118" s="418"/>
      <c r="JSA118" s="418"/>
      <c r="JSB118" s="418"/>
      <c r="JSC118" s="418"/>
      <c r="JSD118" s="418"/>
      <c r="JSE118" s="418"/>
      <c r="JSF118" s="418"/>
      <c r="JSG118" s="418"/>
      <c r="JSH118" s="418"/>
      <c r="JSI118" s="418"/>
      <c r="JSJ118" s="418"/>
      <c r="JSK118" s="418"/>
      <c r="JSL118" s="418"/>
      <c r="JSM118" s="418"/>
      <c r="JSN118" s="418"/>
      <c r="JSO118" s="418"/>
      <c r="JSP118" s="418"/>
      <c r="JSQ118" s="418"/>
      <c r="JSR118" s="418"/>
      <c r="JSS118" s="418"/>
      <c r="JST118" s="418"/>
      <c r="JSU118" s="418"/>
      <c r="JSV118" s="418"/>
      <c r="JSW118" s="418"/>
      <c r="JSX118" s="418"/>
      <c r="JSY118" s="418"/>
      <c r="JSZ118" s="418"/>
      <c r="JTA118" s="418"/>
      <c r="JTB118" s="418"/>
      <c r="JTC118" s="418"/>
      <c r="JTD118" s="418"/>
      <c r="JTE118" s="418"/>
      <c r="JTF118" s="418"/>
      <c r="JTG118" s="418"/>
      <c r="JTH118" s="418"/>
      <c r="JTI118" s="418"/>
      <c r="JTJ118" s="418"/>
      <c r="JTK118" s="418"/>
      <c r="JTL118" s="418"/>
      <c r="JTM118" s="418"/>
      <c r="JTN118" s="418"/>
      <c r="JTO118" s="418"/>
      <c r="JTP118" s="418"/>
      <c r="JTQ118" s="418"/>
      <c r="JTR118" s="418"/>
      <c r="JTS118" s="418"/>
      <c r="JTT118" s="418"/>
      <c r="JTU118" s="418"/>
      <c r="JTV118" s="418"/>
      <c r="JTW118" s="418"/>
      <c r="JTX118" s="418"/>
      <c r="JTY118" s="418"/>
      <c r="JTZ118" s="418"/>
      <c r="JUA118" s="418"/>
      <c r="JUB118" s="418"/>
      <c r="JUC118" s="418"/>
      <c r="JUD118" s="418"/>
      <c r="JUE118" s="418"/>
      <c r="JUF118" s="418"/>
      <c r="JUG118" s="418"/>
      <c r="JUH118" s="418"/>
      <c r="JUI118" s="418"/>
      <c r="JUJ118" s="418"/>
      <c r="JUK118" s="418"/>
      <c r="JUL118" s="418"/>
      <c r="JUM118" s="418"/>
      <c r="JUN118" s="418"/>
      <c r="JUO118" s="418"/>
      <c r="JUP118" s="418"/>
      <c r="JUQ118" s="418"/>
      <c r="JUR118" s="418"/>
      <c r="JUS118" s="418"/>
      <c r="JUT118" s="418"/>
      <c r="JUU118" s="418"/>
      <c r="JUV118" s="418"/>
      <c r="JUW118" s="418"/>
      <c r="JUX118" s="418"/>
      <c r="JUY118" s="418"/>
      <c r="JUZ118" s="418"/>
      <c r="JVA118" s="418"/>
      <c r="JVB118" s="418"/>
      <c r="JVC118" s="418"/>
      <c r="JVD118" s="418"/>
      <c r="JVE118" s="418"/>
      <c r="JVF118" s="418"/>
      <c r="JVG118" s="418"/>
      <c r="JVH118" s="418"/>
      <c r="JVI118" s="418"/>
      <c r="JVJ118" s="418"/>
      <c r="JVK118" s="418"/>
      <c r="JVL118" s="418"/>
      <c r="JVM118" s="418"/>
      <c r="JVN118" s="418"/>
      <c r="JVO118" s="418"/>
      <c r="JVP118" s="418"/>
      <c r="JVQ118" s="418"/>
      <c r="JVR118" s="418"/>
      <c r="JVS118" s="418"/>
      <c r="JVT118" s="418"/>
      <c r="JVU118" s="418"/>
      <c r="JVV118" s="418"/>
      <c r="JVW118" s="418"/>
      <c r="JVX118" s="418"/>
      <c r="JVY118" s="418"/>
      <c r="JVZ118" s="418"/>
      <c r="JWA118" s="418"/>
      <c r="JWB118" s="418"/>
      <c r="JWC118" s="418"/>
      <c r="JWD118" s="418"/>
      <c r="JWE118" s="418"/>
      <c r="JWF118" s="418"/>
      <c r="JWG118" s="418"/>
      <c r="JWH118" s="418"/>
      <c r="JWI118" s="418"/>
      <c r="JWJ118" s="418"/>
      <c r="JWK118" s="418"/>
      <c r="JWL118" s="418"/>
      <c r="JWM118" s="418"/>
      <c r="JWN118" s="418"/>
      <c r="JWO118" s="418"/>
      <c r="JWP118" s="418"/>
      <c r="JWQ118" s="418"/>
      <c r="JWR118" s="418"/>
      <c r="JWS118" s="418"/>
      <c r="JWT118" s="418"/>
      <c r="JWU118" s="418"/>
      <c r="JWV118" s="418"/>
      <c r="JWW118" s="418"/>
      <c r="JWX118" s="418"/>
      <c r="JWY118" s="418"/>
      <c r="JWZ118" s="418"/>
      <c r="JXA118" s="418"/>
      <c r="JXB118" s="418"/>
      <c r="JXC118" s="418"/>
      <c r="JXD118" s="418"/>
      <c r="JXE118" s="418"/>
      <c r="JXF118" s="418"/>
      <c r="JXG118" s="418"/>
      <c r="JXH118" s="418"/>
      <c r="JXI118" s="418"/>
      <c r="JXJ118" s="418"/>
      <c r="JXK118" s="418"/>
      <c r="JXL118" s="418"/>
      <c r="JXM118" s="418"/>
      <c r="JXN118" s="418"/>
      <c r="JXO118" s="418"/>
      <c r="JXP118" s="418"/>
      <c r="JXQ118" s="418"/>
      <c r="JXR118" s="418"/>
      <c r="JXS118" s="418"/>
      <c r="JXT118" s="418"/>
      <c r="JXU118" s="418"/>
      <c r="JXV118" s="418"/>
      <c r="JXW118" s="418"/>
      <c r="JXX118" s="418"/>
      <c r="JXY118" s="418"/>
      <c r="JXZ118" s="418"/>
      <c r="JYA118" s="418"/>
      <c r="JYB118" s="418"/>
      <c r="JYC118" s="418"/>
      <c r="JYD118" s="418"/>
      <c r="JYE118" s="418"/>
      <c r="JYF118" s="418"/>
      <c r="JYG118" s="418"/>
      <c r="JYH118" s="418"/>
      <c r="JYI118" s="418"/>
      <c r="JYJ118" s="418"/>
      <c r="JYK118" s="418"/>
      <c r="JYL118" s="418"/>
      <c r="JYM118" s="418"/>
      <c r="JYN118" s="418"/>
      <c r="JYO118" s="418"/>
      <c r="JYP118" s="418"/>
      <c r="JYQ118" s="418"/>
      <c r="JYR118" s="418"/>
      <c r="JYS118" s="418"/>
      <c r="JYT118" s="418"/>
      <c r="JYU118" s="418"/>
      <c r="JYV118" s="418"/>
      <c r="JYW118" s="418"/>
      <c r="JYX118" s="418"/>
      <c r="JYY118" s="418"/>
      <c r="JYZ118" s="418"/>
      <c r="JZA118" s="418"/>
      <c r="JZB118" s="418"/>
      <c r="JZC118" s="418"/>
      <c r="JZD118" s="418"/>
      <c r="JZE118" s="418"/>
      <c r="JZF118" s="418"/>
      <c r="JZG118" s="418"/>
      <c r="JZH118" s="418"/>
      <c r="JZI118" s="418"/>
      <c r="JZJ118" s="418"/>
      <c r="JZK118" s="418"/>
      <c r="JZL118" s="418"/>
      <c r="JZM118" s="418"/>
      <c r="JZN118" s="418"/>
      <c r="JZO118" s="418"/>
      <c r="JZP118" s="418"/>
      <c r="JZQ118" s="418"/>
      <c r="JZR118" s="418"/>
      <c r="JZS118" s="418"/>
      <c r="JZT118" s="418"/>
      <c r="JZU118" s="418"/>
      <c r="JZV118" s="418"/>
      <c r="JZW118" s="418"/>
      <c r="JZX118" s="418"/>
      <c r="JZY118" s="418"/>
      <c r="JZZ118" s="418"/>
      <c r="KAA118" s="418"/>
      <c r="KAB118" s="418"/>
      <c r="KAC118" s="418"/>
      <c r="KAD118" s="418"/>
      <c r="KAE118" s="418"/>
      <c r="KAF118" s="418"/>
      <c r="KAG118" s="418"/>
      <c r="KAH118" s="418"/>
      <c r="KAI118" s="418"/>
      <c r="KAJ118" s="418"/>
      <c r="KAK118" s="418"/>
      <c r="KAL118" s="418"/>
      <c r="KAM118" s="418"/>
      <c r="KAN118" s="418"/>
      <c r="KAO118" s="418"/>
      <c r="KAP118" s="418"/>
      <c r="KAQ118" s="418"/>
      <c r="KAR118" s="418"/>
      <c r="KAS118" s="418"/>
      <c r="KAT118" s="418"/>
      <c r="KAU118" s="418"/>
      <c r="KAV118" s="418"/>
      <c r="KAW118" s="418"/>
      <c r="KAX118" s="418"/>
      <c r="KAY118" s="418"/>
      <c r="KAZ118" s="418"/>
      <c r="KBA118" s="418"/>
      <c r="KBB118" s="418"/>
      <c r="KBC118" s="418"/>
      <c r="KBD118" s="418"/>
      <c r="KBE118" s="418"/>
      <c r="KBF118" s="418"/>
      <c r="KBG118" s="418"/>
      <c r="KBH118" s="418"/>
      <c r="KBI118" s="418"/>
      <c r="KBJ118" s="418"/>
      <c r="KBK118" s="418"/>
      <c r="KBL118" s="418"/>
      <c r="KBM118" s="418"/>
      <c r="KBN118" s="418"/>
      <c r="KBO118" s="418"/>
      <c r="KBP118" s="418"/>
      <c r="KBQ118" s="418"/>
      <c r="KBR118" s="418"/>
      <c r="KBS118" s="418"/>
      <c r="KBT118" s="418"/>
      <c r="KBU118" s="418"/>
      <c r="KBV118" s="418"/>
      <c r="KBW118" s="418"/>
      <c r="KBX118" s="418"/>
      <c r="KBY118" s="418"/>
      <c r="KBZ118" s="418"/>
      <c r="KCA118" s="418"/>
      <c r="KCB118" s="418"/>
      <c r="KCC118" s="418"/>
      <c r="KCD118" s="418"/>
      <c r="KCE118" s="418"/>
      <c r="KCF118" s="418"/>
      <c r="KCG118" s="418"/>
      <c r="KCH118" s="418"/>
      <c r="KCI118" s="418"/>
      <c r="KCJ118" s="418"/>
      <c r="KCK118" s="418"/>
      <c r="KCL118" s="418"/>
      <c r="KCM118" s="418"/>
      <c r="KCN118" s="418"/>
      <c r="KCO118" s="418"/>
      <c r="KCP118" s="418"/>
      <c r="KCQ118" s="418"/>
      <c r="KCR118" s="418"/>
      <c r="KCS118" s="418"/>
      <c r="KCT118" s="418"/>
      <c r="KCU118" s="418"/>
      <c r="KCV118" s="418"/>
      <c r="KCW118" s="418"/>
      <c r="KCX118" s="418"/>
      <c r="KCY118" s="418"/>
      <c r="KCZ118" s="418"/>
      <c r="KDA118" s="418"/>
      <c r="KDB118" s="418"/>
      <c r="KDC118" s="418"/>
      <c r="KDD118" s="418"/>
      <c r="KDE118" s="418"/>
      <c r="KDF118" s="418"/>
      <c r="KDG118" s="418"/>
      <c r="KDH118" s="418"/>
      <c r="KDI118" s="418"/>
      <c r="KDJ118" s="418"/>
      <c r="KDK118" s="418"/>
      <c r="KDL118" s="418"/>
      <c r="KDM118" s="418"/>
      <c r="KDN118" s="418"/>
      <c r="KDO118" s="418"/>
      <c r="KDP118" s="418"/>
      <c r="KDQ118" s="418"/>
      <c r="KDR118" s="418"/>
      <c r="KDS118" s="418"/>
      <c r="KDT118" s="418"/>
      <c r="KDU118" s="418"/>
      <c r="KDV118" s="418"/>
      <c r="KDW118" s="418"/>
      <c r="KDX118" s="418"/>
      <c r="KDY118" s="418"/>
      <c r="KDZ118" s="418"/>
      <c r="KEA118" s="418"/>
      <c r="KEB118" s="418"/>
      <c r="KEC118" s="418"/>
      <c r="KED118" s="418"/>
      <c r="KEE118" s="418"/>
      <c r="KEF118" s="418"/>
      <c r="KEG118" s="418"/>
      <c r="KEH118" s="418"/>
      <c r="KEI118" s="418"/>
      <c r="KEJ118" s="418"/>
      <c r="KEK118" s="418"/>
      <c r="KEL118" s="418"/>
      <c r="KEM118" s="418"/>
      <c r="KEN118" s="418"/>
      <c r="KEO118" s="418"/>
      <c r="KEP118" s="418"/>
      <c r="KEQ118" s="418"/>
      <c r="KER118" s="418"/>
      <c r="KES118" s="418"/>
      <c r="KET118" s="418"/>
      <c r="KEU118" s="418"/>
      <c r="KEV118" s="418"/>
      <c r="KEW118" s="418"/>
      <c r="KEX118" s="418"/>
      <c r="KEY118" s="418"/>
      <c r="KEZ118" s="418"/>
      <c r="KFA118" s="418"/>
      <c r="KFB118" s="418"/>
      <c r="KFC118" s="418"/>
      <c r="KFD118" s="418"/>
      <c r="KFE118" s="418"/>
      <c r="KFF118" s="418"/>
      <c r="KFG118" s="418"/>
      <c r="KFH118" s="418"/>
      <c r="KFI118" s="418"/>
      <c r="KFJ118" s="418"/>
      <c r="KFK118" s="418"/>
      <c r="KFL118" s="418"/>
      <c r="KFM118" s="418"/>
      <c r="KFN118" s="418"/>
      <c r="KFO118" s="418"/>
      <c r="KFP118" s="418"/>
      <c r="KFQ118" s="418"/>
      <c r="KFR118" s="418"/>
      <c r="KFS118" s="418"/>
      <c r="KFT118" s="418"/>
      <c r="KFU118" s="418"/>
      <c r="KFV118" s="418"/>
      <c r="KFW118" s="418"/>
      <c r="KFX118" s="418"/>
      <c r="KFY118" s="418"/>
      <c r="KFZ118" s="418"/>
      <c r="KGA118" s="418"/>
      <c r="KGB118" s="418"/>
      <c r="KGC118" s="418"/>
      <c r="KGD118" s="418"/>
      <c r="KGE118" s="418"/>
      <c r="KGF118" s="418"/>
      <c r="KGG118" s="418"/>
      <c r="KGH118" s="418"/>
      <c r="KGI118" s="418"/>
      <c r="KGJ118" s="418"/>
      <c r="KGK118" s="418"/>
      <c r="KGL118" s="418"/>
      <c r="KGM118" s="418"/>
      <c r="KGN118" s="418"/>
      <c r="KGO118" s="418"/>
      <c r="KGP118" s="418"/>
      <c r="KGQ118" s="418"/>
      <c r="KGR118" s="418"/>
      <c r="KGS118" s="418"/>
      <c r="KGT118" s="418"/>
      <c r="KGU118" s="418"/>
      <c r="KGV118" s="418"/>
      <c r="KGW118" s="418"/>
      <c r="KGX118" s="418"/>
      <c r="KGY118" s="418"/>
      <c r="KGZ118" s="418"/>
      <c r="KHA118" s="418"/>
      <c r="KHB118" s="418"/>
      <c r="KHC118" s="418"/>
      <c r="KHD118" s="418"/>
      <c r="KHE118" s="418"/>
      <c r="KHF118" s="418"/>
      <c r="KHG118" s="418"/>
      <c r="KHH118" s="418"/>
      <c r="KHI118" s="418"/>
      <c r="KHJ118" s="418"/>
      <c r="KHK118" s="418"/>
      <c r="KHL118" s="418"/>
      <c r="KHM118" s="418"/>
      <c r="KHN118" s="418"/>
      <c r="KHO118" s="418"/>
      <c r="KHP118" s="418"/>
      <c r="KHQ118" s="418"/>
      <c r="KHR118" s="418"/>
      <c r="KHS118" s="418"/>
      <c r="KHT118" s="418"/>
      <c r="KHU118" s="418"/>
      <c r="KHV118" s="418"/>
      <c r="KHW118" s="418"/>
      <c r="KHX118" s="418"/>
      <c r="KHY118" s="418"/>
      <c r="KHZ118" s="418"/>
      <c r="KIA118" s="418"/>
      <c r="KIB118" s="418"/>
      <c r="KIC118" s="418"/>
      <c r="KID118" s="418"/>
      <c r="KIE118" s="418"/>
      <c r="KIF118" s="418"/>
      <c r="KIG118" s="418"/>
      <c r="KIH118" s="418"/>
      <c r="KII118" s="418"/>
      <c r="KIJ118" s="418"/>
      <c r="KIK118" s="418"/>
      <c r="KIL118" s="418"/>
      <c r="KIM118" s="418"/>
      <c r="KIN118" s="418"/>
      <c r="KIO118" s="418"/>
      <c r="KIP118" s="418"/>
      <c r="KIQ118" s="418"/>
      <c r="KIR118" s="418"/>
      <c r="KIS118" s="418"/>
      <c r="KIT118" s="418"/>
      <c r="KIU118" s="418"/>
      <c r="KIV118" s="418"/>
      <c r="KIW118" s="418"/>
      <c r="KIX118" s="418"/>
      <c r="KIY118" s="418"/>
      <c r="KIZ118" s="418"/>
      <c r="KJA118" s="418"/>
      <c r="KJB118" s="418"/>
      <c r="KJC118" s="418"/>
      <c r="KJD118" s="418"/>
      <c r="KJE118" s="418"/>
      <c r="KJF118" s="418"/>
      <c r="KJG118" s="418"/>
      <c r="KJH118" s="418"/>
      <c r="KJI118" s="418"/>
      <c r="KJJ118" s="418"/>
      <c r="KJK118" s="418"/>
      <c r="KJL118" s="418"/>
      <c r="KJM118" s="418"/>
      <c r="KJN118" s="418"/>
      <c r="KJO118" s="418"/>
      <c r="KJP118" s="418"/>
      <c r="KJQ118" s="418"/>
      <c r="KJR118" s="418"/>
      <c r="KJS118" s="418"/>
      <c r="KJT118" s="418"/>
      <c r="KJU118" s="418"/>
      <c r="KJV118" s="418"/>
      <c r="KJW118" s="418"/>
      <c r="KJX118" s="418"/>
      <c r="KJY118" s="418"/>
      <c r="KJZ118" s="418"/>
      <c r="KKA118" s="418"/>
      <c r="KKB118" s="418"/>
      <c r="KKC118" s="418"/>
      <c r="KKD118" s="418"/>
      <c r="KKE118" s="418"/>
      <c r="KKF118" s="418"/>
      <c r="KKG118" s="418"/>
      <c r="KKH118" s="418"/>
      <c r="KKI118" s="418"/>
      <c r="KKJ118" s="418"/>
      <c r="KKK118" s="418"/>
      <c r="KKL118" s="418"/>
      <c r="KKM118" s="418"/>
      <c r="KKN118" s="418"/>
      <c r="KKO118" s="418"/>
      <c r="KKP118" s="418"/>
      <c r="KKQ118" s="418"/>
      <c r="KKR118" s="418"/>
      <c r="KKS118" s="418"/>
      <c r="KKT118" s="418"/>
      <c r="KKU118" s="418"/>
      <c r="KKV118" s="418"/>
      <c r="KKW118" s="418"/>
      <c r="KKX118" s="418"/>
      <c r="KKY118" s="418"/>
      <c r="KKZ118" s="418"/>
      <c r="KLA118" s="418"/>
      <c r="KLB118" s="418"/>
      <c r="KLC118" s="418"/>
      <c r="KLD118" s="418"/>
      <c r="KLE118" s="418"/>
      <c r="KLF118" s="418"/>
      <c r="KLG118" s="418"/>
      <c r="KLH118" s="418"/>
      <c r="KLI118" s="418"/>
      <c r="KLJ118" s="418"/>
      <c r="KLK118" s="418"/>
      <c r="KLL118" s="418"/>
      <c r="KLM118" s="418"/>
      <c r="KLN118" s="418"/>
      <c r="KLO118" s="418"/>
      <c r="KLP118" s="418"/>
      <c r="KLQ118" s="418"/>
      <c r="KLR118" s="418"/>
      <c r="KLS118" s="418"/>
      <c r="KLT118" s="418"/>
      <c r="KLU118" s="418"/>
      <c r="KLV118" s="418"/>
      <c r="KLW118" s="418"/>
      <c r="KLX118" s="418"/>
      <c r="KLY118" s="418"/>
      <c r="KLZ118" s="418"/>
      <c r="KMA118" s="418"/>
      <c r="KMB118" s="418"/>
      <c r="KMC118" s="418"/>
      <c r="KMD118" s="418"/>
      <c r="KME118" s="418"/>
      <c r="KMF118" s="418"/>
      <c r="KMG118" s="418"/>
      <c r="KMH118" s="418"/>
      <c r="KMI118" s="418"/>
      <c r="KMJ118" s="418"/>
      <c r="KMK118" s="418"/>
      <c r="KML118" s="418"/>
      <c r="KMM118" s="418"/>
      <c r="KMN118" s="418"/>
      <c r="KMO118" s="418"/>
      <c r="KMP118" s="418"/>
      <c r="KMQ118" s="418"/>
      <c r="KMR118" s="418"/>
      <c r="KMS118" s="418"/>
      <c r="KMT118" s="418"/>
      <c r="KMU118" s="418"/>
      <c r="KMV118" s="418"/>
      <c r="KMW118" s="418"/>
      <c r="KMX118" s="418"/>
      <c r="KMY118" s="418"/>
      <c r="KMZ118" s="418"/>
      <c r="KNA118" s="418"/>
      <c r="KNB118" s="418"/>
      <c r="KNC118" s="418"/>
      <c r="KND118" s="418"/>
      <c r="KNE118" s="418"/>
      <c r="KNF118" s="418"/>
      <c r="KNG118" s="418"/>
      <c r="KNH118" s="418"/>
      <c r="KNI118" s="418"/>
      <c r="KNJ118" s="418"/>
      <c r="KNK118" s="418"/>
      <c r="KNL118" s="418"/>
      <c r="KNM118" s="418"/>
      <c r="KNN118" s="418"/>
      <c r="KNO118" s="418"/>
      <c r="KNP118" s="418"/>
      <c r="KNQ118" s="418"/>
      <c r="KNR118" s="418"/>
      <c r="KNS118" s="418"/>
      <c r="KNT118" s="418"/>
      <c r="KNU118" s="418"/>
      <c r="KNV118" s="418"/>
      <c r="KNW118" s="418"/>
      <c r="KNX118" s="418"/>
      <c r="KNY118" s="418"/>
      <c r="KNZ118" s="418"/>
      <c r="KOA118" s="418"/>
      <c r="KOB118" s="418"/>
      <c r="KOC118" s="418"/>
      <c r="KOD118" s="418"/>
      <c r="KOE118" s="418"/>
      <c r="KOF118" s="418"/>
      <c r="KOG118" s="418"/>
      <c r="KOH118" s="418"/>
      <c r="KOI118" s="418"/>
      <c r="KOJ118" s="418"/>
      <c r="KOK118" s="418"/>
      <c r="KOL118" s="418"/>
      <c r="KOM118" s="418"/>
      <c r="KON118" s="418"/>
      <c r="KOO118" s="418"/>
      <c r="KOP118" s="418"/>
      <c r="KOQ118" s="418"/>
      <c r="KOR118" s="418"/>
      <c r="KOS118" s="418"/>
      <c r="KOT118" s="418"/>
      <c r="KOU118" s="418"/>
      <c r="KOV118" s="418"/>
      <c r="KOW118" s="418"/>
      <c r="KOX118" s="418"/>
      <c r="KOY118" s="418"/>
      <c r="KOZ118" s="418"/>
      <c r="KPA118" s="418"/>
      <c r="KPB118" s="418"/>
      <c r="KPC118" s="418"/>
      <c r="KPD118" s="418"/>
      <c r="KPE118" s="418"/>
      <c r="KPF118" s="418"/>
      <c r="KPG118" s="418"/>
      <c r="KPH118" s="418"/>
      <c r="KPI118" s="418"/>
      <c r="KPJ118" s="418"/>
      <c r="KPK118" s="418"/>
      <c r="KPL118" s="418"/>
      <c r="KPM118" s="418"/>
      <c r="KPN118" s="418"/>
      <c r="KPO118" s="418"/>
      <c r="KPP118" s="418"/>
      <c r="KPQ118" s="418"/>
      <c r="KPR118" s="418"/>
      <c r="KPS118" s="418"/>
      <c r="KPT118" s="418"/>
      <c r="KPU118" s="418"/>
      <c r="KPV118" s="418"/>
      <c r="KPW118" s="418"/>
      <c r="KPX118" s="418"/>
      <c r="KPY118" s="418"/>
      <c r="KPZ118" s="418"/>
      <c r="KQA118" s="418"/>
      <c r="KQB118" s="418"/>
      <c r="KQC118" s="418"/>
      <c r="KQD118" s="418"/>
      <c r="KQE118" s="418"/>
      <c r="KQF118" s="418"/>
      <c r="KQG118" s="418"/>
      <c r="KQH118" s="418"/>
      <c r="KQI118" s="418"/>
      <c r="KQJ118" s="418"/>
      <c r="KQK118" s="418"/>
      <c r="KQL118" s="418"/>
      <c r="KQM118" s="418"/>
      <c r="KQN118" s="418"/>
      <c r="KQO118" s="418"/>
      <c r="KQP118" s="418"/>
      <c r="KQQ118" s="418"/>
      <c r="KQR118" s="418"/>
      <c r="KQS118" s="418"/>
      <c r="KQT118" s="418"/>
      <c r="KQU118" s="418"/>
      <c r="KQV118" s="418"/>
      <c r="KQW118" s="418"/>
      <c r="KQX118" s="418"/>
      <c r="KQY118" s="418"/>
      <c r="KQZ118" s="418"/>
      <c r="KRA118" s="418"/>
      <c r="KRB118" s="418"/>
      <c r="KRC118" s="418"/>
      <c r="KRD118" s="418"/>
      <c r="KRE118" s="418"/>
      <c r="KRF118" s="418"/>
      <c r="KRG118" s="418"/>
      <c r="KRH118" s="418"/>
      <c r="KRI118" s="418"/>
      <c r="KRJ118" s="418"/>
      <c r="KRK118" s="418"/>
      <c r="KRL118" s="418"/>
      <c r="KRM118" s="418"/>
      <c r="KRN118" s="418"/>
      <c r="KRO118" s="418"/>
      <c r="KRP118" s="418"/>
      <c r="KRQ118" s="418"/>
      <c r="KRR118" s="418"/>
      <c r="KRS118" s="418"/>
      <c r="KRT118" s="418"/>
      <c r="KRU118" s="418"/>
      <c r="KRV118" s="418"/>
      <c r="KRW118" s="418"/>
      <c r="KRX118" s="418"/>
      <c r="KRY118" s="418"/>
      <c r="KRZ118" s="418"/>
      <c r="KSA118" s="418"/>
      <c r="KSB118" s="418"/>
      <c r="KSC118" s="418"/>
      <c r="KSD118" s="418"/>
      <c r="KSE118" s="418"/>
      <c r="KSF118" s="418"/>
      <c r="KSG118" s="418"/>
      <c r="KSH118" s="418"/>
      <c r="KSI118" s="418"/>
      <c r="KSJ118" s="418"/>
      <c r="KSK118" s="418"/>
      <c r="KSL118" s="418"/>
      <c r="KSM118" s="418"/>
      <c r="KSN118" s="418"/>
      <c r="KSO118" s="418"/>
      <c r="KSP118" s="418"/>
      <c r="KSQ118" s="418"/>
      <c r="KSR118" s="418"/>
      <c r="KSS118" s="418"/>
      <c r="KST118" s="418"/>
      <c r="KSU118" s="418"/>
      <c r="KSV118" s="418"/>
      <c r="KSW118" s="418"/>
      <c r="KSX118" s="418"/>
      <c r="KSY118" s="418"/>
      <c r="KSZ118" s="418"/>
      <c r="KTA118" s="418"/>
      <c r="KTB118" s="418"/>
      <c r="KTC118" s="418"/>
      <c r="KTD118" s="418"/>
      <c r="KTE118" s="418"/>
      <c r="KTF118" s="418"/>
      <c r="KTG118" s="418"/>
      <c r="KTH118" s="418"/>
      <c r="KTI118" s="418"/>
      <c r="KTJ118" s="418"/>
      <c r="KTK118" s="418"/>
      <c r="KTL118" s="418"/>
      <c r="KTM118" s="418"/>
      <c r="KTN118" s="418"/>
      <c r="KTO118" s="418"/>
      <c r="KTP118" s="418"/>
      <c r="KTQ118" s="418"/>
      <c r="KTR118" s="418"/>
      <c r="KTS118" s="418"/>
      <c r="KTT118" s="418"/>
      <c r="KTU118" s="418"/>
      <c r="KTV118" s="418"/>
      <c r="KTW118" s="418"/>
      <c r="KTX118" s="418"/>
      <c r="KTY118" s="418"/>
      <c r="KTZ118" s="418"/>
      <c r="KUA118" s="418"/>
      <c r="KUB118" s="418"/>
      <c r="KUC118" s="418"/>
      <c r="KUD118" s="418"/>
      <c r="KUE118" s="418"/>
      <c r="KUF118" s="418"/>
      <c r="KUG118" s="418"/>
      <c r="KUH118" s="418"/>
      <c r="KUI118" s="418"/>
      <c r="KUJ118" s="418"/>
      <c r="KUK118" s="418"/>
      <c r="KUL118" s="418"/>
      <c r="KUM118" s="418"/>
      <c r="KUN118" s="418"/>
      <c r="KUO118" s="418"/>
      <c r="KUP118" s="418"/>
      <c r="KUQ118" s="418"/>
      <c r="KUR118" s="418"/>
      <c r="KUS118" s="418"/>
      <c r="KUT118" s="418"/>
      <c r="KUU118" s="418"/>
      <c r="KUV118" s="418"/>
      <c r="KUW118" s="418"/>
      <c r="KUX118" s="418"/>
      <c r="KUY118" s="418"/>
      <c r="KUZ118" s="418"/>
      <c r="KVA118" s="418"/>
      <c r="KVB118" s="418"/>
      <c r="KVC118" s="418"/>
      <c r="KVD118" s="418"/>
      <c r="KVE118" s="418"/>
      <c r="KVF118" s="418"/>
      <c r="KVG118" s="418"/>
      <c r="KVH118" s="418"/>
      <c r="KVI118" s="418"/>
      <c r="KVJ118" s="418"/>
      <c r="KVK118" s="418"/>
      <c r="KVL118" s="418"/>
      <c r="KVM118" s="418"/>
      <c r="KVN118" s="418"/>
      <c r="KVO118" s="418"/>
      <c r="KVP118" s="418"/>
      <c r="KVQ118" s="418"/>
      <c r="KVR118" s="418"/>
      <c r="KVS118" s="418"/>
      <c r="KVT118" s="418"/>
      <c r="KVU118" s="418"/>
      <c r="KVV118" s="418"/>
      <c r="KVW118" s="418"/>
      <c r="KVX118" s="418"/>
      <c r="KVY118" s="418"/>
      <c r="KVZ118" s="418"/>
      <c r="KWA118" s="418"/>
      <c r="KWB118" s="418"/>
      <c r="KWC118" s="418"/>
      <c r="KWD118" s="418"/>
      <c r="KWE118" s="418"/>
      <c r="KWF118" s="418"/>
      <c r="KWG118" s="418"/>
      <c r="KWH118" s="418"/>
      <c r="KWI118" s="418"/>
      <c r="KWJ118" s="418"/>
      <c r="KWK118" s="418"/>
      <c r="KWL118" s="418"/>
      <c r="KWM118" s="418"/>
      <c r="KWN118" s="418"/>
      <c r="KWO118" s="418"/>
      <c r="KWP118" s="418"/>
      <c r="KWQ118" s="418"/>
      <c r="KWR118" s="418"/>
      <c r="KWS118" s="418"/>
      <c r="KWT118" s="418"/>
      <c r="KWU118" s="418"/>
      <c r="KWV118" s="418"/>
      <c r="KWW118" s="418"/>
      <c r="KWX118" s="418"/>
      <c r="KWY118" s="418"/>
      <c r="KWZ118" s="418"/>
      <c r="KXA118" s="418"/>
      <c r="KXB118" s="418"/>
      <c r="KXC118" s="418"/>
      <c r="KXD118" s="418"/>
      <c r="KXE118" s="418"/>
      <c r="KXF118" s="418"/>
      <c r="KXG118" s="418"/>
      <c r="KXH118" s="418"/>
      <c r="KXI118" s="418"/>
      <c r="KXJ118" s="418"/>
      <c r="KXK118" s="418"/>
      <c r="KXL118" s="418"/>
      <c r="KXM118" s="418"/>
      <c r="KXN118" s="418"/>
      <c r="KXO118" s="418"/>
      <c r="KXP118" s="418"/>
      <c r="KXQ118" s="418"/>
      <c r="KXR118" s="418"/>
      <c r="KXS118" s="418"/>
      <c r="KXT118" s="418"/>
      <c r="KXU118" s="418"/>
      <c r="KXV118" s="418"/>
      <c r="KXW118" s="418"/>
      <c r="KXX118" s="418"/>
      <c r="KXY118" s="418"/>
      <c r="KXZ118" s="418"/>
      <c r="KYA118" s="418"/>
      <c r="KYB118" s="418"/>
      <c r="KYC118" s="418"/>
      <c r="KYD118" s="418"/>
      <c r="KYE118" s="418"/>
      <c r="KYF118" s="418"/>
      <c r="KYG118" s="418"/>
      <c r="KYH118" s="418"/>
      <c r="KYI118" s="418"/>
      <c r="KYJ118" s="418"/>
      <c r="KYK118" s="418"/>
      <c r="KYL118" s="418"/>
      <c r="KYM118" s="418"/>
      <c r="KYN118" s="418"/>
      <c r="KYO118" s="418"/>
      <c r="KYP118" s="418"/>
      <c r="KYQ118" s="418"/>
      <c r="KYR118" s="418"/>
      <c r="KYS118" s="418"/>
      <c r="KYT118" s="418"/>
      <c r="KYU118" s="418"/>
      <c r="KYV118" s="418"/>
      <c r="KYW118" s="418"/>
      <c r="KYX118" s="418"/>
      <c r="KYY118" s="418"/>
      <c r="KYZ118" s="418"/>
      <c r="KZA118" s="418"/>
      <c r="KZB118" s="418"/>
      <c r="KZC118" s="418"/>
      <c r="KZD118" s="418"/>
      <c r="KZE118" s="418"/>
      <c r="KZF118" s="418"/>
      <c r="KZG118" s="418"/>
      <c r="KZH118" s="418"/>
      <c r="KZI118" s="418"/>
      <c r="KZJ118" s="418"/>
      <c r="KZK118" s="418"/>
      <c r="KZL118" s="418"/>
      <c r="KZM118" s="418"/>
      <c r="KZN118" s="418"/>
      <c r="KZO118" s="418"/>
      <c r="KZP118" s="418"/>
      <c r="KZQ118" s="418"/>
      <c r="KZR118" s="418"/>
      <c r="KZS118" s="418"/>
      <c r="KZT118" s="418"/>
      <c r="KZU118" s="418"/>
      <c r="KZV118" s="418"/>
      <c r="KZW118" s="418"/>
      <c r="KZX118" s="418"/>
      <c r="KZY118" s="418"/>
      <c r="KZZ118" s="418"/>
      <c r="LAA118" s="418"/>
      <c r="LAB118" s="418"/>
      <c r="LAC118" s="418"/>
      <c r="LAD118" s="418"/>
      <c r="LAE118" s="418"/>
      <c r="LAF118" s="418"/>
      <c r="LAG118" s="418"/>
      <c r="LAH118" s="418"/>
      <c r="LAI118" s="418"/>
      <c r="LAJ118" s="418"/>
      <c r="LAK118" s="418"/>
      <c r="LAL118" s="418"/>
      <c r="LAM118" s="418"/>
      <c r="LAN118" s="418"/>
      <c r="LAO118" s="418"/>
      <c r="LAP118" s="418"/>
      <c r="LAQ118" s="418"/>
      <c r="LAR118" s="418"/>
      <c r="LAS118" s="418"/>
      <c r="LAT118" s="418"/>
      <c r="LAU118" s="418"/>
      <c r="LAV118" s="418"/>
      <c r="LAW118" s="418"/>
      <c r="LAX118" s="418"/>
      <c r="LAY118" s="418"/>
      <c r="LAZ118" s="418"/>
      <c r="LBA118" s="418"/>
      <c r="LBB118" s="418"/>
      <c r="LBC118" s="418"/>
      <c r="LBD118" s="418"/>
      <c r="LBE118" s="418"/>
      <c r="LBF118" s="418"/>
      <c r="LBG118" s="418"/>
      <c r="LBH118" s="418"/>
      <c r="LBI118" s="418"/>
      <c r="LBJ118" s="418"/>
      <c r="LBK118" s="418"/>
      <c r="LBL118" s="418"/>
      <c r="LBM118" s="418"/>
      <c r="LBN118" s="418"/>
      <c r="LBO118" s="418"/>
      <c r="LBP118" s="418"/>
      <c r="LBQ118" s="418"/>
      <c r="LBR118" s="418"/>
      <c r="LBS118" s="418"/>
      <c r="LBT118" s="418"/>
      <c r="LBU118" s="418"/>
      <c r="LBV118" s="418"/>
      <c r="LBW118" s="418"/>
      <c r="LBX118" s="418"/>
      <c r="LBY118" s="418"/>
      <c r="LBZ118" s="418"/>
      <c r="LCA118" s="418"/>
      <c r="LCB118" s="418"/>
      <c r="LCC118" s="418"/>
      <c r="LCD118" s="418"/>
      <c r="LCE118" s="418"/>
      <c r="LCF118" s="418"/>
      <c r="LCG118" s="418"/>
      <c r="LCH118" s="418"/>
      <c r="LCI118" s="418"/>
      <c r="LCJ118" s="418"/>
      <c r="LCK118" s="418"/>
      <c r="LCL118" s="418"/>
      <c r="LCM118" s="418"/>
      <c r="LCN118" s="418"/>
      <c r="LCO118" s="418"/>
      <c r="LCP118" s="418"/>
      <c r="LCQ118" s="418"/>
      <c r="LCR118" s="418"/>
      <c r="LCS118" s="418"/>
      <c r="LCT118" s="418"/>
      <c r="LCU118" s="418"/>
      <c r="LCV118" s="418"/>
      <c r="LCW118" s="418"/>
      <c r="LCX118" s="418"/>
      <c r="LCY118" s="418"/>
      <c r="LCZ118" s="418"/>
      <c r="LDA118" s="418"/>
      <c r="LDB118" s="418"/>
      <c r="LDC118" s="418"/>
      <c r="LDD118" s="418"/>
      <c r="LDE118" s="418"/>
      <c r="LDF118" s="418"/>
      <c r="LDG118" s="418"/>
      <c r="LDH118" s="418"/>
      <c r="LDI118" s="418"/>
      <c r="LDJ118" s="418"/>
      <c r="LDK118" s="418"/>
      <c r="LDL118" s="418"/>
      <c r="LDM118" s="418"/>
      <c r="LDN118" s="418"/>
      <c r="LDO118" s="418"/>
      <c r="LDP118" s="418"/>
      <c r="LDQ118" s="418"/>
      <c r="LDR118" s="418"/>
      <c r="LDS118" s="418"/>
      <c r="LDT118" s="418"/>
      <c r="LDU118" s="418"/>
      <c r="LDV118" s="418"/>
      <c r="LDW118" s="418"/>
      <c r="LDX118" s="418"/>
      <c r="LDY118" s="418"/>
      <c r="LDZ118" s="418"/>
      <c r="LEA118" s="418"/>
      <c r="LEB118" s="418"/>
      <c r="LEC118" s="418"/>
      <c r="LED118" s="418"/>
      <c r="LEE118" s="418"/>
      <c r="LEF118" s="418"/>
      <c r="LEG118" s="418"/>
      <c r="LEH118" s="418"/>
      <c r="LEI118" s="418"/>
      <c r="LEJ118" s="418"/>
      <c r="LEK118" s="418"/>
      <c r="LEL118" s="418"/>
      <c r="LEM118" s="418"/>
      <c r="LEN118" s="418"/>
      <c r="LEO118" s="418"/>
      <c r="LEP118" s="418"/>
      <c r="LEQ118" s="418"/>
      <c r="LER118" s="418"/>
      <c r="LES118" s="418"/>
      <c r="LET118" s="418"/>
      <c r="LEU118" s="418"/>
      <c r="LEV118" s="418"/>
      <c r="LEW118" s="418"/>
      <c r="LEX118" s="418"/>
      <c r="LEY118" s="418"/>
      <c r="LEZ118" s="418"/>
      <c r="LFA118" s="418"/>
      <c r="LFB118" s="418"/>
      <c r="LFC118" s="418"/>
      <c r="LFD118" s="418"/>
      <c r="LFE118" s="418"/>
      <c r="LFF118" s="418"/>
      <c r="LFG118" s="418"/>
      <c r="LFH118" s="418"/>
      <c r="LFI118" s="418"/>
      <c r="LFJ118" s="418"/>
      <c r="LFK118" s="418"/>
      <c r="LFL118" s="418"/>
      <c r="LFM118" s="418"/>
      <c r="LFN118" s="418"/>
      <c r="LFO118" s="418"/>
      <c r="LFP118" s="418"/>
      <c r="LFQ118" s="418"/>
      <c r="LFR118" s="418"/>
      <c r="LFS118" s="418"/>
      <c r="LFT118" s="418"/>
      <c r="LFU118" s="418"/>
      <c r="LFV118" s="418"/>
      <c r="LFW118" s="418"/>
      <c r="LFX118" s="418"/>
      <c r="LFY118" s="418"/>
      <c r="LFZ118" s="418"/>
      <c r="LGA118" s="418"/>
      <c r="LGB118" s="418"/>
      <c r="LGC118" s="418"/>
      <c r="LGD118" s="418"/>
      <c r="LGE118" s="418"/>
      <c r="LGF118" s="418"/>
      <c r="LGG118" s="418"/>
      <c r="LGH118" s="418"/>
      <c r="LGI118" s="418"/>
      <c r="LGJ118" s="418"/>
      <c r="LGK118" s="418"/>
      <c r="LGL118" s="418"/>
      <c r="LGM118" s="418"/>
      <c r="LGN118" s="418"/>
      <c r="LGO118" s="418"/>
      <c r="LGP118" s="418"/>
      <c r="LGQ118" s="418"/>
      <c r="LGR118" s="418"/>
      <c r="LGS118" s="418"/>
      <c r="LGT118" s="418"/>
      <c r="LGU118" s="418"/>
      <c r="LGV118" s="418"/>
      <c r="LGW118" s="418"/>
      <c r="LGX118" s="418"/>
      <c r="LGY118" s="418"/>
      <c r="LGZ118" s="418"/>
      <c r="LHA118" s="418"/>
      <c r="LHB118" s="418"/>
      <c r="LHC118" s="418"/>
      <c r="LHD118" s="418"/>
      <c r="LHE118" s="418"/>
      <c r="LHF118" s="418"/>
      <c r="LHG118" s="418"/>
      <c r="LHH118" s="418"/>
      <c r="LHI118" s="418"/>
      <c r="LHJ118" s="418"/>
      <c r="LHK118" s="418"/>
      <c r="LHL118" s="418"/>
      <c r="LHM118" s="418"/>
      <c r="LHN118" s="418"/>
      <c r="LHO118" s="418"/>
      <c r="LHP118" s="418"/>
      <c r="LHQ118" s="418"/>
      <c r="LHR118" s="418"/>
      <c r="LHS118" s="418"/>
      <c r="LHT118" s="418"/>
      <c r="LHU118" s="418"/>
      <c r="LHV118" s="418"/>
      <c r="LHW118" s="418"/>
      <c r="LHX118" s="418"/>
      <c r="LHY118" s="418"/>
      <c r="LHZ118" s="418"/>
      <c r="LIA118" s="418"/>
      <c r="LIB118" s="418"/>
      <c r="LIC118" s="418"/>
      <c r="LID118" s="418"/>
      <c r="LIE118" s="418"/>
      <c r="LIF118" s="418"/>
      <c r="LIG118" s="418"/>
      <c r="LIH118" s="418"/>
      <c r="LII118" s="418"/>
      <c r="LIJ118" s="418"/>
      <c r="LIK118" s="418"/>
      <c r="LIL118" s="418"/>
      <c r="LIM118" s="418"/>
      <c r="LIN118" s="418"/>
      <c r="LIO118" s="418"/>
      <c r="LIP118" s="418"/>
      <c r="LIQ118" s="418"/>
      <c r="LIR118" s="418"/>
      <c r="LIS118" s="418"/>
      <c r="LIT118" s="418"/>
      <c r="LIU118" s="418"/>
      <c r="LIV118" s="418"/>
      <c r="LIW118" s="418"/>
      <c r="LIX118" s="418"/>
      <c r="LIY118" s="418"/>
      <c r="LIZ118" s="418"/>
      <c r="LJA118" s="418"/>
      <c r="LJB118" s="418"/>
      <c r="LJC118" s="418"/>
      <c r="LJD118" s="418"/>
      <c r="LJE118" s="418"/>
      <c r="LJF118" s="418"/>
      <c r="LJG118" s="418"/>
      <c r="LJH118" s="418"/>
      <c r="LJI118" s="418"/>
      <c r="LJJ118" s="418"/>
      <c r="LJK118" s="418"/>
      <c r="LJL118" s="418"/>
      <c r="LJM118" s="418"/>
      <c r="LJN118" s="418"/>
      <c r="LJO118" s="418"/>
      <c r="LJP118" s="418"/>
      <c r="LJQ118" s="418"/>
      <c r="LJR118" s="418"/>
      <c r="LJS118" s="418"/>
      <c r="LJT118" s="418"/>
      <c r="LJU118" s="418"/>
      <c r="LJV118" s="418"/>
      <c r="LJW118" s="418"/>
      <c r="LJX118" s="418"/>
      <c r="LJY118" s="418"/>
      <c r="LJZ118" s="418"/>
      <c r="LKA118" s="418"/>
      <c r="LKB118" s="418"/>
      <c r="LKC118" s="418"/>
      <c r="LKD118" s="418"/>
      <c r="LKE118" s="418"/>
      <c r="LKF118" s="418"/>
      <c r="LKG118" s="418"/>
      <c r="LKH118" s="418"/>
      <c r="LKI118" s="418"/>
      <c r="LKJ118" s="418"/>
      <c r="LKK118" s="418"/>
      <c r="LKL118" s="418"/>
      <c r="LKM118" s="418"/>
      <c r="LKN118" s="418"/>
      <c r="LKO118" s="418"/>
      <c r="LKP118" s="418"/>
      <c r="LKQ118" s="418"/>
      <c r="LKR118" s="418"/>
      <c r="LKS118" s="418"/>
      <c r="LKT118" s="418"/>
      <c r="LKU118" s="418"/>
      <c r="LKV118" s="418"/>
      <c r="LKW118" s="418"/>
      <c r="LKX118" s="418"/>
      <c r="LKY118" s="418"/>
      <c r="LKZ118" s="418"/>
      <c r="LLA118" s="418"/>
      <c r="LLB118" s="418"/>
      <c r="LLC118" s="418"/>
      <c r="LLD118" s="418"/>
      <c r="LLE118" s="418"/>
      <c r="LLF118" s="418"/>
      <c r="LLG118" s="418"/>
      <c r="LLH118" s="418"/>
      <c r="LLI118" s="418"/>
      <c r="LLJ118" s="418"/>
      <c r="LLK118" s="418"/>
      <c r="LLL118" s="418"/>
      <c r="LLM118" s="418"/>
      <c r="LLN118" s="418"/>
      <c r="LLO118" s="418"/>
      <c r="LLP118" s="418"/>
      <c r="LLQ118" s="418"/>
      <c r="LLR118" s="418"/>
      <c r="LLS118" s="418"/>
      <c r="LLT118" s="418"/>
      <c r="LLU118" s="418"/>
      <c r="LLV118" s="418"/>
      <c r="LLW118" s="418"/>
      <c r="LLX118" s="418"/>
      <c r="LLY118" s="418"/>
      <c r="LLZ118" s="418"/>
      <c r="LMA118" s="418"/>
      <c r="LMB118" s="418"/>
      <c r="LMC118" s="418"/>
      <c r="LMD118" s="418"/>
      <c r="LME118" s="418"/>
      <c r="LMF118" s="418"/>
      <c r="LMG118" s="418"/>
      <c r="LMH118" s="418"/>
      <c r="LMI118" s="418"/>
      <c r="LMJ118" s="418"/>
      <c r="LMK118" s="418"/>
      <c r="LML118" s="418"/>
      <c r="LMM118" s="418"/>
      <c r="LMN118" s="418"/>
      <c r="LMO118" s="418"/>
      <c r="LMP118" s="418"/>
      <c r="LMQ118" s="418"/>
      <c r="LMR118" s="418"/>
      <c r="LMS118" s="418"/>
      <c r="LMT118" s="418"/>
      <c r="LMU118" s="418"/>
      <c r="LMV118" s="418"/>
      <c r="LMW118" s="418"/>
      <c r="LMX118" s="418"/>
      <c r="LMY118" s="418"/>
      <c r="LMZ118" s="418"/>
      <c r="LNA118" s="418"/>
      <c r="LNB118" s="418"/>
      <c r="LNC118" s="418"/>
      <c r="LND118" s="418"/>
      <c r="LNE118" s="418"/>
      <c r="LNF118" s="418"/>
      <c r="LNG118" s="418"/>
      <c r="LNH118" s="418"/>
      <c r="LNI118" s="418"/>
      <c r="LNJ118" s="418"/>
      <c r="LNK118" s="418"/>
      <c r="LNL118" s="418"/>
      <c r="LNM118" s="418"/>
      <c r="LNN118" s="418"/>
      <c r="LNO118" s="418"/>
      <c r="LNP118" s="418"/>
      <c r="LNQ118" s="418"/>
      <c r="LNR118" s="418"/>
      <c r="LNS118" s="418"/>
      <c r="LNT118" s="418"/>
      <c r="LNU118" s="418"/>
      <c r="LNV118" s="418"/>
      <c r="LNW118" s="418"/>
      <c r="LNX118" s="418"/>
      <c r="LNY118" s="418"/>
      <c r="LNZ118" s="418"/>
      <c r="LOA118" s="418"/>
      <c r="LOB118" s="418"/>
      <c r="LOC118" s="418"/>
      <c r="LOD118" s="418"/>
      <c r="LOE118" s="418"/>
      <c r="LOF118" s="418"/>
      <c r="LOG118" s="418"/>
      <c r="LOH118" s="418"/>
      <c r="LOI118" s="418"/>
      <c r="LOJ118" s="418"/>
      <c r="LOK118" s="418"/>
      <c r="LOL118" s="418"/>
      <c r="LOM118" s="418"/>
      <c r="LON118" s="418"/>
      <c r="LOO118" s="418"/>
      <c r="LOP118" s="418"/>
      <c r="LOQ118" s="418"/>
      <c r="LOR118" s="418"/>
      <c r="LOS118" s="418"/>
      <c r="LOT118" s="418"/>
      <c r="LOU118" s="418"/>
      <c r="LOV118" s="418"/>
      <c r="LOW118" s="418"/>
      <c r="LOX118" s="418"/>
      <c r="LOY118" s="418"/>
      <c r="LOZ118" s="418"/>
      <c r="LPA118" s="418"/>
      <c r="LPB118" s="418"/>
      <c r="LPC118" s="418"/>
      <c r="LPD118" s="418"/>
      <c r="LPE118" s="418"/>
      <c r="LPF118" s="418"/>
      <c r="LPG118" s="418"/>
      <c r="LPH118" s="418"/>
      <c r="LPI118" s="418"/>
      <c r="LPJ118" s="418"/>
      <c r="LPK118" s="418"/>
      <c r="LPL118" s="418"/>
      <c r="LPM118" s="418"/>
      <c r="LPN118" s="418"/>
      <c r="LPO118" s="418"/>
      <c r="LPP118" s="418"/>
      <c r="LPQ118" s="418"/>
      <c r="LPR118" s="418"/>
      <c r="LPS118" s="418"/>
      <c r="LPT118" s="418"/>
      <c r="LPU118" s="418"/>
      <c r="LPV118" s="418"/>
      <c r="LPW118" s="418"/>
      <c r="LPX118" s="418"/>
      <c r="LPY118" s="418"/>
      <c r="LPZ118" s="418"/>
      <c r="LQA118" s="418"/>
      <c r="LQB118" s="418"/>
      <c r="LQC118" s="418"/>
      <c r="LQD118" s="418"/>
      <c r="LQE118" s="418"/>
      <c r="LQF118" s="418"/>
      <c r="LQG118" s="418"/>
      <c r="LQH118" s="418"/>
      <c r="LQI118" s="418"/>
      <c r="LQJ118" s="418"/>
      <c r="LQK118" s="418"/>
      <c r="LQL118" s="418"/>
      <c r="LQM118" s="418"/>
      <c r="LQN118" s="418"/>
      <c r="LQO118" s="418"/>
      <c r="LQP118" s="418"/>
      <c r="LQQ118" s="418"/>
      <c r="LQR118" s="418"/>
      <c r="LQS118" s="418"/>
      <c r="LQT118" s="418"/>
      <c r="LQU118" s="418"/>
      <c r="LQV118" s="418"/>
      <c r="LQW118" s="418"/>
      <c r="LQX118" s="418"/>
      <c r="LQY118" s="418"/>
      <c r="LQZ118" s="418"/>
      <c r="LRA118" s="418"/>
      <c r="LRB118" s="418"/>
      <c r="LRC118" s="418"/>
      <c r="LRD118" s="418"/>
      <c r="LRE118" s="418"/>
      <c r="LRF118" s="418"/>
      <c r="LRG118" s="418"/>
      <c r="LRH118" s="418"/>
      <c r="LRI118" s="418"/>
      <c r="LRJ118" s="418"/>
      <c r="LRK118" s="418"/>
      <c r="LRL118" s="418"/>
      <c r="LRM118" s="418"/>
      <c r="LRN118" s="418"/>
      <c r="LRO118" s="418"/>
      <c r="LRP118" s="418"/>
      <c r="LRQ118" s="418"/>
      <c r="LRR118" s="418"/>
      <c r="LRS118" s="418"/>
      <c r="LRT118" s="418"/>
      <c r="LRU118" s="418"/>
      <c r="LRV118" s="418"/>
      <c r="LRW118" s="418"/>
      <c r="LRX118" s="418"/>
      <c r="LRY118" s="418"/>
      <c r="LRZ118" s="418"/>
      <c r="LSA118" s="418"/>
      <c r="LSB118" s="418"/>
      <c r="LSC118" s="418"/>
      <c r="LSD118" s="418"/>
      <c r="LSE118" s="418"/>
      <c r="LSF118" s="418"/>
      <c r="LSG118" s="418"/>
      <c r="LSH118" s="418"/>
      <c r="LSI118" s="418"/>
      <c r="LSJ118" s="418"/>
      <c r="LSK118" s="418"/>
      <c r="LSL118" s="418"/>
      <c r="LSM118" s="418"/>
      <c r="LSN118" s="418"/>
      <c r="LSO118" s="418"/>
      <c r="LSP118" s="418"/>
      <c r="LSQ118" s="418"/>
      <c r="LSR118" s="418"/>
      <c r="LSS118" s="418"/>
      <c r="LST118" s="418"/>
      <c r="LSU118" s="418"/>
      <c r="LSV118" s="418"/>
      <c r="LSW118" s="418"/>
      <c r="LSX118" s="418"/>
      <c r="LSY118" s="418"/>
      <c r="LSZ118" s="418"/>
      <c r="LTA118" s="418"/>
      <c r="LTB118" s="418"/>
      <c r="LTC118" s="418"/>
      <c r="LTD118" s="418"/>
      <c r="LTE118" s="418"/>
      <c r="LTF118" s="418"/>
      <c r="LTG118" s="418"/>
      <c r="LTH118" s="418"/>
      <c r="LTI118" s="418"/>
      <c r="LTJ118" s="418"/>
      <c r="LTK118" s="418"/>
      <c r="LTL118" s="418"/>
      <c r="LTM118" s="418"/>
      <c r="LTN118" s="418"/>
      <c r="LTO118" s="418"/>
      <c r="LTP118" s="418"/>
      <c r="LTQ118" s="418"/>
      <c r="LTR118" s="418"/>
      <c r="LTS118" s="418"/>
      <c r="LTT118" s="418"/>
      <c r="LTU118" s="418"/>
      <c r="LTV118" s="418"/>
      <c r="LTW118" s="418"/>
      <c r="LTX118" s="418"/>
      <c r="LTY118" s="418"/>
      <c r="LTZ118" s="418"/>
      <c r="LUA118" s="418"/>
      <c r="LUB118" s="418"/>
      <c r="LUC118" s="418"/>
      <c r="LUD118" s="418"/>
      <c r="LUE118" s="418"/>
      <c r="LUF118" s="418"/>
      <c r="LUG118" s="418"/>
      <c r="LUH118" s="418"/>
      <c r="LUI118" s="418"/>
      <c r="LUJ118" s="418"/>
      <c r="LUK118" s="418"/>
      <c r="LUL118" s="418"/>
      <c r="LUM118" s="418"/>
      <c r="LUN118" s="418"/>
      <c r="LUO118" s="418"/>
      <c r="LUP118" s="418"/>
      <c r="LUQ118" s="418"/>
      <c r="LUR118" s="418"/>
      <c r="LUS118" s="418"/>
      <c r="LUT118" s="418"/>
      <c r="LUU118" s="418"/>
      <c r="LUV118" s="418"/>
      <c r="LUW118" s="418"/>
      <c r="LUX118" s="418"/>
      <c r="LUY118" s="418"/>
      <c r="LUZ118" s="418"/>
      <c r="LVA118" s="418"/>
      <c r="LVB118" s="418"/>
      <c r="LVC118" s="418"/>
      <c r="LVD118" s="418"/>
      <c r="LVE118" s="418"/>
      <c r="LVF118" s="418"/>
      <c r="LVG118" s="418"/>
      <c r="LVH118" s="418"/>
      <c r="LVI118" s="418"/>
      <c r="LVJ118" s="418"/>
      <c r="LVK118" s="418"/>
      <c r="LVL118" s="418"/>
      <c r="LVM118" s="418"/>
      <c r="LVN118" s="418"/>
      <c r="LVO118" s="418"/>
      <c r="LVP118" s="418"/>
      <c r="LVQ118" s="418"/>
      <c r="LVR118" s="418"/>
      <c r="LVS118" s="418"/>
      <c r="LVT118" s="418"/>
      <c r="LVU118" s="418"/>
      <c r="LVV118" s="418"/>
      <c r="LVW118" s="418"/>
      <c r="LVX118" s="418"/>
      <c r="LVY118" s="418"/>
      <c r="LVZ118" s="418"/>
      <c r="LWA118" s="418"/>
      <c r="LWB118" s="418"/>
      <c r="LWC118" s="418"/>
      <c r="LWD118" s="418"/>
      <c r="LWE118" s="418"/>
      <c r="LWF118" s="418"/>
      <c r="LWG118" s="418"/>
      <c r="LWH118" s="418"/>
      <c r="LWI118" s="418"/>
      <c r="LWJ118" s="418"/>
      <c r="LWK118" s="418"/>
      <c r="LWL118" s="418"/>
      <c r="LWM118" s="418"/>
      <c r="LWN118" s="418"/>
      <c r="LWO118" s="418"/>
      <c r="LWP118" s="418"/>
      <c r="LWQ118" s="418"/>
      <c r="LWR118" s="418"/>
      <c r="LWS118" s="418"/>
      <c r="LWT118" s="418"/>
      <c r="LWU118" s="418"/>
      <c r="LWV118" s="418"/>
      <c r="LWW118" s="418"/>
      <c r="LWX118" s="418"/>
      <c r="LWY118" s="418"/>
      <c r="LWZ118" s="418"/>
      <c r="LXA118" s="418"/>
      <c r="LXB118" s="418"/>
      <c r="LXC118" s="418"/>
      <c r="LXD118" s="418"/>
      <c r="LXE118" s="418"/>
      <c r="LXF118" s="418"/>
      <c r="LXG118" s="418"/>
      <c r="LXH118" s="418"/>
      <c r="LXI118" s="418"/>
      <c r="LXJ118" s="418"/>
      <c r="LXK118" s="418"/>
      <c r="LXL118" s="418"/>
      <c r="LXM118" s="418"/>
      <c r="LXN118" s="418"/>
      <c r="LXO118" s="418"/>
      <c r="LXP118" s="418"/>
      <c r="LXQ118" s="418"/>
      <c r="LXR118" s="418"/>
      <c r="LXS118" s="418"/>
      <c r="LXT118" s="418"/>
      <c r="LXU118" s="418"/>
      <c r="LXV118" s="418"/>
      <c r="LXW118" s="418"/>
      <c r="LXX118" s="418"/>
      <c r="LXY118" s="418"/>
      <c r="LXZ118" s="418"/>
      <c r="LYA118" s="418"/>
      <c r="LYB118" s="418"/>
      <c r="LYC118" s="418"/>
      <c r="LYD118" s="418"/>
      <c r="LYE118" s="418"/>
      <c r="LYF118" s="418"/>
      <c r="LYG118" s="418"/>
      <c r="LYH118" s="418"/>
      <c r="LYI118" s="418"/>
      <c r="LYJ118" s="418"/>
      <c r="LYK118" s="418"/>
      <c r="LYL118" s="418"/>
      <c r="LYM118" s="418"/>
      <c r="LYN118" s="418"/>
      <c r="LYO118" s="418"/>
      <c r="LYP118" s="418"/>
      <c r="LYQ118" s="418"/>
      <c r="LYR118" s="418"/>
      <c r="LYS118" s="418"/>
      <c r="LYT118" s="418"/>
      <c r="LYU118" s="418"/>
      <c r="LYV118" s="418"/>
      <c r="LYW118" s="418"/>
      <c r="LYX118" s="418"/>
      <c r="LYY118" s="418"/>
      <c r="LYZ118" s="418"/>
      <c r="LZA118" s="418"/>
      <c r="LZB118" s="418"/>
      <c r="LZC118" s="418"/>
      <c r="LZD118" s="418"/>
      <c r="LZE118" s="418"/>
      <c r="LZF118" s="418"/>
      <c r="LZG118" s="418"/>
      <c r="LZH118" s="418"/>
      <c r="LZI118" s="418"/>
      <c r="LZJ118" s="418"/>
      <c r="LZK118" s="418"/>
      <c r="LZL118" s="418"/>
      <c r="LZM118" s="418"/>
      <c r="LZN118" s="418"/>
      <c r="LZO118" s="418"/>
      <c r="LZP118" s="418"/>
      <c r="LZQ118" s="418"/>
      <c r="LZR118" s="418"/>
      <c r="LZS118" s="418"/>
      <c r="LZT118" s="418"/>
      <c r="LZU118" s="418"/>
      <c r="LZV118" s="418"/>
      <c r="LZW118" s="418"/>
      <c r="LZX118" s="418"/>
      <c r="LZY118" s="418"/>
      <c r="LZZ118" s="418"/>
      <c r="MAA118" s="418"/>
      <c r="MAB118" s="418"/>
      <c r="MAC118" s="418"/>
      <c r="MAD118" s="418"/>
      <c r="MAE118" s="418"/>
      <c r="MAF118" s="418"/>
      <c r="MAG118" s="418"/>
      <c r="MAH118" s="418"/>
      <c r="MAI118" s="418"/>
      <c r="MAJ118" s="418"/>
      <c r="MAK118" s="418"/>
      <c r="MAL118" s="418"/>
      <c r="MAM118" s="418"/>
      <c r="MAN118" s="418"/>
      <c r="MAO118" s="418"/>
      <c r="MAP118" s="418"/>
      <c r="MAQ118" s="418"/>
      <c r="MAR118" s="418"/>
      <c r="MAS118" s="418"/>
      <c r="MAT118" s="418"/>
      <c r="MAU118" s="418"/>
      <c r="MAV118" s="418"/>
      <c r="MAW118" s="418"/>
      <c r="MAX118" s="418"/>
      <c r="MAY118" s="418"/>
      <c r="MAZ118" s="418"/>
      <c r="MBA118" s="418"/>
      <c r="MBB118" s="418"/>
      <c r="MBC118" s="418"/>
      <c r="MBD118" s="418"/>
      <c r="MBE118" s="418"/>
      <c r="MBF118" s="418"/>
      <c r="MBG118" s="418"/>
      <c r="MBH118" s="418"/>
      <c r="MBI118" s="418"/>
      <c r="MBJ118" s="418"/>
      <c r="MBK118" s="418"/>
      <c r="MBL118" s="418"/>
      <c r="MBM118" s="418"/>
      <c r="MBN118" s="418"/>
      <c r="MBO118" s="418"/>
      <c r="MBP118" s="418"/>
      <c r="MBQ118" s="418"/>
      <c r="MBR118" s="418"/>
      <c r="MBS118" s="418"/>
      <c r="MBT118" s="418"/>
      <c r="MBU118" s="418"/>
      <c r="MBV118" s="418"/>
      <c r="MBW118" s="418"/>
      <c r="MBX118" s="418"/>
      <c r="MBY118" s="418"/>
      <c r="MBZ118" s="418"/>
      <c r="MCA118" s="418"/>
      <c r="MCB118" s="418"/>
      <c r="MCC118" s="418"/>
      <c r="MCD118" s="418"/>
      <c r="MCE118" s="418"/>
      <c r="MCF118" s="418"/>
      <c r="MCG118" s="418"/>
      <c r="MCH118" s="418"/>
      <c r="MCI118" s="418"/>
      <c r="MCJ118" s="418"/>
      <c r="MCK118" s="418"/>
      <c r="MCL118" s="418"/>
      <c r="MCM118" s="418"/>
      <c r="MCN118" s="418"/>
      <c r="MCO118" s="418"/>
      <c r="MCP118" s="418"/>
      <c r="MCQ118" s="418"/>
      <c r="MCR118" s="418"/>
      <c r="MCS118" s="418"/>
      <c r="MCT118" s="418"/>
      <c r="MCU118" s="418"/>
      <c r="MCV118" s="418"/>
      <c r="MCW118" s="418"/>
      <c r="MCX118" s="418"/>
      <c r="MCY118" s="418"/>
      <c r="MCZ118" s="418"/>
      <c r="MDA118" s="418"/>
      <c r="MDB118" s="418"/>
      <c r="MDC118" s="418"/>
      <c r="MDD118" s="418"/>
      <c r="MDE118" s="418"/>
      <c r="MDF118" s="418"/>
      <c r="MDG118" s="418"/>
      <c r="MDH118" s="418"/>
      <c r="MDI118" s="418"/>
      <c r="MDJ118" s="418"/>
      <c r="MDK118" s="418"/>
      <c r="MDL118" s="418"/>
      <c r="MDM118" s="418"/>
      <c r="MDN118" s="418"/>
      <c r="MDO118" s="418"/>
      <c r="MDP118" s="418"/>
      <c r="MDQ118" s="418"/>
      <c r="MDR118" s="418"/>
      <c r="MDS118" s="418"/>
      <c r="MDT118" s="418"/>
      <c r="MDU118" s="418"/>
      <c r="MDV118" s="418"/>
      <c r="MDW118" s="418"/>
      <c r="MDX118" s="418"/>
      <c r="MDY118" s="418"/>
      <c r="MDZ118" s="418"/>
      <c r="MEA118" s="418"/>
      <c r="MEB118" s="418"/>
      <c r="MEC118" s="418"/>
      <c r="MED118" s="418"/>
      <c r="MEE118" s="418"/>
      <c r="MEF118" s="418"/>
      <c r="MEG118" s="418"/>
      <c r="MEH118" s="418"/>
      <c r="MEI118" s="418"/>
      <c r="MEJ118" s="418"/>
      <c r="MEK118" s="418"/>
      <c r="MEL118" s="418"/>
      <c r="MEM118" s="418"/>
      <c r="MEN118" s="418"/>
      <c r="MEO118" s="418"/>
      <c r="MEP118" s="418"/>
      <c r="MEQ118" s="418"/>
      <c r="MER118" s="418"/>
      <c r="MES118" s="418"/>
      <c r="MET118" s="418"/>
      <c r="MEU118" s="418"/>
      <c r="MEV118" s="418"/>
      <c r="MEW118" s="418"/>
      <c r="MEX118" s="418"/>
      <c r="MEY118" s="418"/>
      <c r="MEZ118" s="418"/>
      <c r="MFA118" s="418"/>
      <c r="MFB118" s="418"/>
      <c r="MFC118" s="418"/>
      <c r="MFD118" s="418"/>
      <c r="MFE118" s="418"/>
      <c r="MFF118" s="418"/>
      <c r="MFG118" s="418"/>
      <c r="MFH118" s="418"/>
      <c r="MFI118" s="418"/>
      <c r="MFJ118" s="418"/>
      <c r="MFK118" s="418"/>
      <c r="MFL118" s="418"/>
      <c r="MFM118" s="418"/>
      <c r="MFN118" s="418"/>
      <c r="MFO118" s="418"/>
      <c r="MFP118" s="418"/>
      <c r="MFQ118" s="418"/>
      <c r="MFR118" s="418"/>
      <c r="MFS118" s="418"/>
      <c r="MFT118" s="418"/>
      <c r="MFU118" s="418"/>
      <c r="MFV118" s="418"/>
      <c r="MFW118" s="418"/>
      <c r="MFX118" s="418"/>
      <c r="MFY118" s="418"/>
      <c r="MFZ118" s="418"/>
      <c r="MGA118" s="418"/>
      <c r="MGB118" s="418"/>
      <c r="MGC118" s="418"/>
      <c r="MGD118" s="418"/>
      <c r="MGE118" s="418"/>
      <c r="MGF118" s="418"/>
      <c r="MGG118" s="418"/>
      <c r="MGH118" s="418"/>
      <c r="MGI118" s="418"/>
      <c r="MGJ118" s="418"/>
      <c r="MGK118" s="418"/>
      <c r="MGL118" s="418"/>
      <c r="MGM118" s="418"/>
      <c r="MGN118" s="418"/>
      <c r="MGO118" s="418"/>
      <c r="MGP118" s="418"/>
      <c r="MGQ118" s="418"/>
      <c r="MGR118" s="418"/>
      <c r="MGS118" s="418"/>
      <c r="MGT118" s="418"/>
      <c r="MGU118" s="418"/>
      <c r="MGV118" s="418"/>
      <c r="MGW118" s="418"/>
      <c r="MGX118" s="418"/>
      <c r="MGY118" s="418"/>
      <c r="MGZ118" s="418"/>
      <c r="MHA118" s="418"/>
      <c r="MHB118" s="418"/>
      <c r="MHC118" s="418"/>
      <c r="MHD118" s="418"/>
      <c r="MHE118" s="418"/>
      <c r="MHF118" s="418"/>
      <c r="MHG118" s="418"/>
      <c r="MHH118" s="418"/>
      <c r="MHI118" s="418"/>
      <c r="MHJ118" s="418"/>
      <c r="MHK118" s="418"/>
      <c r="MHL118" s="418"/>
      <c r="MHM118" s="418"/>
      <c r="MHN118" s="418"/>
      <c r="MHO118" s="418"/>
      <c r="MHP118" s="418"/>
      <c r="MHQ118" s="418"/>
      <c r="MHR118" s="418"/>
      <c r="MHS118" s="418"/>
      <c r="MHT118" s="418"/>
      <c r="MHU118" s="418"/>
      <c r="MHV118" s="418"/>
      <c r="MHW118" s="418"/>
      <c r="MHX118" s="418"/>
      <c r="MHY118" s="418"/>
      <c r="MHZ118" s="418"/>
      <c r="MIA118" s="418"/>
      <c r="MIB118" s="418"/>
      <c r="MIC118" s="418"/>
      <c r="MID118" s="418"/>
      <c r="MIE118" s="418"/>
      <c r="MIF118" s="418"/>
      <c r="MIG118" s="418"/>
      <c r="MIH118" s="418"/>
      <c r="MII118" s="418"/>
      <c r="MIJ118" s="418"/>
      <c r="MIK118" s="418"/>
      <c r="MIL118" s="418"/>
      <c r="MIM118" s="418"/>
      <c r="MIN118" s="418"/>
      <c r="MIO118" s="418"/>
      <c r="MIP118" s="418"/>
      <c r="MIQ118" s="418"/>
      <c r="MIR118" s="418"/>
      <c r="MIS118" s="418"/>
      <c r="MIT118" s="418"/>
      <c r="MIU118" s="418"/>
      <c r="MIV118" s="418"/>
      <c r="MIW118" s="418"/>
      <c r="MIX118" s="418"/>
      <c r="MIY118" s="418"/>
      <c r="MIZ118" s="418"/>
      <c r="MJA118" s="418"/>
      <c r="MJB118" s="418"/>
      <c r="MJC118" s="418"/>
      <c r="MJD118" s="418"/>
      <c r="MJE118" s="418"/>
      <c r="MJF118" s="418"/>
      <c r="MJG118" s="418"/>
      <c r="MJH118" s="418"/>
      <c r="MJI118" s="418"/>
      <c r="MJJ118" s="418"/>
      <c r="MJK118" s="418"/>
      <c r="MJL118" s="418"/>
      <c r="MJM118" s="418"/>
      <c r="MJN118" s="418"/>
      <c r="MJO118" s="418"/>
      <c r="MJP118" s="418"/>
      <c r="MJQ118" s="418"/>
      <c r="MJR118" s="418"/>
      <c r="MJS118" s="418"/>
      <c r="MJT118" s="418"/>
      <c r="MJU118" s="418"/>
      <c r="MJV118" s="418"/>
      <c r="MJW118" s="418"/>
      <c r="MJX118" s="418"/>
      <c r="MJY118" s="418"/>
      <c r="MJZ118" s="418"/>
      <c r="MKA118" s="418"/>
      <c r="MKB118" s="418"/>
      <c r="MKC118" s="418"/>
      <c r="MKD118" s="418"/>
      <c r="MKE118" s="418"/>
      <c r="MKF118" s="418"/>
      <c r="MKG118" s="418"/>
      <c r="MKH118" s="418"/>
      <c r="MKI118" s="418"/>
      <c r="MKJ118" s="418"/>
      <c r="MKK118" s="418"/>
      <c r="MKL118" s="418"/>
      <c r="MKM118" s="418"/>
      <c r="MKN118" s="418"/>
      <c r="MKO118" s="418"/>
      <c r="MKP118" s="418"/>
      <c r="MKQ118" s="418"/>
      <c r="MKR118" s="418"/>
      <c r="MKS118" s="418"/>
      <c r="MKT118" s="418"/>
      <c r="MKU118" s="418"/>
      <c r="MKV118" s="418"/>
      <c r="MKW118" s="418"/>
      <c r="MKX118" s="418"/>
      <c r="MKY118" s="418"/>
      <c r="MKZ118" s="418"/>
      <c r="MLA118" s="418"/>
      <c r="MLB118" s="418"/>
      <c r="MLC118" s="418"/>
      <c r="MLD118" s="418"/>
      <c r="MLE118" s="418"/>
      <c r="MLF118" s="418"/>
      <c r="MLG118" s="418"/>
      <c r="MLH118" s="418"/>
      <c r="MLI118" s="418"/>
      <c r="MLJ118" s="418"/>
      <c r="MLK118" s="418"/>
      <c r="MLL118" s="418"/>
      <c r="MLM118" s="418"/>
      <c r="MLN118" s="418"/>
      <c r="MLO118" s="418"/>
      <c r="MLP118" s="418"/>
      <c r="MLQ118" s="418"/>
      <c r="MLR118" s="418"/>
      <c r="MLS118" s="418"/>
      <c r="MLT118" s="418"/>
      <c r="MLU118" s="418"/>
      <c r="MLV118" s="418"/>
      <c r="MLW118" s="418"/>
      <c r="MLX118" s="418"/>
      <c r="MLY118" s="418"/>
      <c r="MLZ118" s="418"/>
      <c r="MMA118" s="418"/>
      <c r="MMB118" s="418"/>
      <c r="MMC118" s="418"/>
      <c r="MMD118" s="418"/>
      <c r="MME118" s="418"/>
      <c r="MMF118" s="418"/>
      <c r="MMG118" s="418"/>
      <c r="MMH118" s="418"/>
      <c r="MMI118" s="418"/>
      <c r="MMJ118" s="418"/>
      <c r="MMK118" s="418"/>
      <c r="MML118" s="418"/>
      <c r="MMM118" s="418"/>
      <c r="MMN118" s="418"/>
      <c r="MMO118" s="418"/>
      <c r="MMP118" s="418"/>
      <c r="MMQ118" s="418"/>
      <c r="MMR118" s="418"/>
      <c r="MMS118" s="418"/>
      <c r="MMT118" s="418"/>
      <c r="MMU118" s="418"/>
      <c r="MMV118" s="418"/>
      <c r="MMW118" s="418"/>
      <c r="MMX118" s="418"/>
      <c r="MMY118" s="418"/>
      <c r="MMZ118" s="418"/>
      <c r="MNA118" s="418"/>
      <c r="MNB118" s="418"/>
      <c r="MNC118" s="418"/>
      <c r="MND118" s="418"/>
      <c r="MNE118" s="418"/>
      <c r="MNF118" s="418"/>
      <c r="MNG118" s="418"/>
      <c r="MNH118" s="418"/>
      <c r="MNI118" s="418"/>
      <c r="MNJ118" s="418"/>
      <c r="MNK118" s="418"/>
      <c r="MNL118" s="418"/>
      <c r="MNM118" s="418"/>
      <c r="MNN118" s="418"/>
      <c r="MNO118" s="418"/>
      <c r="MNP118" s="418"/>
      <c r="MNQ118" s="418"/>
      <c r="MNR118" s="418"/>
      <c r="MNS118" s="418"/>
      <c r="MNT118" s="418"/>
      <c r="MNU118" s="418"/>
      <c r="MNV118" s="418"/>
      <c r="MNW118" s="418"/>
      <c r="MNX118" s="418"/>
      <c r="MNY118" s="418"/>
      <c r="MNZ118" s="418"/>
      <c r="MOA118" s="418"/>
      <c r="MOB118" s="418"/>
      <c r="MOC118" s="418"/>
      <c r="MOD118" s="418"/>
      <c r="MOE118" s="418"/>
      <c r="MOF118" s="418"/>
      <c r="MOG118" s="418"/>
      <c r="MOH118" s="418"/>
      <c r="MOI118" s="418"/>
      <c r="MOJ118" s="418"/>
      <c r="MOK118" s="418"/>
      <c r="MOL118" s="418"/>
      <c r="MOM118" s="418"/>
      <c r="MON118" s="418"/>
      <c r="MOO118" s="418"/>
      <c r="MOP118" s="418"/>
      <c r="MOQ118" s="418"/>
      <c r="MOR118" s="418"/>
      <c r="MOS118" s="418"/>
      <c r="MOT118" s="418"/>
      <c r="MOU118" s="418"/>
      <c r="MOV118" s="418"/>
      <c r="MOW118" s="418"/>
      <c r="MOX118" s="418"/>
      <c r="MOY118" s="418"/>
      <c r="MOZ118" s="418"/>
      <c r="MPA118" s="418"/>
      <c r="MPB118" s="418"/>
      <c r="MPC118" s="418"/>
      <c r="MPD118" s="418"/>
      <c r="MPE118" s="418"/>
      <c r="MPF118" s="418"/>
      <c r="MPG118" s="418"/>
      <c r="MPH118" s="418"/>
      <c r="MPI118" s="418"/>
      <c r="MPJ118" s="418"/>
      <c r="MPK118" s="418"/>
      <c r="MPL118" s="418"/>
      <c r="MPM118" s="418"/>
      <c r="MPN118" s="418"/>
      <c r="MPO118" s="418"/>
      <c r="MPP118" s="418"/>
      <c r="MPQ118" s="418"/>
      <c r="MPR118" s="418"/>
      <c r="MPS118" s="418"/>
      <c r="MPT118" s="418"/>
      <c r="MPU118" s="418"/>
      <c r="MPV118" s="418"/>
      <c r="MPW118" s="418"/>
      <c r="MPX118" s="418"/>
      <c r="MPY118" s="418"/>
      <c r="MPZ118" s="418"/>
      <c r="MQA118" s="418"/>
      <c r="MQB118" s="418"/>
      <c r="MQC118" s="418"/>
      <c r="MQD118" s="418"/>
      <c r="MQE118" s="418"/>
      <c r="MQF118" s="418"/>
      <c r="MQG118" s="418"/>
      <c r="MQH118" s="418"/>
      <c r="MQI118" s="418"/>
      <c r="MQJ118" s="418"/>
      <c r="MQK118" s="418"/>
      <c r="MQL118" s="418"/>
      <c r="MQM118" s="418"/>
      <c r="MQN118" s="418"/>
      <c r="MQO118" s="418"/>
      <c r="MQP118" s="418"/>
      <c r="MQQ118" s="418"/>
      <c r="MQR118" s="418"/>
      <c r="MQS118" s="418"/>
      <c r="MQT118" s="418"/>
      <c r="MQU118" s="418"/>
      <c r="MQV118" s="418"/>
      <c r="MQW118" s="418"/>
      <c r="MQX118" s="418"/>
      <c r="MQY118" s="418"/>
      <c r="MQZ118" s="418"/>
      <c r="MRA118" s="418"/>
      <c r="MRB118" s="418"/>
      <c r="MRC118" s="418"/>
      <c r="MRD118" s="418"/>
      <c r="MRE118" s="418"/>
      <c r="MRF118" s="418"/>
      <c r="MRG118" s="418"/>
      <c r="MRH118" s="418"/>
      <c r="MRI118" s="418"/>
      <c r="MRJ118" s="418"/>
      <c r="MRK118" s="418"/>
      <c r="MRL118" s="418"/>
      <c r="MRM118" s="418"/>
      <c r="MRN118" s="418"/>
      <c r="MRO118" s="418"/>
      <c r="MRP118" s="418"/>
      <c r="MRQ118" s="418"/>
      <c r="MRR118" s="418"/>
      <c r="MRS118" s="418"/>
      <c r="MRT118" s="418"/>
      <c r="MRU118" s="418"/>
      <c r="MRV118" s="418"/>
      <c r="MRW118" s="418"/>
      <c r="MRX118" s="418"/>
      <c r="MRY118" s="418"/>
      <c r="MRZ118" s="418"/>
      <c r="MSA118" s="418"/>
      <c r="MSB118" s="418"/>
      <c r="MSC118" s="418"/>
      <c r="MSD118" s="418"/>
      <c r="MSE118" s="418"/>
      <c r="MSF118" s="418"/>
      <c r="MSG118" s="418"/>
      <c r="MSH118" s="418"/>
      <c r="MSI118" s="418"/>
      <c r="MSJ118" s="418"/>
      <c r="MSK118" s="418"/>
      <c r="MSL118" s="418"/>
      <c r="MSM118" s="418"/>
      <c r="MSN118" s="418"/>
      <c r="MSO118" s="418"/>
      <c r="MSP118" s="418"/>
      <c r="MSQ118" s="418"/>
      <c r="MSR118" s="418"/>
      <c r="MSS118" s="418"/>
      <c r="MST118" s="418"/>
      <c r="MSU118" s="418"/>
      <c r="MSV118" s="418"/>
      <c r="MSW118" s="418"/>
      <c r="MSX118" s="418"/>
      <c r="MSY118" s="418"/>
      <c r="MSZ118" s="418"/>
      <c r="MTA118" s="418"/>
      <c r="MTB118" s="418"/>
      <c r="MTC118" s="418"/>
      <c r="MTD118" s="418"/>
      <c r="MTE118" s="418"/>
      <c r="MTF118" s="418"/>
      <c r="MTG118" s="418"/>
      <c r="MTH118" s="418"/>
      <c r="MTI118" s="418"/>
      <c r="MTJ118" s="418"/>
      <c r="MTK118" s="418"/>
      <c r="MTL118" s="418"/>
      <c r="MTM118" s="418"/>
      <c r="MTN118" s="418"/>
      <c r="MTO118" s="418"/>
      <c r="MTP118" s="418"/>
      <c r="MTQ118" s="418"/>
      <c r="MTR118" s="418"/>
      <c r="MTS118" s="418"/>
      <c r="MTT118" s="418"/>
      <c r="MTU118" s="418"/>
      <c r="MTV118" s="418"/>
      <c r="MTW118" s="418"/>
      <c r="MTX118" s="418"/>
      <c r="MTY118" s="418"/>
      <c r="MTZ118" s="418"/>
      <c r="MUA118" s="418"/>
      <c r="MUB118" s="418"/>
      <c r="MUC118" s="418"/>
      <c r="MUD118" s="418"/>
      <c r="MUE118" s="418"/>
      <c r="MUF118" s="418"/>
      <c r="MUG118" s="418"/>
      <c r="MUH118" s="418"/>
      <c r="MUI118" s="418"/>
      <c r="MUJ118" s="418"/>
      <c r="MUK118" s="418"/>
      <c r="MUL118" s="418"/>
      <c r="MUM118" s="418"/>
      <c r="MUN118" s="418"/>
      <c r="MUO118" s="418"/>
      <c r="MUP118" s="418"/>
      <c r="MUQ118" s="418"/>
      <c r="MUR118" s="418"/>
      <c r="MUS118" s="418"/>
      <c r="MUT118" s="418"/>
      <c r="MUU118" s="418"/>
      <c r="MUV118" s="418"/>
      <c r="MUW118" s="418"/>
      <c r="MUX118" s="418"/>
      <c r="MUY118" s="418"/>
      <c r="MUZ118" s="418"/>
      <c r="MVA118" s="418"/>
      <c r="MVB118" s="418"/>
      <c r="MVC118" s="418"/>
      <c r="MVD118" s="418"/>
      <c r="MVE118" s="418"/>
      <c r="MVF118" s="418"/>
      <c r="MVG118" s="418"/>
      <c r="MVH118" s="418"/>
      <c r="MVI118" s="418"/>
      <c r="MVJ118" s="418"/>
      <c r="MVK118" s="418"/>
      <c r="MVL118" s="418"/>
      <c r="MVM118" s="418"/>
      <c r="MVN118" s="418"/>
      <c r="MVO118" s="418"/>
      <c r="MVP118" s="418"/>
      <c r="MVQ118" s="418"/>
      <c r="MVR118" s="418"/>
      <c r="MVS118" s="418"/>
      <c r="MVT118" s="418"/>
      <c r="MVU118" s="418"/>
      <c r="MVV118" s="418"/>
      <c r="MVW118" s="418"/>
      <c r="MVX118" s="418"/>
      <c r="MVY118" s="418"/>
      <c r="MVZ118" s="418"/>
      <c r="MWA118" s="418"/>
      <c r="MWB118" s="418"/>
      <c r="MWC118" s="418"/>
      <c r="MWD118" s="418"/>
      <c r="MWE118" s="418"/>
      <c r="MWF118" s="418"/>
      <c r="MWG118" s="418"/>
      <c r="MWH118" s="418"/>
      <c r="MWI118" s="418"/>
      <c r="MWJ118" s="418"/>
      <c r="MWK118" s="418"/>
      <c r="MWL118" s="418"/>
      <c r="MWM118" s="418"/>
      <c r="MWN118" s="418"/>
      <c r="MWO118" s="418"/>
      <c r="MWP118" s="418"/>
      <c r="MWQ118" s="418"/>
      <c r="MWR118" s="418"/>
      <c r="MWS118" s="418"/>
      <c r="MWT118" s="418"/>
      <c r="MWU118" s="418"/>
      <c r="MWV118" s="418"/>
      <c r="MWW118" s="418"/>
      <c r="MWX118" s="418"/>
      <c r="MWY118" s="418"/>
      <c r="MWZ118" s="418"/>
      <c r="MXA118" s="418"/>
      <c r="MXB118" s="418"/>
      <c r="MXC118" s="418"/>
      <c r="MXD118" s="418"/>
      <c r="MXE118" s="418"/>
      <c r="MXF118" s="418"/>
      <c r="MXG118" s="418"/>
      <c r="MXH118" s="418"/>
      <c r="MXI118" s="418"/>
      <c r="MXJ118" s="418"/>
      <c r="MXK118" s="418"/>
      <c r="MXL118" s="418"/>
      <c r="MXM118" s="418"/>
      <c r="MXN118" s="418"/>
      <c r="MXO118" s="418"/>
      <c r="MXP118" s="418"/>
      <c r="MXQ118" s="418"/>
      <c r="MXR118" s="418"/>
      <c r="MXS118" s="418"/>
      <c r="MXT118" s="418"/>
      <c r="MXU118" s="418"/>
      <c r="MXV118" s="418"/>
      <c r="MXW118" s="418"/>
      <c r="MXX118" s="418"/>
      <c r="MXY118" s="418"/>
      <c r="MXZ118" s="418"/>
      <c r="MYA118" s="418"/>
      <c r="MYB118" s="418"/>
      <c r="MYC118" s="418"/>
      <c r="MYD118" s="418"/>
      <c r="MYE118" s="418"/>
      <c r="MYF118" s="418"/>
      <c r="MYG118" s="418"/>
      <c r="MYH118" s="418"/>
      <c r="MYI118" s="418"/>
      <c r="MYJ118" s="418"/>
      <c r="MYK118" s="418"/>
      <c r="MYL118" s="418"/>
      <c r="MYM118" s="418"/>
      <c r="MYN118" s="418"/>
      <c r="MYO118" s="418"/>
      <c r="MYP118" s="418"/>
      <c r="MYQ118" s="418"/>
      <c r="MYR118" s="418"/>
      <c r="MYS118" s="418"/>
      <c r="MYT118" s="418"/>
      <c r="MYU118" s="418"/>
      <c r="MYV118" s="418"/>
      <c r="MYW118" s="418"/>
      <c r="MYX118" s="418"/>
      <c r="MYY118" s="418"/>
      <c r="MYZ118" s="418"/>
      <c r="MZA118" s="418"/>
      <c r="MZB118" s="418"/>
      <c r="MZC118" s="418"/>
      <c r="MZD118" s="418"/>
      <c r="MZE118" s="418"/>
      <c r="MZF118" s="418"/>
      <c r="MZG118" s="418"/>
      <c r="MZH118" s="418"/>
      <c r="MZI118" s="418"/>
      <c r="MZJ118" s="418"/>
      <c r="MZK118" s="418"/>
      <c r="MZL118" s="418"/>
      <c r="MZM118" s="418"/>
      <c r="MZN118" s="418"/>
      <c r="MZO118" s="418"/>
      <c r="MZP118" s="418"/>
      <c r="MZQ118" s="418"/>
      <c r="MZR118" s="418"/>
      <c r="MZS118" s="418"/>
      <c r="MZT118" s="418"/>
      <c r="MZU118" s="418"/>
      <c r="MZV118" s="418"/>
      <c r="MZW118" s="418"/>
      <c r="MZX118" s="418"/>
      <c r="MZY118" s="418"/>
      <c r="MZZ118" s="418"/>
      <c r="NAA118" s="418"/>
      <c r="NAB118" s="418"/>
      <c r="NAC118" s="418"/>
      <c r="NAD118" s="418"/>
      <c r="NAE118" s="418"/>
      <c r="NAF118" s="418"/>
      <c r="NAG118" s="418"/>
      <c r="NAH118" s="418"/>
      <c r="NAI118" s="418"/>
      <c r="NAJ118" s="418"/>
      <c r="NAK118" s="418"/>
      <c r="NAL118" s="418"/>
      <c r="NAM118" s="418"/>
      <c r="NAN118" s="418"/>
      <c r="NAO118" s="418"/>
      <c r="NAP118" s="418"/>
      <c r="NAQ118" s="418"/>
      <c r="NAR118" s="418"/>
      <c r="NAS118" s="418"/>
      <c r="NAT118" s="418"/>
      <c r="NAU118" s="418"/>
      <c r="NAV118" s="418"/>
      <c r="NAW118" s="418"/>
      <c r="NAX118" s="418"/>
      <c r="NAY118" s="418"/>
      <c r="NAZ118" s="418"/>
      <c r="NBA118" s="418"/>
      <c r="NBB118" s="418"/>
      <c r="NBC118" s="418"/>
      <c r="NBD118" s="418"/>
      <c r="NBE118" s="418"/>
      <c r="NBF118" s="418"/>
      <c r="NBG118" s="418"/>
      <c r="NBH118" s="418"/>
      <c r="NBI118" s="418"/>
      <c r="NBJ118" s="418"/>
      <c r="NBK118" s="418"/>
      <c r="NBL118" s="418"/>
      <c r="NBM118" s="418"/>
      <c r="NBN118" s="418"/>
      <c r="NBO118" s="418"/>
      <c r="NBP118" s="418"/>
      <c r="NBQ118" s="418"/>
      <c r="NBR118" s="418"/>
      <c r="NBS118" s="418"/>
      <c r="NBT118" s="418"/>
      <c r="NBU118" s="418"/>
      <c r="NBV118" s="418"/>
      <c r="NBW118" s="418"/>
      <c r="NBX118" s="418"/>
      <c r="NBY118" s="418"/>
      <c r="NBZ118" s="418"/>
      <c r="NCA118" s="418"/>
      <c r="NCB118" s="418"/>
      <c r="NCC118" s="418"/>
      <c r="NCD118" s="418"/>
      <c r="NCE118" s="418"/>
      <c r="NCF118" s="418"/>
      <c r="NCG118" s="418"/>
      <c r="NCH118" s="418"/>
      <c r="NCI118" s="418"/>
      <c r="NCJ118" s="418"/>
      <c r="NCK118" s="418"/>
      <c r="NCL118" s="418"/>
      <c r="NCM118" s="418"/>
      <c r="NCN118" s="418"/>
      <c r="NCO118" s="418"/>
      <c r="NCP118" s="418"/>
      <c r="NCQ118" s="418"/>
      <c r="NCR118" s="418"/>
      <c r="NCS118" s="418"/>
      <c r="NCT118" s="418"/>
      <c r="NCU118" s="418"/>
      <c r="NCV118" s="418"/>
      <c r="NCW118" s="418"/>
      <c r="NCX118" s="418"/>
      <c r="NCY118" s="418"/>
      <c r="NCZ118" s="418"/>
      <c r="NDA118" s="418"/>
      <c r="NDB118" s="418"/>
      <c r="NDC118" s="418"/>
      <c r="NDD118" s="418"/>
      <c r="NDE118" s="418"/>
      <c r="NDF118" s="418"/>
      <c r="NDG118" s="418"/>
      <c r="NDH118" s="418"/>
      <c r="NDI118" s="418"/>
      <c r="NDJ118" s="418"/>
      <c r="NDK118" s="418"/>
      <c r="NDL118" s="418"/>
      <c r="NDM118" s="418"/>
      <c r="NDN118" s="418"/>
      <c r="NDO118" s="418"/>
      <c r="NDP118" s="418"/>
      <c r="NDQ118" s="418"/>
      <c r="NDR118" s="418"/>
      <c r="NDS118" s="418"/>
      <c r="NDT118" s="418"/>
      <c r="NDU118" s="418"/>
      <c r="NDV118" s="418"/>
      <c r="NDW118" s="418"/>
      <c r="NDX118" s="418"/>
      <c r="NDY118" s="418"/>
      <c r="NDZ118" s="418"/>
      <c r="NEA118" s="418"/>
      <c r="NEB118" s="418"/>
      <c r="NEC118" s="418"/>
      <c r="NED118" s="418"/>
      <c r="NEE118" s="418"/>
      <c r="NEF118" s="418"/>
      <c r="NEG118" s="418"/>
      <c r="NEH118" s="418"/>
      <c r="NEI118" s="418"/>
      <c r="NEJ118" s="418"/>
      <c r="NEK118" s="418"/>
      <c r="NEL118" s="418"/>
      <c r="NEM118" s="418"/>
      <c r="NEN118" s="418"/>
      <c r="NEO118" s="418"/>
      <c r="NEP118" s="418"/>
      <c r="NEQ118" s="418"/>
      <c r="NER118" s="418"/>
      <c r="NES118" s="418"/>
      <c r="NET118" s="418"/>
      <c r="NEU118" s="418"/>
      <c r="NEV118" s="418"/>
      <c r="NEW118" s="418"/>
      <c r="NEX118" s="418"/>
      <c r="NEY118" s="418"/>
      <c r="NEZ118" s="418"/>
      <c r="NFA118" s="418"/>
      <c r="NFB118" s="418"/>
      <c r="NFC118" s="418"/>
      <c r="NFD118" s="418"/>
      <c r="NFE118" s="418"/>
      <c r="NFF118" s="418"/>
      <c r="NFG118" s="418"/>
      <c r="NFH118" s="418"/>
      <c r="NFI118" s="418"/>
      <c r="NFJ118" s="418"/>
      <c r="NFK118" s="418"/>
      <c r="NFL118" s="418"/>
      <c r="NFM118" s="418"/>
      <c r="NFN118" s="418"/>
      <c r="NFO118" s="418"/>
      <c r="NFP118" s="418"/>
      <c r="NFQ118" s="418"/>
      <c r="NFR118" s="418"/>
      <c r="NFS118" s="418"/>
      <c r="NFT118" s="418"/>
      <c r="NFU118" s="418"/>
      <c r="NFV118" s="418"/>
      <c r="NFW118" s="418"/>
      <c r="NFX118" s="418"/>
      <c r="NFY118" s="418"/>
      <c r="NFZ118" s="418"/>
      <c r="NGA118" s="418"/>
      <c r="NGB118" s="418"/>
      <c r="NGC118" s="418"/>
      <c r="NGD118" s="418"/>
      <c r="NGE118" s="418"/>
      <c r="NGF118" s="418"/>
      <c r="NGG118" s="418"/>
      <c r="NGH118" s="418"/>
      <c r="NGI118" s="418"/>
      <c r="NGJ118" s="418"/>
      <c r="NGK118" s="418"/>
      <c r="NGL118" s="418"/>
      <c r="NGM118" s="418"/>
      <c r="NGN118" s="418"/>
      <c r="NGO118" s="418"/>
      <c r="NGP118" s="418"/>
      <c r="NGQ118" s="418"/>
      <c r="NGR118" s="418"/>
      <c r="NGS118" s="418"/>
      <c r="NGT118" s="418"/>
      <c r="NGU118" s="418"/>
      <c r="NGV118" s="418"/>
      <c r="NGW118" s="418"/>
      <c r="NGX118" s="418"/>
      <c r="NGY118" s="418"/>
      <c r="NGZ118" s="418"/>
      <c r="NHA118" s="418"/>
      <c r="NHB118" s="418"/>
      <c r="NHC118" s="418"/>
      <c r="NHD118" s="418"/>
      <c r="NHE118" s="418"/>
      <c r="NHF118" s="418"/>
      <c r="NHG118" s="418"/>
      <c r="NHH118" s="418"/>
      <c r="NHI118" s="418"/>
      <c r="NHJ118" s="418"/>
      <c r="NHK118" s="418"/>
      <c r="NHL118" s="418"/>
      <c r="NHM118" s="418"/>
      <c r="NHN118" s="418"/>
      <c r="NHO118" s="418"/>
      <c r="NHP118" s="418"/>
      <c r="NHQ118" s="418"/>
      <c r="NHR118" s="418"/>
      <c r="NHS118" s="418"/>
      <c r="NHT118" s="418"/>
      <c r="NHU118" s="418"/>
      <c r="NHV118" s="418"/>
      <c r="NHW118" s="418"/>
      <c r="NHX118" s="418"/>
      <c r="NHY118" s="418"/>
      <c r="NHZ118" s="418"/>
      <c r="NIA118" s="418"/>
      <c r="NIB118" s="418"/>
      <c r="NIC118" s="418"/>
      <c r="NID118" s="418"/>
      <c r="NIE118" s="418"/>
      <c r="NIF118" s="418"/>
      <c r="NIG118" s="418"/>
      <c r="NIH118" s="418"/>
      <c r="NII118" s="418"/>
      <c r="NIJ118" s="418"/>
      <c r="NIK118" s="418"/>
      <c r="NIL118" s="418"/>
      <c r="NIM118" s="418"/>
      <c r="NIN118" s="418"/>
      <c r="NIO118" s="418"/>
      <c r="NIP118" s="418"/>
      <c r="NIQ118" s="418"/>
      <c r="NIR118" s="418"/>
      <c r="NIS118" s="418"/>
      <c r="NIT118" s="418"/>
      <c r="NIU118" s="418"/>
      <c r="NIV118" s="418"/>
      <c r="NIW118" s="418"/>
      <c r="NIX118" s="418"/>
      <c r="NIY118" s="418"/>
      <c r="NIZ118" s="418"/>
      <c r="NJA118" s="418"/>
      <c r="NJB118" s="418"/>
      <c r="NJC118" s="418"/>
      <c r="NJD118" s="418"/>
      <c r="NJE118" s="418"/>
      <c r="NJF118" s="418"/>
      <c r="NJG118" s="418"/>
      <c r="NJH118" s="418"/>
      <c r="NJI118" s="418"/>
      <c r="NJJ118" s="418"/>
      <c r="NJK118" s="418"/>
      <c r="NJL118" s="418"/>
      <c r="NJM118" s="418"/>
      <c r="NJN118" s="418"/>
      <c r="NJO118" s="418"/>
      <c r="NJP118" s="418"/>
      <c r="NJQ118" s="418"/>
      <c r="NJR118" s="418"/>
      <c r="NJS118" s="418"/>
      <c r="NJT118" s="418"/>
      <c r="NJU118" s="418"/>
      <c r="NJV118" s="418"/>
      <c r="NJW118" s="418"/>
      <c r="NJX118" s="418"/>
      <c r="NJY118" s="418"/>
      <c r="NJZ118" s="418"/>
      <c r="NKA118" s="418"/>
      <c r="NKB118" s="418"/>
      <c r="NKC118" s="418"/>
      <c r="NKD118" s="418"/>
      <c r="NKE118" s="418"/>
      <c r="NKF118" s="418"/>
      <c r="NKG118" s="418"/>
      <c r="NKH118" s="418"/>
      <c r="NKI118" s="418"/>
      <c r="NKJ118" s="418"/>
      <c r="NKK118" s="418"/>
      <c r="NKL118" s="418"/>
      <c r="NKM118" s="418"/>
      <c r="NKN118" s="418"/>
      <c r="NKO118" s="418"/>
      <c r="NKP118" s="418"/>
      <c r="NKQ118" s="418"/>
      <c r="NKR118" s="418"/>
      <c r="NKS118" s="418"/>
      <c r="NKT118" s="418"/>
      <c r="NKU118" s="418"/>
      <c r="NKV118" s="418"/>
      <c r="NKW118" s="418"/>
      <c r="NKX118" s="418"/>
      <c r="NKY118" s="418"/>
      <c r="NKZ118" s="418"/>
      <c r="NLA118" s="418"/>
      <c r="NLB118" s="418"/>
      <c r="NLC118" s="418"/>
      <c r="NLD118" s="418"/>
      <c r="NLE118" s="418"/>
      <c r="NLF118" s="418"/>
      <c r="NLG118" s="418"/>
      <c r="NLH118" s="418"/>
      <c r="NLI118" s="418"/>
      <c r="NLJ118" s="418"/>
      <c r="NLK118" s="418"/>
      <c r="NLL118" s="418"/>
      <c r="NLM118" s="418"/>
      <c r="NLN118" s="418"/>
      <c r="NLO118" s="418"/>
      <c r="NLP118" s="418"/>
      <c r="NLQ118" s="418"/>
      <c r="NLR118" s="418"/>
      <c r="NLS118" s="418"/>
      <c r="NLT118" s="418"/>
      <c r="NLU118" s="418"/>
      <c r="NLV118" s="418"/>
      <c r="NLW118" s="418"/>
      <c r="NLX118" s="418"/>
      <c r="NLY118" s="418"/>
      <c r="NLZ118" s="418"/>
      <c r="NMA118" s="418"/>
      <c r="NMB118" s="418"/>
      <c r="NMC118" s="418"/>
      <c r="NMD118" s="418"/>
      <c r="NME118" s="418"/>
      <c r="NMF118" s="418"/>
      <c r="NMG118" s="418"/>
      <c r="NMH118" s="418"/>
      <c r="NMI118" s="418"/>
      <c r="NMJ118" s="418"/>
      <c r="NMK118" s="418"/>
      <c r="NML118" s="418"/>
      <c r="NMM118" s="418"/>
      <c r="NMN118" s="418"/>
      <c r="NMO118" s="418"/>
      <c r="NMP118" s="418"/>
      <c r="NMQ118" s="418"/>
      <c r="NMR118" s="418"/>
      <c r="NMS118" s="418"/>
      <c r="NMT118" s="418"/>
      <c r="NMU118" s="418"/>
      <c r="NMV118" s="418"/>
      <c r="NMW118" s="418"/>
      <c r="NMX118" s="418"/>
      <c r="NMY118" s="418"/>
      <c r="NMZ118" s="418"/>
      <c r="NNA118" s="418"/>
      <c r="NNB118" s="418"/>
      <c r="NNC118" s="418"/>
      <c r="NND118" s="418"/>
      <c r="NNE118" s="418"/>
      <c r="NNF118" s="418"/>
      <c r="NNG118" s="418"/>
      <c r="NNH118" s="418"/>
      <c r="NNI118" s="418"/>
      <c r="NNJ118" s="418"/>
      <c r="NNK118" s="418"/>
      <c r="NNL118" s="418"/>
      <c r="NNM118" s="418"/>
      <c r="NNN118" s="418"/>
      <c r="NNO118" s="418"/>
      <c r="NNP118" s="418"/>
      <c r="NNQ118" s="418"/>
      <c r="NNR118" s="418"/>
      <c r="NNS118" s="418"/>
      <c r="NNT118" s="418"/>
      <c r="NNU118" s="418"/>
      <c r="NNV118" s="418"/>
      <c r="NNW118" s="418"/>
      <c r="NNX118" s="418"/>
      <c r="NNY118" s="418"/>
      <c r="NNZ118" s="418"/>
      <c r="NOA118" s="418"/>
      <c r="NOB118" s="418"/>
      <c r="NOC118" s="418"/>
      <c r="NOD118" s="418"/>
      <c r="NOE118" s="418"/>
      <c r="NOF118" s="418"/>
      <c r="NOG118" s="418"/>
      <c r="NOH118" s="418"/>
      <c r="NOI118" s="418"/>
      <c r="NOJ118" s="418"/>
      <c r="NOK118" s="418"/>
      <c r="NOL118" s="418"/>
      <c r="NOM118" s="418"/>
      <c r="NON118" s="418"/>
      <c r="NOO118" s="418"/>
      <c r="NOP118" s="418"/>
      <c r="NOQ118" s="418"/>
      <c r="NOR118" s="418"/>
      <c r="NOS118" s="418"/>
      <c r="NOT118" s="418"/>
      <c r="NOU118" s="418"/>
      <c r="NOV118" s="418"/>
      <c r="NOW118" s="418"/>
      <c r="NOX118" s="418"/>
      <c r="NOY118" s="418"/>
      <c r="NOZ118" s="418"/>
      <c r="NPA118" s="418"/>
      <c r="NPB118" s="418"/>
      <c r="NPC118" s="418"/>
      <c r="NPD118" s="418"/>
      <c r="NPE118" s="418"/>
      <c r="NPF118" s="418"/>
      <c r="NPG118" s="418"/>
      <c r="NPH118" s="418"/>
      <c r="NPI118" s="418"/>
      <c r="NPJ118" s="418"/>
      <c r="NPK118" s="418"/>
      <c r="NPL118" s="418"/>
      <c r="NPM118" s="418"/>
      <c r="NPN118" s="418"/>
      <c r="NPO118" s="418"/>
      <c r="NPP118" s="418"/>
      <c r="NPQ118" s="418"/>
      <c r="NPR118" s="418"/>
      <c r="NPS118" s="418"/>
      <c r="NPT118" s="418"/>
      <c r="NPU118" s="418"/>
      <c r="NPV118" s="418"/>
      <c r="NPW118" s="418"/>
      <c r="NPX118" s="418"/>
      <c r="NPY118" s="418"/>
      <c r="NPZ118" s="418"/>
      <c r="NQA118" s="418"/>
      <c r="NQB118" s="418"/>
      <c r="NQC118" s="418"/>
      <c r="NQD118" s="418"/>
      <c r="NQE118" s="418"/>
      <c r="NQF118" s="418"/>
      <c r="NQG118" s="418"/>
      <c r="NQH118" s="418"/>
      <c r="NQI118" s="418"/>
      <c r="NQJ118" s="418"/>
      <c r="NQK118" s="418"/>
      <c r="NQL118" s="418"/>
      <c r="NQM118" s="418"/>
      <c r="NQN118" s="418"/>
      <c r="NQO118" s="418"/>
      <c r="NQP118" s="418"/>
      <c r="NQQ118" s="418"/>
      <c r="NQR118" s="418"/>
      <c r="NQS118" s="418"/>
      <c r="NQT118" s="418"/>
      <c r="NQU118" s="418"/>
      <c r="NQV118" s="418"/>
      <c r="NQW118" s="418"/>
      <c r="NQX118" s="418"/>
      <c r="NQY118" s="418"/>
      <c r="NQZ118" s="418"/>
      <c r="NRA118" s="418"/>
      <c r="NRB118" s="418"/>
      <c r="NRC118" s="418"/>
      <c r="NRD118" s="418"/>
      <c r="NRE118" s="418"/>
      <c r="NRF118" s="418"/>
      <c r="NRG118" s="418"/>
      <c r="NRH118" s="418"/>
      <c r="NRI118" s="418"/>
      <c r="NRJ118" s="418"/>
      <c r="NRK118" s="418"/>
      <c r="NRL118" s="418"/>
      <c r="NRM118" s="418"/>
      <c r="NRN118" s="418"/>
      <c r="NRO118" s="418"/>
      <c r="NRP118" s="418"/>
      <c r="NRQ118" s="418"/>
      <c r="NRR118" s="418"/>
      <c r="NRS118" s="418"/>
      <c r="NRT118" s="418"/>
      <c r="NRU118" s="418"/>
      <c r="NRV118" s="418"/>
      <c r="NRW118" s="418"/>
      <c r="NRX118" s="418"/>
      <c r="NRY118" s="418"/>
      <c r="NRZ118" s="418"/>
      <c r="NSA118" s="418"/>
      <c r="NSB118" s="418"/>
      <c r="NSC118" s="418"/>
      <c r="NSD118" s="418"/>
      <c r="NSE118" s="418"/>
      <c r="NSF118" s="418"/>
      <c r="NSG118" s="418"/>
      <c r="NSH118" s="418"/>
      <c r="NSI118" s="418"/>
      <c r="NSJ118" s="418"/>
      <c r="NSK118" s="418"/>
      <c r="NSL118" s="418"/>
      <c r="NSM118" s="418"/>
      <c r="NSN118" s="418"/>
      <c r="NSO118" s="418"/>
      <c r="NSP118" s="418"/>
      <c r="NSQ118" s="418"/>
      <c r="NSR118" s="418"/>
      <c r="NSS118" s="418"/>
      <c r="NST118" s="418"/>
      <c r="NSU118" s="418"/>
      <c r="NSV118" s="418"/>
      <c r="NSW118" s="418"/>
      <c r="NSX118" s="418"/>
      <c r="NSY118" s="418"/>
      <c r="NSZ118" s="418"/>
      <c r="NTA118" s="418"/>
      <c r="NTB118" s="418"/>
      <c r="NTC118" s="418"/>
      <c r="NTD118" s="418"/>
      <c r="NTE118" s="418"/>
      <c r="NTF118" s="418"/>
      <c r="NTG118" s="418"/>
      <c r="NTH118" s="418"/>
      <c r="NTI118" s="418"/>
      <c r="NTJ118" s="418"/>
      <c r="NTK118" s="418"/>
      <c r="NTL118" s="418"/>
      <c r="NTM118" s="418"/>
      <c r="NTN118" s="418"/>
      <c r="NTO118" s="418"/>
      <c r="NTP118" s="418"/>
      <c r="NTQ118" s="418"/>
      <c r="NTR118" s="418"/>
      <c r="NTS118" s="418"/>
      <c r="NTT118" s="418"/>
      <c r="NTU118" s="418"/>
      <c r="NTV118" s="418"/>
      <c r="NTW118" s="418"/>
      <c r="NTX118" s="418"/>
      <c r="NTY118" s="418"/>
      <c r="NTZ118" s="418"/>
      <c r="NUA118" s="418"/>
      <c r="NUB118" s="418"/>
      <c r="NUC118" s="418"/>
      <c r="NUD118" s="418"/>
      <c r="NUE118" s="418"/>
      <c r="NUF118" s="418"/>
      <c r="NUG118" s="418"/>
      <c r="NUH118" s="418"/>
      <c r="NUI118" s="418"/>
      <c r="NUJ118" s="418"/>
      <c r="NUK118" s="418"/>
      <c r="NUL118" s="418"/>
      <c r="NUM118" s="418"/>
      <c r="NUN118" s="418"/>
      <c r="NUO118" s="418"/>
      <c r="NUP118" s="418"/>
      <c r="NUQ118" s="418"/>
      <c r="NUR118" s="418"/>
      <c r="NUS118" s="418"/>
      <c r="NUT118" s="418"/>
      <c r="NUU118" s="418"/>
      <c r="NUV118" s="418"/>
      <c r="NUW118" s="418"/>
      <c r="NUX118" s="418"/>
      <c r="NUY118" s="418"/>
      <c r="NUZ118" s="418"/>
      <c r="NVA118" s="418"/>
      <c r="NVB118" s="418"/>
      <c r="NVC118" s="418"/>
      <c r="NVD118" s="418"/>
      <c r="NVE118" s="418"/>
      <c r="NVF118" s="418"/>
      <c r="NVG118" s="418"/>
      <c r="NVH118" s="418"/>
      <c r="NVI118" s="418"/>
      <c r="NVJ118" s="418"/>
      <c r="NVK118" s="418"/>
      <c r="NVL118" s="418"/>
      <c r="NVM118" s="418"/>
      <c r="NVN118" s="418"/>
      <c r="NVO118" s="418"/>
      <c r="NVP118" s="418"/>
      <c r="NVQ118" s="418"/>
      <c r="NVR118" s="418"/>
      <c r="NVS118" s="418"/>
      <c r="NVT118" s="418"/>
      <c r="NVU118" s="418"/>
      <c r="NVV118" s="418"/>
      <c r="NVW118" s="418"/>
      <c r="NVX118" s="418"/>
      <c r="NVY118" s="418"/>
      <c r="NVZ118" s="418"/>
      <c r="NWA118" s="418"/>
      <c r="NWB118" s="418"/>
      <c r="NWC118" s="418"/>
      <c r="NWD118" s="418"/>
      <c r="NWE118" s="418"/>
      <c r="NWF118" s="418"/>
      <c r="NWG118" s="418"/>
      <c r="NWH118" s="418"/>
      <c r="NWI118" s="418"/>
      <c r="NWJ118" s="418"/>
      <c r="NWK118" s="418"/>
      <c r="NWL118" s="418"/>
      <c r="NWM118" s="418"/>
      <c r="NWN118" s="418"/>
      <c r="NWO118" s="418"/>
      <c r="NWP118" s="418"/>
      <c r="NWQ118" s="418"/>
      <c r="NWR118" s="418"/>
      <c r="NWS118" s="418"/>
      <c r="NWT118" s="418"/>
      <c r="NWU118" s="418"/>
      <c r="NWV118" s="418"/>
      <c r="NWW118" s="418"/>
      <c r="NWX118" s="418"/>
      <c r="NWY118" s="418"/>
      <c r="NWZ118" s="418"/>
      <c r="NXA118" s="418"/>
      <c r="NXB118" s="418"/>
      <c r="NXC118" s="418"/>
      <c r="NXD118" s="418"/>
      <c r="NXE118" s="418"/>
      <c r="NXF118" s="418"/>
      <c r="NXG118" s="418"/>
      <c r="NXH118" s="418"/>
      <c r="NXI118" s="418"/>
      <c r="NXJ118" s="418"/>
      <c r="NXK118" s="418"/>
      <c r="NXL118" s="418"/>
      <c r="NXM118" s="418"/>
      <c r="NXN118" s="418"/>
      <c r="NXO118" s="418"/>
      <c r="NXP118" s="418"/>
      <c r="NXQ118" s="418"/>
      <c r="NXR118" s="418"/>
      <c r="NXS118" s="418"/>
      <c r="NXT118" s="418"/>
      <c r="NXU118" s="418"/>
      <c r="NXV118" s="418"/>
      <c r="NXW118" s="418"/>
      <c r="NXX118" s="418"/>
      <c r="NXY118" s="418"/>
      <c r="NXZ118" s="418"/>
      <c r="NYA118" s="418"/>
      <c r="NYB118" s="418"/>
      <c r="NYC118" s="418"/>
      <c r="NYD118" s="418"/>
      <c r="NYE118" s="418"/>
      <c r="NYF118" s="418"/>
      <c r="NYG118" s="418"/>
      <c r="NYH118" s="418"/>
      <c r="NYI118" s="418"/>
      <c r="NYJ118" s="418"/>
      <c r="NYK118" s="418"/>
      <c r="NYL118" s="418"/>
      <c r="NYM118" s="418"/>
      <c r="NYN118" s="418"/>
      <c r="NYO118" s="418"/>
      <c r="NYP118" s="418"/>
      <c r="NYQ118" s="418"/>
      <c r="NYR118" s="418"/>
      <c r="NYS118" s="418"/>
      <c r="NYT118" s="418"/>
      <c r="NYU118" s="418"/>
      <c r="NYV118" s="418"/>
      <c r="NYW118" s="418"/>
      <c r="NYX118" s="418"/>
      <c r="NYY118" s="418"/>
      <c r="NYZ118" s="418"/>
      <c r="NZA118" s="418"/>
      <c r="NZB118" s="418"/>
      <c r="NZC118" s="418"/>
      <c r="NZD118" s="418"/>
      <c r="NZE118" s="418"/>
      <c r="NZF118" s="418"/>
      <c r="NZG118" s="418"/>
      <c r="NZH118" s="418"/>
      <c r="NZI118" s="418"/>
      <c r="NZJ118" s="418"/>
      <c r="NZK118" s="418"/>
      <c r="NZL118" s="418"/>
      <c r="NZM118" s="418"/>
      <c r="NZN118" s="418"/>
      <c r="NZO118" s="418"/>
      <c r="NZP118" s="418"/>
      <c r="NZQ118" s="418"/>
      <c r="NZR118" s="418"/>
      <c r="NZS118" s="418"/>
      <c r="NZT118" s="418"/>
      <c r="NZU118" s="418"/>
      <c r="NZV118" s="418"/>
      <c r="NZW118" s="418"/>
      <c r="NZX118" s="418"/>
      <c r="NZY118" s="418"/>
      <c r="NZZ118" s="418"/>
      <c r="OAA118" s="418"/>
      <c r="OAB118" s="418"/>
      <c r="OAC118" s="418"/>
      <c r="OAD118" s="418"/>
      <c r="OAE118" s="418"/>
      <c r="OAF118" s="418"/>
      <c r="OAG118" s="418"/>
      <c r="OAH118" s="418"/>
      <c r="OAI118" s="418"/>
      <c r="OAJ118" s="418"/>
      <c r="OAK118" s="418"/>
      <c r="OAL118" s="418"/>
      <c r="OAM118" s="418"/>
      <c r="OAN118" s="418"/>
      <c r="OAO118" s="418"/>
      <c r="OAP118" s="418"/>
      <c r="OAQ118" s="418"/>
      <c r="OAR118" s="418"/>
      <c r="OAS118" s="418"/>
      <c r="OAT118" s="418"/>
      <c r="OAU118" s="418"/>
      <c r="OAV118" s="418"/>
      <c r="OAW118" s="418"/>
      <c r="OAX118" s="418"/>
      <c r="OAY118" s="418"/>
      <c r="OAZ118" s="418"/>
      <c r="OBA118" s="418"/>
      <c r="OBB118" s="418"/>
      <c r="OBC118" s="418"/>
      <c r="OBD118" s="418"/>
      <c r="OBE118" s="418"/>
      <c r="OBF118" s="418"/>
      <c r="OBG118" s="418"/>
      <c r="OBH118" s="418"/>
      <c r="OBI118" s="418"/>
      <c r="OBJ118" s="418"/>
      <c r="OBK118" s="418"/>
      <c r="OBL118" s="418"/>
      <c r="OBM118" s="418"/>
      <c r="OBN118" s="418"/>
      <c r="OBO118" s="418"/>
      <c r="OBP118" s="418"/>
      <c r="OBQ118" s="418"/>
      <c r="OBR118" s="418"/>
      <c r="OBS118" s="418"/>
      <c r="OBT118" s="418"/>
      <c r="OBU118" s="418"/>
      <c r="OBV118" s="418"/>
      <c r="OBW118" s="418"/>
      <c r="OBX118" s="418"/>
      <c r="OBY118" s="418"/>
      <c r="OBZ118" s="418"/>
      <c r="OCA118" s="418"/>
      <c r="OCB118" s="418"/>
      <c r="OCC118" s="418"/>
      <c r="OCD118" s="418"/>
      <c r="OCE118" s="418"/>
      <c r="OCF118" s="418"/>
      <c r="OCG118" s="418"/>
      <c r="OCH118" s="418"/>
      <c r="OCI118" s="418"/>
      <c r="OCJ118" s="418"/>
      <c r="OCK118" s="418"/>
      <c r="OCL118" s="418"/>
      <c r="OCM118" s="418"/>
      <c r="OCN118" s="418"/>
      <c r="OCO118" s="418"/>
      <c r="OCP118" s="418"/>
      <c r="OCQ118" s="418"/>
      <c r="OCR118" s="418"/>
      <c r="OCS118" s="418"/>
      <c r="OCT118" s="418"/>
      <c r="OCU118" s="418"/>
      <c r="OCV118" s="418"/>
      <c r="OCW118" s="418"/>
      <c r="OCX118" s="418"/>
      <c r="OCY118" s="418"/>
      <c r="OCZ118" s="418"/>
      <c r="ODA118" s="418"/>
      <c r="ODB118" s="418"/>
      <c r="ODC118" s="418"/>
      <c r="ODD118" s="418"/>
      <c r="ODE118" s="418"/>
      <c r="ODF118" s="418"/>
      <c r="ODG118" s="418"/>
      <c r="ODH118" s="418"/>
      <c r="ODI118" s="418"/>
      <c r="ODJ118" s="418"/>
      <c r="ODK118" s="418"/>
      <c r="ODL118" s="418"/>
      <c r="ODM118" s="418"/>
      <c r="ODN118" s="418"/>
      <c r="ODO118" s="418"/>
      <c r="ODP118" s="418"/>
      <c r="ODQ118" s="418"/>
      <c r="ODR118" s="418"/>
      <c r="ODS118" s="418"/>
      <c r="ODT118" s="418"/>
      <c r="ODU118" s="418"/>
      <c r="ODV118" s="418"/>
      <c r="ODW118" s="418"/>
      <c r="ODX118" s="418"/>
      <c r="ODY118" s="418"/>
      <c r="ODZ118" s="418"/>
      <c r="OEA118" s="418"/>
      <c r="OEB118" s="418"/>
      <c r="OEC118" s="418"/>
      <c r="OED118" s="418"/>
      <c r="OEE118" s="418"/>
      <c r="OEF118" s="418"/>
      <c r="OEG118" s="418"/>
      <c r="OEH118" s="418"/>
      <c r="OEI118" s="418"/>
      <c r="OEJ118" s="418"/>
      <c r="OEK118" s="418"/>
      <c r="OEL118" s="418"/>
      <c r="OEM118" s="418"/>
      <c r="OEN118" s="418"/>
      <c r="OEO118" s="418"/>
      <c r="OEP118" s="418"/>
      <c r="OEQ118" s="418"/>
      <c r="OER118" s="418"/>
      <c r="OES118" s="418"/>
      <c r="OET118" s="418"/>
      <c r="OEU118" s="418"/>
      <c r="OEV118" s="418"/>
      <c r="OEW118" s="418"/>
      <c r="OEX118" s="418"/>
      <c r="OEY118" s="418"/>
      <c r="OEZ118" s="418"/>
      <c r="OFA118" s="418"/>
      <c r="OFB118" s="418"/>
      <c r="OFC118" s="418"/>
      <c r="OFD118" s="418"/>
      <c r="OFE118" s="418"/>
      <c r="OFF118" s="418"/>
      <c r="OFG118" s="418"/>
      <c r="OFH118" s="418"/>
      <c r="OFI118" s="418"/>
      <c r="OFJ118" s="418"/>
      <c r="OFK118" s="418"/>
      <c r="OFL118" s="418"/>
      <c r="OFM118" s="418"/>
      <c r="OFN118" s="418"/>
      <c r="OFO118" s="418"/>
      <c r="OFP118" s="418"/>
      <c r="OFQ118" s="418"/>
      <c r="OFR118" s="418"/>
      <c r="OFS118" s="418"/>
      <c r="OFT118" s="418"/>
      <c r="OFU118" s="418"/>
      <c r="OFV118" s="418"/>
      <c r="OFW118" s="418"/>
      <c r="OFX118" s="418"/>
      <c r="OFY118" s="418"/>
      <c r="OFZ118" s="418"/>
      <c r="OGA118" s="418"/>
      <c r="OGB118" s="418"/>
      <c r="OGC118" s="418"/>
      <c r="OGD118" s="418"/>
      <c r="OGE118" s="418"/>
      <c r="OGF118" s="418"/>
      <c r="OGG118" s="418"/>
      <c r="OGH118" s="418"/>
      <c r="OGI118" s="418"/>
      <c r="OGJ118" s="418"/>
      <c r="OGK118" s="418"/>
      <c r="OGL118" s="418"/>
      <c r="OGM118" s="418"/>
      <c r="OGN118" s="418"/>
      <c r="OGO118" s="418"/>
      <c r="OGP118" s="418"/>
      <c r="OGQ118" s="418"/>
      <c r="OGR118" s="418"/>
      <c r="OGS118" s="418"/>
      <c r="OGT118" s="418"/>
      <c r="OGU118" s="418"/>
      <c r="OGV118" s="418"/>
      <c r="OGW118" s="418"/>
      <c r="OGX118" s="418"/>
      <c r="OGY118" s="418"/>
      <c r="OGZ118" s="418"/>
      <c r="OHA118" s="418"/>
      <c r="OHB118" s="418"/>
      <c r="OHC118" s="418"/>
      <c r="OHD118" s="418"/>
      <c r="OHE118" s="418"/>
      <c r="OHF118" s="418"/>
      <c r="OHG118" s="418"/>
      <c r="OHH118" s="418"/>
      <c r="OHI118" s="418"/>
      <c r="OHJ118" s="418"/>
      <c r="OHK118" s="418"/>
      <c r="OHL118" s="418"/>
      <c r="OHM118" s="418"/>
      <c r="OHN118" s="418"/>
      <c r="OHO118" s="418"/>
      <c r="OHP118" s="418"/>
      <c r="OHQ118" s="418"/>
      <c r="OHR118" s="418"/>
      <c r="OHS118" s="418"/>
      <c r="OHT118" s="418"/>
      <c r="OHU118" s="418"/>
      <c r="OHV118" s="418"/>
      <c r="OHW118" s="418"/>
      <c r="OHX118" s="418"/>
      <c r="OHY118" s="418"/>
      <c r="OHZ118" s="418"/>
      <c r="OIA118" s="418"/>
      <c r="OIB118" s="418"/>
      <c r="OIC118" s="418"/>
      <c r="OID118" s="418"/>
      <c r="OIE118" s="418"/>
      <c r="OIF118" s="418"/>
      <c r="OIG118" s="418"/>
      <c r="OIH118" s="418"/>
      <c r="OII118" s="418"/>
      <c r="OIJ118" s="418"/>
      <c r="OIK118" s="418"/>
      <c r="OIL118" s="418"/>
      <c r="OIM118" s="418"/>
      <c r="OIN118" s="418"/>
      <c r="OIO118" s="418"/>
      <c r="OIP118" s="418"/>
      <c r="OIQ118" s="418"/>
      <c r="OIR118" s="418"/>
      <c r="OIS118" s="418"/>
      <c r="OIT118" s="418"/>
      <c r="OIU118" s="418"/>
      <c r="OIV118" s="418"/>
      <c r="OIW118" s="418"/>
      <c r="OIX118" s="418"/>
      <c r="OIY118" s="418"/>
      <c r="OIZ118" s="418"/>
      <c r="OJA118" s="418"/>
      <c r="OJB118" s="418"/>
      <c r="OJC118" s="418"/>
      <c r="OJD118" s="418"/>
      <c r="OJE118" s="418"/>
      <c r="OJF118" s="418"/>
      <c r="OJG118" s="418"/>
      <c r="OJH118" s="418"/>
      <c r="OJI118" s="418"/>
      <c r="OJJ118" s="418"/>
      <c r="OJK118" s="418"/>
      <c r="OJL118" s="418"/>
      <c r="OJM118" s="418"/>
      <c r="OJN118" s="418"/>
      <c r="OJO118" s="418"/>
      <c r="OJP118" s="418"/>
      <c r="OJQ118" s="418"/>
      <c r="OJR118" s="418"/>
      <c r="OJS118" s="418"/>
      <c r="OJT118" s="418"/>
      <c r="OJU118" s="418"/>
      <c r="OJV118" s="418"/>
      <c r="OJW118" s="418"/>
      <c r="OJX118" s="418"/>
      <c r="OJY118" s="418"/>
      <c r="OJZ118" s="418"/>
      <c r="OKA118" s="418"/>
      <c r="OKB118" s="418"/>
      <c r="OKC118" s="418"/>
      <c r="OKD118" s="418"/>
      <c r="OKE118" s="418"/>
      <c r="OKF118" s="418"/>
      <c r="OKG118" s="418"/>
      <c r="OKH118" s="418"/>
      <c r="OKI118" s="418"/>
      <c r="OKJ118" s="418"/>
      <c r="OKK118" s="418"/>
      <c r="OKL118" s="418"/>
      <c r="OKM118" s="418"/>
      <c r="OKN118" s="418"/>
      <c r="OKO118" s="418"/>
      <c r="OKP118" s="418"/>
      <c r="OKQ118" s="418"/>
      <c r="OKR118" s="418"/>
      <c r="OKS118" s="418"/>
      <c r="OKT118" s="418"/>
      <c r="OKU118" s="418"/>
      <c r="OKV118" s="418"/>
      <c r="OKW118" s="418"/>
      <c r="OKX118" s="418"/>
      <c r="OKY118" s="418"/>
      <c r="OKZ118" s="418"/>
      <c r="OLA118" s="418"/>
      <c r="OLB118" s="418"/>
      <c r="OLC118" s="418"/>
      <c r="OLD118" s="418"/>
      <c r="OLE118" s="418"/>
      <c r="OLF118" s="418"/>
      <c r="OLG118" s="418"/>
      <c r="OLH118" s="418"/>
      <c r="OLI118" s="418"/>
      <c r="OLJ118" s="418"/>
      <c r="OLK118" s="418"/>
      <c r="OLL118" s="418"/>
      <c r="OLM118" s="418"/>
      <c r="OLN118" s="418"/>
      <c r="OLO118" s="418"/>
      <c r="OLP118" s="418"/>
      <c r="OLQ118" s="418"/>
      <c r="OLR118" s="418"/>
      <c r="OLS118" s="418"/>
      <c r="OLT118" s="418"/>
      <c r="OLU118" s="418"/>
      <c r="OLV118" s="418"/>
      <c r="OLW118" s="418"/>
      <c r="OLX118" s="418"/>
      <c r="OLY118" s="418"/>
      <c r="OLZ118" s="418"/>
      <c r="OMA118" s="418"/>
      <c r="OMB118" s="418"/>
      <c r="OMC118" s="418"/>
      <c r="OMD118" s="418"/>
      <c r="OME118" s="418"/>
      <c r="OMF118" s="418"/>
      <c r="OMG118" s="418"/>
      <c r="OMH118" s="418"/>
      <c r="OMI118" s="418"/>
      <c r="OMJ118" s="418"/>
      <c r="OMK118" s="418"/>
      <c r="OML118" s="418"/>
      <c r="OMM118" s="418"/>
      <c r="OMN118" s="418"/>
      <c r="OMO118" s="418"/>
      <c r="OMP118" s="418"/>
      <c r="OMQ118" s="418"/>
      <c r="OMR118" s="418"/>
      <c r="OMS118" s="418"/>
      <c r="OMT118" s="418"/>
      <c r="OMU118" s="418"/>
      <c r="OMV118" s="418"/>
      <c r="OMW118" s="418"/>
      <c r="OMX118" s="418"/>
      <c r="OMY118" s="418"/>
      <c r="OMZ118" s="418"/>
      <c r="ONA118" s="418"/>
      <c r="ONB118" s="418"/>
      <c r="ONC118" s="418"/>
      <c r="OND118" s="418"/>
      <c r="ONE118" s="418"/>
      <c r="ONF118" s="418"/>
      <c r="ONG118" s="418"/>
      <c r="ONH118" s="418"/>
      <c r="ONI118" s="418"/>
      <c r="ONJ118" s="418"/>
      <c r="ONK118" s="418"/>
      <c r="ONL118" s="418"/>
      <c r="ONM118" s="418"/>
      <c r="ONN118" s="418"/>
      <c r="ONO118" s="418"/>
      <c r="ONP118" s="418"/>
      <c r="ONQ118" s="418"/>
      <c r="ONR118" s="418"/>
      <c r="ONS118" s="418"/>
      <c r="ONT118" s="418"/>
      <c r="ONU118" s="418"/>
      <c r="ONV118" s="418"/>
      <c r="ONW118" s="418"/>
      <c r="ONX118" s="418"/>
      <c r="ONY118" s="418"/>
      <c r="ONZ118" s="418"/>
      <c r="OOA118" s="418"/>
      <c r="OOB118" s="418"/>
      <c r="OOC118" s="418"/>
      <c r="OOD118" s="418"/>
      <c r="OOE118" s="418"/>
      <c r="OOF118" s="418"/>
      <c r="OOG118" s="418"/>
      <c r="OOH118" s="418"/>
      <c r="OOI118" s="418"/>
      <c r="OOJ118" s="418"/>
      <c r="OOK118" s="418"/>
      <c r="OOL118" s="418"/>
      <c r="OOM118" s="418"/>
      <c r="OON118" s="418"/>
      <c r="OOO118" s="418"/>
      <c r="OOP118" s="418"/>
      <c r="OOQ118" s="418"/>
      <c r="OOR118" s="418"/>
      <c r="OOS118" s="418"/>
      <c r="OOT118" s="418"/>
      <c r="OOU118" s="418"/>
      <c r="OOV118" s="418"/>
      <c r="OOW118" s="418"/>
      <c r="OOX118" s="418"/>
      <c r="OOY118" s="418"/>
      <c r="OOZ118" s="418"/>
      <c r="OPA118" s="418"/>
      <c r="OPB118" s="418"/>
      <c r="OPC118" s="418"/>
      <c r="OPD118" s="418"/>
      <c r="OPE118" s="418"/>
      <c r="OPF118" s="418"/>
      <c r="OPG118" s="418"/>
      <c r="OPH118" s="418"/>
      <c r="OPI118" s="418"/>
      <c r="OPJ118" s="418"/>
      <c r="OPK118" s="418"/>
      <c r="OPL118" s="418"/>
      <c r="OPM118" s="418"/>
      <c r="OPN118" s="418"/>
      <c r="OPO118" s="418"/>
      <c r="OPP118" s="418"/>
      <c r="OPQ118" s="418"/>
      <c r="OPR118" s="418"/>
      <c r="OPS118" s="418"/>
      <c r="OPT118" s="418"/>
      <c r="OPU118" s="418"/>
      <c r="OPV118" s="418"/>
      <c r="OPW118" s="418"/>
      <c r="OPX118" s="418"/>
      <c r="OPY118" s="418"/>
      <c r="OPZ118" s="418"/>
      <c r="OQA118" s="418"/>
      <c r="OQB118" s="418"/>
      <c r="OQC118" s="418"/>
      <c r="OQD118" s="418"/>
      <c r="OQE118" s="418"/>
      <c r="OQF118" s="418"/>
      <c r="OQG118" s="418"/>
      <c r="OQH118" s="418"/>
      <c r="OQI118" s="418"/>
      <c r="OQJ118" s="418"/>
      <c r="OQK118" s="418"/>
      <c r="OQL118" s="418"/>
      <c r="OQM118" s="418"/>
      <c r="OQN118" s="418"/>
      <c r="OQO118" s="418"/>
      <c r="OQP118" s="418"/>
      <c r="OQQ118" s="418"/>
      <c r="OQR118" s="418"/>
      <c r="OQS118" s="418"/>
      <c r="OQT118" s="418"/>
      <c r="OQU118" s="418"/>
      <c r="OQV118" s="418"/>
      <c r="OQW118" s="418"/>
      <c r="OQX118" s="418"/>
      <c r="OQY118" s="418"/>
      <c r="OQZ118" s="418"/>
      <c r="ORA118" s="418"/>
      <c r="ORB118" s="418"/>
      <c r="ORC118" s="418"/>
      <c r="ORD118" s="418"/>
      <c r="ORE118" s="418"/>
      <c r="ORF118" s="418"/>
      <c r="ORG118" s="418"/>
      <c r="ORH118" s="418"/>
      <c r="ORI118" s="418"/>
      <c r="ORJ118" s="418"/>
      <c r="ORK118" s="418"/>
      <c r="ORL118" s="418"/>
      <c r="ORM118" s="418"/>
      <c r="ORN118" s="418"/>
      <c r="ORO118" s="418"/>
      <c r="ORP118" s="418"/>
      <c r="ORQ118" s="418"/>
      <c r="ORR118" s="418"/>
      <c r="ORS118" s="418"/>
      <c r="ORT118" s="418"/>
      <c r="ORU118" s="418"/>
      <c r="ORV118" s="418"/>
      <c r="ORW118" s="418"/>
      <c r="ORX118" s="418"/>
      <c r="ORY118" s="418"/>
      <c r="ORZ118" s="418"/>
      <c r="OSA118" s="418"/>
      <c r="OSB118" s="418"/>
      <c r="OSC118" s="418"/>
      <c r="OSD118" s="418"/>
      <c r="OSE118" s="418"/>
      <c r="OSF118" s="418"/>
      <c r="OSG118" s="418"/>
      <c r="OSH118" s="418"/>
      <c r="OSI118" s="418"/>
      <c r="OSJ118" s="418"/>
      <c r="OSK118" s="418"/>
      <c r="OSL118" s="418"/>
      <c r="OSM118" s="418"/>
      <c r="OSN118" s="418"/>
      <c r="OSO118" s="418"/>
      <c r="OSP118" s="418"/>
      <c r="OSQ118" s="418"/>
      <c r="OSR118" s="418"/>
      <c r="OSS118" s="418"/>
      <c r="OST118" s="418"/>
      <c r="OSU118" s="418"/>
      <c r="OSV118" s="418"/>
      <c r="OSW118" s="418"/>
      <c r="OSX118" s="418"/>
      <c r="OSY118" s="418"/>
      <c r="OSZ118" s="418"/>
      <c r="OTA118" s="418"/>
      <c r="OTB118" s="418"/>
      <c r="OTC118" s="418"/>
      <c r="OTD118" s="418"/>
      <c r="OTE118" s="418"/>
      <c r="OTF118" s="418"/>
      <c r="OTG118" s="418"/>
      <c r="OTH118" s="418"/>
      <c r="OTI118" s="418"/>
      <c r="OTJ118" s="418"/>
      <c r="OTK118" s="418"/>
      <c r="OTL118" s="418"/>
      <c r="OTM118" s="418"/>
      <c r="OTN118" s="418"/>
      <c r="OTO118" s="418"/>
      <c r="OTP118" s="418"/>
      <c r="OTQ118" s="418"/>
      <c r="OTR118" s="418"/>
      <c r="OTS118" s="418"/>
      <c r="OTT118" s="418"/>
      <c r="OTU118" s="418"/>
      <c r="OTV118" s="418"/>
      <c r="OTW118" s="418"/>
      <c r="OTX118" s="418"/>
      <c r="OTY118" s="418"/>
      <c r="OTZ118" s="418"/>
      <c r="OUA118" s="418"/>
      <c r="OUB118" s="418"/>
      <c r="OUC118" s="418"/>
      <c r="OUD118" s="418"/>
      <c r="OUE118" s="418"/>
      <c r="OUF118" s="418"/>
      <c r="OUG118" s="418"/>
      <c r="OUH118" s="418"/>
      <c r="OUI118" s="418"/>
      <c r="OUJ118" s="418"/>
      <c r="OUK118" s="418"/>
      <c r="OUL118" s="418"/>
      <c r="OUM118" s="418"/>
      <c r="OUN118" s="418"/>
      <c r="OUO118" s="418"/>
      <c r="OUP118" s="418"/>
      <c r="OUQ118" s="418"/>
      <c r="OUR118" s="418"/>
      <c r="OUS118" s="418"/>
      <c r="OUT118" s="418"/>
      <c r="OUU118" s="418"/>
      <c r="OUV118" s="418"/>
      <c r="OUW118" s="418"/>
      <c r="OUX118" s="418"/>
      <c r="OUY118" s="418"/>
      <c r="OUZ118" s="418"/>
      <c r="OVA118" s="418"/>
      <c r="OVB118" s="418"/>
      <c r="OVC118" s="418"/>
      <c r="OVD118" s="418"/>
      <c r="OVE118" s="418"/>
      <c r="OVF118" s="418"/>
      <c r="OVG118" s="418"/>
      <c r="OVH118" s="418"/>
      <c r="OVI118" s="418"/>
      <c r="OVJ118" s="418"/>
      <c r="OVK118" s="418"/>
      <c r="OVL118" s="418"/>
      <c r="OVM118" s="418"/>
      <c r="OVN118" s="418"/>
      <c r="OVO118" s="418"/>
      <c r="OVP118" s="418"/>
      <c r="OVQ118" s="418"/>
      <c r="OVR118" s="418"/>
      <c r="OVS118" s="418"/>
      <c r="OVT118" s="418"/>
      <c r="OVU118" s="418"/>
      <c r="OVV118" s="418"/>
      <c r="OVW118" s="418"/>
      <c r="OVX118" s="418"/>
      <c r="OVY118" s="418"/>
      <c r="OVZ118" s="418"/>
      <c r="OWA118" s="418"/>
      <c r="OWB118" s="418"/>
      <c r="OWC118" s="418"/>
      <c r="OWD118" s="418"/>
      <c r="OWE118" s="418"/>
      <c r="OWF118" s="418"/>
      <c r="OWG118" s="418"/>
      <c r="OWH118" s="418"/>
      <c r="OWI118" s="418"/>
      <c r="OWJ118" s="418"/>
      <c r="OWK118" s="418"/>
      <c r="OWL118" s="418"/>
      <c r="OWM118" s="418"/>
      <c r="OWN118" s="418"/>
      <c r="OWO118" s="418"/>
      <c r="OWP118" s="418"/>
      <c r="OWQ118" s="418"/>
      <c r="OWR118" s="418"/>
      <c r="OWS118" s="418"/>
      <c r="OWT118" s="418"/>
      <c r="OWU118" s="418"/>
      <c r="OWV118" s="418"/>
      <c r="OWW118" s="418"/>
      <c r="OWX118" s="418"/>
      <c r="OWY118" s="418"/>
      <c r="OWZ118" s="418"/>
      <c r="OXA118" s="418"/>
      <c r="OXB118" s="418"/>
      <c r="OXC118" s="418"/>
      <c r="OXD118" s="418"/>
      <c r="OXE118" s="418"/>
      <c r="OXF118" s="418"/>
      <c r="OXG118" s="418"/>
      <c r="OXH118" s="418"/>
      <c r="OXI118" s="418"/>
      <c r="OXJ118" s="418"/>
      <c r="OXK118" s="418"/>
      <c r="OXL118" s="418"/>
      <c r="OXM118" s="418"/>
      <c r="OXN118" s="418"/>
      <c r="OXO118" s="418"/>
      <c r="OXP118" s="418"/>
      <c r="OXQ118" s="418"/>
      <c r="OXR118" s="418"/>
      <c r="OXS118" s="418"/>
      <c r="OXT118" s="418"/>
      <c r="OXU118" s="418"/>
      <c r="OXV118" s="418"/>
      <c r="OXW118" s="418"/>
      <c r="OXX118" s="418"/>
      <c r="OXY118" s="418"/>
      <c r="OXZ118" s="418"/>
      <c r="OYA118" s="418"/>
      <c r="OYB118" s="418"/>
      <c r="OYC118" s="418"/>
      <c r="OYD118" s="418"/>
      <c r="OYE118" s="418"/>
      <c r="OYF118" s="418"/>
      <c r="OYG118" s="418"/>
      <c r="OYH118" s="418"/>
      <c r="OYI118" s="418"/>
      <c r="OYJ118" s="418"/>
      <c r="OYK118" s="418"/>
      <c r="OYL118" s="418"/>
      <c r="OYM118" s="418"/>
      <c r="OYN118" s="418"/>
      <c r="OYO118" s="418"/>
      <c r="OYP118" s="418"/>
      <c r="OYQ118" s="418"/>
      <c r="OYR118" s="418"/>
      <c r="OYS118" s="418"/>
      <c r="OYT118" s="418"/>
      <c r="OYU118" s="418"/>
      <c r="OYV118" s="418"/>
      <c r="OYW118" s="418"/>
      <c r="OYX118" s="418"/>
      <c r="OYY118" s="418"/>
      <c r="OYZ118" s="418"/>
      <c r="OZA118" s="418"/>
      <c r="OZB118" s="418"/>
      <c r="OZC118" s="418"/>
      <c r="OZD118" s="418"/>
      <c r="OZE118" s="418"/>
      <c r="OZF118" s="418"/>
      <c r="OZG118" s="418"/>
      <c r="OZH118" s="418"/>
      <c r="OZI118" s="418"/>
      <c r="OZJ118" s="418"/>
      <c r="OZK118" s="418"/>
      <c r="OZL118" s="418"/>
      <c r="OZM118" s="418"/>
      <c r="OZN118" s="418"/>
      <c r="OZO118" s="418"/>
      <c r="OZP118" s="418"/>
      <c r="OZQ118" s="418"/>
      <c r="OZR118" s="418"/>
      <c r="OZS118" s="418"/>
      <c r="OZT118" s="418"/>
      <c r="OZU118" s="418"/>
      <c r="OZV118" s="418"/>
      <c r="OZW118" s="418"/>
      <c r="OZX118" s="418"/>
      <c r="OZY118" s="418"/>
      <c r="OZZ118" s="418"/>
      <c r="PAA118" s="418"/>
      <c r="PAB118" s="418"/>
      <c r="PAC118" s="418"/>
      <c r="PAD118" s="418"/>
      <c r="PAE118" s="418"/>
      <c r="PAF118" s="418"/>
      <c r="PAG118" s="418"/>
      <c r="PAH118" s="418"/>
      <c r="PAI118" s="418"/>
      <c r="PAJ118" s="418"/>
      <c r="PAK118" s="418"/>
      <c r="PAL118" s="418"/>
      <c r="PAM118" s="418"/>
      <c r="PAN118" s="418"/>
      <c r="PAO118" s="418"/>
      <c r="PAP118" s="418"/>
      <c r="PAQ118" s="418"/>
      <c r="PAR118" s="418"/>
      <c r="PAS118" s="418"/>
      <c r="PAT118" s="418"/>
      <c r="PAU118" s="418"/>
      <c r="PAV118" s="418"/>
      <c r="PAW118" s="418"/>
      <c r="PAX118" s="418"/>
      <c r="PAY118" s="418"/>
      <c r="PAZ118" s="418"/>
      <c r="PBA118" s="418"/>
      <c r="PBB118" s="418"/>
      <c r="PBC118" s="418"/>
      <c r="PBD118" s="418"/>
      <c r="PBE118" s="418"/>
      <c r="PBF118" s="418"/>
      <c r="PBG118" s="418"/>
      <c r="PBH118" s="418"/>
      <c r="PBI118" s="418"/>
      <c r="PBJ118" s="418"/>
      <c r="PBK118" s="418"/>
      <c r="PBL118" s="418"/>
      <c r="PBM118" s="418"/>
      <c r="PBN118" s="418"/>
      <c r="PBO118" s="418"/>
      <c r="PBP118" s="418"/>
      <c r="PBQ118" s="418"/>
      <c r="PBR118" s="418"/>
      <c r="PBS118" s="418"/>
      <c r="PBT118" s="418"/>
      <c r="PBU118" s="418"/>
      <c r="PBV118" s="418"/>
      <c r="PBW118" s="418"/>
      <c r="PBX118" s="418"/>
      <c r="PBY118" s="418"/>
      <c r="PBZ118" s="418"/>
      <c r="PCA118" s="418"/>
      <c r="PCB118" s="418"/>
      <c r="PCC118" s="418"/>
      <c r="PCD118" s="418"/>
      <c r="PCE118" s="418"/>
      <c r="PCF118" s="418"/>
      <c r="PCG118" s="418"/>
      <c r="PCH118" s="418"/>
      <c r="PCI118" s="418"/>
      <c r="PCJ118" s="418"/>
      <c r="PCK118" s="418"/>
      <c r="PCL118" s="418"/>
      <c r="PCM118" s="418"/>
      <c r="PCN118" s="418"/>
      <c r="PCO118" s="418"/>
      <c r="PCP118" s="418"/>
      <c r="PCQ118" s="418"/>
      <c r="PCR118" s="418"/>
      <c r="PCS118" s="418"/>
      <c r="PCT118" s="418"/>
      <c r="PCU118" s="418"/>
      <c r="PCV118" s="418"/>
      <c r="PCW118" s="418"/>
      <c r="PCX118" s="418"/>
      <c r="PCY118" s="418"/>
      <c r="PCZ118" s="418"/>
      <c r="PDA118" s="418"/>
      <c r="PDB118" s="418"/>
      <c r="PDC118" s="418"/>
      <c r="PDD118" s="418"/>
      <c r="PDE118" s="418"/>
      <c r="PDF118" s="418"/>
      <c r="PDG118" s="418"/>
      <c r="PDH118" s="418"/>
      <c r="PDI118" s="418"/>
      <c r="PDJ118" s="418"/>
      <c r="PDK118" s="418"/>
      <c r="PDL118" s="418"/>
      <c r="PDM118" s="418"/>
      <c r="PDN118" s="418"/>
      <c r="PDO118" s="418"/>
      <c r="PDP118" s="418"/>
      <c r="PDQ118" s="418"/>
      <c r="PDR118" s="418"/>
      <c r="PDS118" s="418"/>
      <c r="PDT118" s="418"/>
      <c r="PDU118" s="418"/>
      <c r="PDV118" s="418"/>
      <c r="PDW118" s="418"/>
      <c r="PDX118" s="418"/>
      <c r="PDY118" s="418"/>
      <c r="PDZ118" s="418"/>
      <c r="PEA118" s="418"/>
      <c r="PEB118" s="418"/>
      <c r="PEC118" s="418"/>
      <c r="PED118" s="418"/>
      <c r="PEE118" s="418"/>
      <c r="PEF118" s="418"/>
      <c r="PEG118" s="418"/>
      <c r="PEH118" s="418"/>
      <c r="PEI118" s="418"/>
      <c r="PEJ118" s="418"/>
      <c r="PEK118" s="418"/>
      <c r="PEL118" s="418"/>
      <c r="PEM118" s="418"/>
      <c r="PEN118" s="418"/>
      <c r="PEO118" s="418"/>
      <c r="PEP118" s="418"/>
      <c r="PEQ118" s="418"/>
      <c r="PER118" s="418"/>
      <c r="PES118" s="418"/>
      <c r="PET118" s="418"/>
      <c r="PEU118" s="418"/>
      <c r="PEV118" s="418"/>
      <c r="PEW118" s="418"/>
      <c r="PEX118" s="418"/>
      <c r="PEY118" s="418"/>
      <c r="PEZ118" s="418"/>
      <c r="PFA118" s="418"/>
      <c r="PFB118" s="418"/>
      <c r="PFC118" s="418"/>
      <c r="PFD118" s="418"/>
      <c r="PFE118" s="418"/>
      <c r="PFF118" s="418"/>
      <c r="PFG118" s="418"/>
      <c r="PFH118" s="418"/>
      <c r="PFI118" s="418"/>
      <c r="PFJ118" s="418"/>
      <c r="PFK118" s="418"/>
      <c r="PFL118" s="418"/>
      <c r="PFM118" s="418"/>
      <c r="PFN118" s="418"/>
      <c r="PFO118" s="418"/>
      <c r="PFP118" s="418"/>
      <c r="PFQ118" s="418"/>
      <c r="PFR118" s="418"/>
      <c r="PFS118" s="418"/>
      <c r="PFT118" s="418"/>
      <c r="PFU118" s="418"/>
      <c r="PFV118" s="418"/>
      <c r="PFW118" s="418"/>
      <c r="PFX118" s="418"/>
      <c r="PFY118" s="418"/>
      <c r="PFZ118" s="418"/>
      <c r="PGA118" s="418"/>
      <c r="PGB118" s="418"/>
      <c r="PGC118" s="418"/>
      <c r="PGD118" s="418"/>
      <c r="PGE118" s="418"/>
      <c r="PGF118" s="418"/>
      <c r="PGG118" s="418"/>
      <c r="PGH118" s="418"/>
      <c r="PGI118" s="418"/>
      <c r="PGJ118" s="418"/>
      <c r="PGK118" s="418"/>
      <c r="PGL118" s="418"/>
      <c r="PGM118" s="418"/>
      <c r="PGN118" s="418"/>
      <c r="PGO118" s="418"/>
      <c r="PGP118" s="418"/>
      <c r="PGQ118" s="418"/>
      <c r="PGR118" s="418"/>
      <c r="PGS118" s="418"/>
      <c r="PGT118" s="418"/>
      <c r="PGU118" s="418"/>
      <c r="PGV118" s="418"/>
      <c r="PGW118" s="418"/>
      <c r="PGX118" s="418"/>
      <c r="PGY118" s="418"/>
      <c r="PGZ118" s="418"/>
      <c r="PHA118" s="418"/>
      <c r="PHB118" s="418"/>
      <c r="PHC118" s="418"/>
      <c r="PHD118" s="418"/>
      <c r="PHE118" s="418"/>
      <c r="PHF118" s="418"/>
      <c r="PHG118" s="418"/>
      <c r="PHH118" s="418"/>
      <c r="PHI118" s="418"/>
      <c r="PHJ118" s="418"/>
      <c r="PHK118" s="418"/>
      <c r="PHL118" s="418"/>
      <c r="PHM118" s="418"/>
      <c r="PHN118" s="418"/>
      <c r="PHO118" s="418"/>
      <c r="PHP118" s="418"/>
      <c r="PHQ118" s="418"/>
      <c r="PHR118" s="418"/>
      <c r="PHS118" s="418"/>
      <c r="PHT118" s="418"/>
      <c r="PHU118" s="418"/>
      <c r="PHV118" s="418"/>
      <c r="PHW118" s="418"/>
      <c r="PHX118" s="418"/>
      <c r="PHY118" s="418"/>
      <c r="PHZ118" s="418"/>
      <c r="PIA118" s="418"/>
      <c r="PIB118" s="418"/>
      <c r="PIC118" s="418"/>
      <c r="PID118" s="418"/>
      <c r="PIE118" s="418"/>
      <c r="PIF118" s="418"/>
      <c r="PIG118" s="418"/>
      <c r="PIH118" s="418"/>
      <c r="PII118" s="418"/>
      <c r="PIJ118" s="418"/>
      <c r="PIK118" s="418"/>
      <c r="PIL118" s="418"/>
      <c r="PIM118" s="418"/>
      <c r="PIN118" s="418"/>
      <c r="PIO118" s="418"/>
      <c r="PIP118" s="418"/>
      <c r="PIQ118" s="418"/>
      <c r="PIR118" s="418"/>
      <c r="PIS118" s="418"/>
      <c r="PIT118" s="418"/>
      <c r="PIU118" s="418"/>
      <c r="PIV118" s="418"/>
      <c r="PIW118" s="418"/>
      <c r="PIX118" s="418"/>
      <c r="PIY118" s="418"/>
      <c r="PIZ118" s="418"/>
      <c r="PJA118" s="418"/>
      <c r="PJB118" s="418"/>
      <c r="PJC118" s="418"/>
      <c r="PJD118" s="418"/>
      <c r="PJE118" s="418"/>
      <c r="PJF118" s="418"/>
      <c r="PJG118" s="418"/>
      <c r="PJH118" s="418"/>
      <c r="PJI118" s="418"/>
      <c r="PJJ118" s="418"/>
      <c r="PJK118" s="418"/>
      <c r="PJL118" s="418"/>
      <c r="PJM118" s="418"/>
      <c r="PJN118" s="418"/>
      <c r="PJO118" s="418"/>
      <c r="PJP118" s="418"/>
      <c r="PJQ118" s="418"/>
      <c r="PJR118" s="418"/>
      <c r="PJS118" s="418"/>
      <c r="PJT118" s="418"/>
      <c r="PJU118" s="418"/>
      <c r="PJV118" s="418"/>
      <c r="PJW118" s="418"/>
      <c r="PJX118" s="418"/>
      <c r="PJY118" s="418"/>
      <c r="PJZ118" s="418"/>
      <c r="PKA118" s="418"/>
      <c r="PKB118" s="418"/>
      <c r="PKC118" s="418"/>
      <c r="PKD118" s="418"/>
      <c r="PKE118" s="418"/>
      <c r="PKF118" s="418"/>
      <c r="PKG118" s="418"/>
      <c r="PKH118" s="418"/>
      <c r="PKI118" s="418"/>
      <c r="PKJ118" s="418"/>
      <c r="PKK118" s="418"/>
      <c r="PKL118" s="418"/>
      <c r="PKM118" s="418"/>
      <c r="PKN118" s="418"/>
      <c r="PKO118" s="418"/>
      <c r="PKP118" s="418"/>
      <c r="PKQ118" s="418"/>
      <c r="PKR118" s="418"/>
      <c r="PKS118" s="418"/>
      <c r="PKT118" s="418"/>
      <c r="PKU118" s="418"/>
      <c r="PKV118" s="418"/>
      <c r="PKW118" s="418"/>
      <c r="PKX118" s="418"/>
      <c r="PKY118" s="418"/>
      <c r="PKZ118" s="418"/>
      <c r="PLA118" s="418"/>
      <c r="PLB118" s="418"/>
      <c r="PLC118" s="418"/>
      <c r="PLD118" s="418"/>
      <c r="PLE118" s="418"/>
      <c r="PLF118" s="418"/>
      <c r="PLG118" s="418"/>
      <c r="PLH118" s="418"/>
      <c r="PLI118" s="418"/>
      <c r="PLJ118" s="418"/>
      <c r="PLK118" s="418"/>
      <c r="PLL118" s="418"/>
      <c r="PLM118" s="418"/>
      <c r="PLN118" s="418"/>
      <c r="PLO118" s="418"/>
      <c r="PLP118" s="418"/>
      <c r="PLQ118" s="418"/>
      <c r="PLR118" s="418"/>
      <c r="PLS118" s="418"/>
      <c r="PLT118" s="418"/>
      <c r="PLU118" s="418"/>
      <c r="PLV118" s="418"/>
      <c r="PLW118" s="418"/>
      <c r="PLX118" s="418"/>
      <c r="PLY118" s="418"/>
      <c r="PLZ118" s="418"/>
      <c r="PMA118" s="418"/>
      <c r="PMB118" s="418"/>
      <c r="PMC118" s="418"/>
      <c r="PMD118" s="418"/>
      <c r="PME118" s="418"/>
      <c r="PMF118" s="418"/>
      <c r="PMG118" s="418"/>
      <c r="PMH118" s="418"/>
      <c r="PMI118" s="418"/>
      <c r="PMJ118" s="418"/>
      <c r="PMK118" s="418"/>
      <c r="PML118" s="418"/>
      <c r="PMM118" s="418"/>
      <c r="PMN118" s="418"/>
      <c r="PMO118" s="418"/>
      <c r="PMP118" s="418"/>
      <c r="PMQ118" s="418"/>
      <c r="PMR118" s="418"/>
      <c r="PMS118" s="418"/>
      <c r="PMT118" s="418"/>
      <c r="PMU118" s="418"/>
      <c r="PMV118" s="418"/>
      <c r="PMW118" s="418"/>
      <c r="PMX118" s="418"/>
      <c r="PMY118" s="418"/>
      <c r="PMZ118" s="418"/>
      <c r="PNA118" s="418"/>
      <c r="PNB118" s="418"/>
      <c r="PNC118" s="418"/>
      <c r="PND118" s="418"/>
      <c r="PNE118" s="418"/>
      <c r="PNF118" s="418"/>
      <c r="PNG118" s="418"/>
      <c r="PNH118" s="418"/>
      <c r="PNI118" s="418"/>
      <c r="PNJ118" s="418"/>
      <c r="PNK118" s="418"/>
      <c r="PNL118" s="418"/>
      <c r="PNM118" s="418"/>
      <c r="PNN118" s="418"/>
      <c r="PNO118" s="418"/>
      <c r="PNP118" s="418"/>
      <c r="PNQ118" s="418"/>
      <c r="PNR118" s="418"/>
      <c r="PNS118" s="418"/>
      <c r="PNT118" s="418"/>
      <c r="PNU118" s="418"/>
      <c r="PNV118" s="418"/>
      <c r="PNW118" s="418"/>
      <c r="PNX118" s="418"/>
      <c r="PNY118" s="418"/>
      <c r="PNZ118" s="418"/>
      <c r="POA118" s="418"/>
      <c r="POB118" s="418"/>
      <c r="POC118" s="418"/>
      <c r="POD118" s="418"/>
      <c r="POE118" s="418"/>
      <c r="POF118" s="418"/>
      <c r="POG118" s="418"/>
      <c r="POH118" s="418"/>
      <c r="POI118" s="418"/>
      <c r="POJ118" s="418"/>
      <c r="POK118" s="418"/>
      <c r="POL118" s="418"/>
      <c r="POM118" s="418"/>
      <c r="PON118" s="418"/>
      <c r="POO118" s="418"/>
      <c r="POP118" s="418"/>
      <c r="POQ118" s="418"/>
      <c r="POR118" s="418"/>
      <c r="POS118" s="418"/>
      <c r="POT118" s="418"/>
      <c r="POU118" s="418"/>
      <c r="POV118" s="418"/>
      <c r="POW118" s="418"/>
      <c r="POX118" s="418"/>
      <c r="POY118" s="418"/>
      <c r="POZ118" s="418"/>
      <c r="PPA118" s="418"/>
      <c r="PPB118" s="418"/>
      <c r="PPC118" s="418"/>
      <c r="PPD118" s="418"/>
      <c r="PPE118" s="418"/>
      <c r="PPF118" s="418"/>
      <c r="PPG118" s="418"/>
      <c r="PPH118" s="418"/>
      <c r="PPI118" s="418"/>
      <c r="PPJ118" s="418"/>
      <c r="PPK118" s="418"/>
      <c r="PPL118" s="418"/>
      <c r="PPM118" s="418"/>
      <c r="PPN118" s="418"/>
      <c r="PPO118" s="418"/>
      <c r="PPP118" s="418"/>
      <c r="PPQ118" s="418"/>
      <c r="PPR118" s="418"/>
      <c r="PPS118" s="418"/>
      <c r="PPT118" s="418"/>
      <c r="PPU118" s="418"/>
      <c r="PPV118" s="418"/>
      <c r="PPW118" s="418"/>
      <c r="PPX118" s="418"/>
      <c r="PPY118" s="418"/>
      <c r="PPZ118" s="418"/>
      <c r="PQA118" s="418"/>
      <c r="PQB118" s="418"/>
      <c r="PQC118" s="418"/>
      <c r="PQD118" s="418"/>
      <c r="PQE118" s="418"/>
      <c r="PQF118" s="418"/>
      <c r="PQG118" s="418"/>
      <c r="PQH118" s="418"/>
      <c r="PQI118" s="418"/>
      <c r="PQJ118" s="418"/>
      <c r="PQK118" s="418"/>
      <c r="PQL118" s="418"/>
      <c r="PQM118" s="418"/>
      <c r="PQN118" s="418"/>
      <c r="PQO118" s="418"/>
      <c r="PQP118" s="418"/>
      <c r="PQQ118" s="418"/>
      <c r="PQR118" s="418"/>
      <c r="PQS118" s="418"/>
      <c r="PQT118" s="418"/>
      <c r="PQU118" s="418"/>
      <c r="PQV118" s="418"/>
      <c r="PQW118" s="418"/>
      <c r="PQX118" s="418"/>
      <c r="PQY118" s="418"/>
      <c r="PQZ118" s="418"/>
      <c r="PRA118" s="418"/>
      <c r="PRB118" s="418"/>
      <c r="PRC118" s="418"/>
      <c r="PRD118" s="418"/>
      <c r="PRE118" s="418"/>
      <c r="PRF118" s="418"/>
      <c r="PRG118" s="418"/>
      <c r="PRH118" s="418"/>
      <c r="PRI118" s="418"/>
      <c r="PRJ118" s="418"/>
      <c r="PRK118" s="418"/>
      <c r="PRL118" s="418"/>
      <c r="PRM118" s="418"/>
      <c r="PRN118" s="418"/>
      <c r="PRO118" s="418"/>
      <c r="PRP118" s="418"/>
      <c r="PRQ118" s="418"/>
      <c r="PRR118" s="418"/>
      <c r="PRS118" s="418"/>
      <c r="PRT118" s="418"/>
      <c r="PRU118" s="418"/>
      <c r="PRV118" s="418"/>
      <c r="PRW118" s="418"/>
      <c r="PRX118" s="418"/>
      <c r="PRY118" s="418"/>
      <c r="PRZ118" s="418"/>
      <c r="PSA118" s="418"/>
      <c r="PSB118" s="418"/>
      <c r="PSC118" s="418"/>
      <c r="PSD118" s="418"/>
      <c r="PSE118" s="418"/>
      <c r="PSF118" s="418"/>
      <c r="PSG118" s="418"/>
      <c r="PSH118" s="418"/>
      <c r="PSI118" s="418"/>
      <c r="PSJ118" s="418"/>
      <c r="PSK118" s="418"/>
      <c r="PSL118" s="418"/>
      <c r="PSM118" s="418"/>
      <c r="PSN118" s="418"/>
      <c r="PSO118" s="418"/>
      <c r="PSP118" s="418"/>
      <c r="PSQ118" s="418"/>
      <c r="PSR118" s="418"/>
      <c r="PSS118" s="418"/>
      <c r="PST118" s="418"/>
      <c r="PSU118" s="418"/>
      <c r="PSV118" s="418"/>
      <c r="PSW118" s="418"/>
      <c r="PSX118" s="418"/>
      <c r="PSY118" s="418"/>
      <c r="PSZ118" s="418"/>
      <c r="PTA118" s="418"/>
      <c r="PTB118" s="418"/>
      <c r="PTC118" s="418"/>
      <c r="PTD118" s="418"/>
      <c r="PTE118" s="418"/>
      <c r="PTF118" s="418"/>
      <c r="PTG118" s="418"/>
      <c r="PTH118" s="418"/>
      <c r="PTI118" s="418"/>
      <c r="PTJ118" s="418"/>
      <c r="PTK118" s="418"/>
      <c r="PTL118" s="418"/>
      <c r="PTM118" s="418"/>
      <c r="PTN118" s="418"/>
      <c r="PTO118" s="418"/>
      <c r="PTP118" s="418"/>
      <c r="PTQ118" s="418"/>
      <c r="PTR118" s="418"/>
      <c r="PTS118" s="418"/>
      <c r="PTT118" s="418"/>
      <c r="PTU118" s="418"/>
      <c r="PTV118" s="418"/>
      <c r="PTW118" s="418"/>
      <c r="PTX118" s="418"/>
      <c r="PTY118" s="418"/>
      <c r="PTZ118" s="418"/>
      <c r="PUA118" s="418"/>
      <c r="PUB118" s="418"/>
      <c r="PUC118" s="418"/>
      <c r="PUD118" s="418"/>
      <c r="PUE118" s="418"/>
      <c r="PUF118" s="418"/>
      <c r="PUG118" s="418"/>
      <c r="PUH118" s="418"/>
      <c r="PUI118" s="418"/>
      <c r="PUJ118" s="418"/>
      <c r="PUK118" s="418"/>
      <c r="PUL118" s="418"/>
      <c r="PUM118" s="418"/>
      <c r="PUN118" s="418"/>
      <c r="PUO118" s="418"/>
      <c r="PUP118" s="418"/>
      <c r="PUQ118" s="418"/>
      <c r="PUR118" s="418"/>
      <c r="PUS118" s="418"/>
      <c r="PUT118" s="418"/>
      <c r="PUU118" s="418"/>
      <c r="PUV118" s="418"/>
      <c r="PUW118" s="418"/>
      <c r="PUX118" s="418"/>
      <c r="PUY118" s="418"/>
      <c r="PUZ118" s="418"/>
      <c r="PVA118" s="418"/>
      <c r="PVB118" s="418"/>
      <c r="PVC118" s="418"/>
      <c r="PVD118" s="418"/>
      <c r="PVE118" s="418"/>
      <c r="PVF118" s="418"/>
      <c r="PVG118" s="418"/>
      <c r="PVH118" s="418"/>
      <c r="PVI118" s="418"/>
      <c r="PVJ118" s="418"/>
      <c r="PVK118" s="418"/>
      <c r="PVL118" s="418"/>
      <c r="PVM118" s="418"/>
      <c r="PVN118" s="418"/>
      <c r="PVO118" s="418"/>
      <c r="PVP118" s="418"/>
      <c r="PVQ118" s="418"/>
      <c r="PVR118" s="418"/>
      <c r="PVS118" s="418"/>
      <c r="PVT118" s="418"/>
      <c r="PVU118" s="418"/>
      <c r="PVV118" s="418"/>
      <c r="PVW118" s="418"/>
      <c r="PVX118" s="418"/>
      <c r="PVY118" s="418"/>
      <c r="PVZ118" s="418"/>
      <c r="PWA118" s="418"/>
      <c r="PWB118" s="418"/>
      <c r="PWC118" s="418"/>
      <c r="PWD118" s="418"/>
      <c r="PWE118" s="418"/>
      <c r="PWF118" s="418"/>
      <c r="PWG118" s="418"/>
      <c r="PWH118" s="418"/>
      <c r="PWI118" s="418"/>
      <c r="PWJ118" s="418"/>
      <c r="PWK118" s="418"/>
      <c r="PWL118" s="418"/>
      <c r="PWM118" s="418"/>
      <c r="PWN118" s="418"/>
      <c r="PWO118" s="418"/>
      <c r="PWP118" s="418"/>
      <c r="PWQ118" s="418"/>
      <c r="PWR118" s="418"/>
      <c r="PWS118" s="418"/>
      <c r="PWT118" s="418"/>
      <c r="PWU118" s="418"/>
      <c r="PWV118" s="418"/>
      <c r="PWW118" s="418"/>
      <c r="PWX118" s="418"/>
      <c r="PWY118" s="418"/>
      <c r="PWZ118" s="418"/>
      <c r="PXA118" s="418"/>
      <c r="PXB118" s="418"/>
      <c r="PXC118" s="418"/>
      <c r="PXD118" s="418"/>
      <c r="PXE118" s="418"/>
      <c r="PXF118" s="418"/>
      <c r="PXG118" s="418"/>
      <c r="PXH118" s="418"/>
      <c r="PXI118" s="418"/>
      <c r="PXJ118" s="418"/>
      <c r="PXK118" s="418"/>
      <c r="PXL118" s="418"/>
      <c r="PXM118" s="418"/>
      <c r="PXN118" s="418"/>
      <c r="PXO118" s="418"/>
      <c r="PXP118" s="418"/>
      <c r="PXQ118" s="418"/>
      <c r="PXR118" s="418"/>
      <c r="PXS118" s="418"/>
      <c r="PXT118" s="418"/>
      <c r="PXU118" s="418"/>
      <c r="PXV118" s="418"/>
      <c r="PXW118" s="418"/>
      <c r="PXX118" s="418"/>
      <c r="PXY118" s="418"/>
      <c r="PXZ118" s="418"/>
      <c r="PYA118" s="418"/>
      <c r="PYB118" s="418"/>
      <c r="PYC118" s="418"/>
      <c r="PYD118" s="418"/>
      <c r="PYE118" s="418"/>
      <c r="PYF118" s="418"/>
      <c r="PYG118" s="418"/>
      <c r="PYH118" s="418"/>
      <c r="PYI118" s="418"/>
      <c r="PYJ118" s="418"/>
      <c r="PYK118" s="418"/>
      <c r="PYL118" s="418"/>
      <c r="PYM118" s="418"/>
      <c r="PYN118" s="418"/>
      <c r="PYO118" s="418"/>
      <c r="PYP118" s="418"/>
      <c r="PYQ118" s="418"/>
      <c r="PYR118" s="418"/>
      <c r="PYS118" s="418"/>
      <c r="PYT118" s="418"/>
      <c r="PYU118" s="418"/>
      <c r="PYV118" s="418"/>
      <c r="PYW118" s="418"/>
      <c r="PYX118" s="418"/>
      <c r="PYY118" s="418"/>
      <c r="PYZ118" s="418"/>
      <c r="PZA118" s="418"/>
      <c r="PZB118" s="418"/>
      <c r="PZC118" s="418"/>
      <c r="PZD118" s="418"/>
      <c r="PZE118" s="418"/>
      <c r="PZF118" s="418"/>
      <c r="PZG118" s="418"/>
      <c r="PZH118" s="418"/>
      <c r="PZI118" s="418"/>
      <c r="PZJ118" s="418"/>
      <c r="PZK118" s="418"/>
      <c r="PZL118" s="418"/>
      <c r="PZM118" s="418"/>
      <c r="PZN118" s="418"/>
      <c r="PZO118" s="418"/>
      <c r="PZP118" s="418"/>
      <c r="PZQ118" s="418"/>
      <c r="PZR118" s="418"/>
      <c r="PZS118" s="418"/>
      <c r="PZT118" s="418"/>
      <c r="PZU118" s="418"/>
      <c r="PZV118" s="418"/>
      <c r="PZW118" s="418"/>
      <c r="PZX118" s="418"/>
      <c r="PZY118" s="418"/>
      <c r="PZZ118" s="418"/>
      <c r="QAA118" s="418"/>
      <c r="QAB118" s="418"/>
      <c r="QAC118" s="418"/>
      <c r="QAD118" s="418"/>
      <c r="QAE118" s="418"/>
      <c r="QAF118" s="418"/>
      <c r="QAG118" s="418"/>
      <c r="QAH118" s="418"/>
      <c r="QAI118" s="418"/>
      <c r="QAJ118" s="418"/>
      <c r="QAK118" s="418"/>
      <c r="QAL118" s="418"/>
      <c r="QAM118" s="418"/>
      <c r="QAN118" s="418"/>
      <c r="QAO118" s="418"/>
      <c r="QAP118" s="418"/>
      <c r="QAQ118" s="418"/>
      <c r="QAR118" s="418"/>
      <c r="QAS118" s="418"/>
      <c r="QAT118" s="418"/>
      <c r="QAU118" s="418"/>
      <c r="QAV118" s="418"/>
      <c r="QAW118" s="418"/>
      <c r="QAX118" s="418"/>
      <c r="QAY118" s="418"/>
      <c r="QAZ118" s="418"/>
      <c r="QBA118" s="418"/>
      <c r="QBB118" s="418"/>
      <c r="QBC118" s="418"/>
      <c r="QBD118" s="418"/>
      <c r="QBE118" s="418"/>
      <c r="QBF118" s="418"/>
      <c r="QBG118" s="418"/>
      <c r="QBH118" s="418"/>
      <c r="QBI118" s="418"/>
      <c r="QBJ118" s="418"/>
      <c r="QBK118" s="418"/>
      <c r="QBL118" s="418"/>
      <c r="QBM118" s="418"/>
      <c r="QBN118" s="418"/>
      <c r="QBO118" s="418"/>
      <c r="QBP118" s="418"/>
      <c r="QBQ118" s="418"/>
      <c r="QBR118" s="418"/>
      <c r="QBS118" s="418"/>
      <c r="QBT118" s="418"/>
      <c r="QBU118" s="418"/>
      <c r="QBV118" s="418"/>
      <c r="QBW118" s="418"/>
      <c r="QBX118" s="418"/>
      <c r="QBY118" s="418"/>
      <c r="QBZ118" s="418"/>
      <c r="QCA118" s="418"/>
      <c r="QCB118" s="418"/>
      <c r="QCC118" s="418"/>
      <c r="QCD118" s="418"/>
      <c r="QCE118" s="418"/>
      <c r="QCF118" s="418"/>
      <c r="QCG118" s="418"/>
      <c r="QCH118" s="418"/>
      <c r="QCI118" s="418"/>
      <c r="QCJ118" s="418"/>
      <c r="QCK118" s="418"/>
      <c r="QCL118" s="418"/>
      <c r="QCM118" s="418"/>
      <c r="QCN118" s="418"/>
      <c r="QCO118" s="418"/>
      <c r="QCP118" s="418"/>
      <c r="QCQ118" s="418"/>
      <c r="QCR118" s="418"/>
      <c r="QCS118" s="418"/>
      <c r="QCT118" s="418"/>
      <c r="QCU118" s="418"/>
      <c r="QCV118" s="418"/>
      <c r="QCW118" s="418"/>
      <c r="QCX118" s="418"/>
      <c r="QCY118" s="418"/>
      <c r="QCZ118" s="418"/>
      <c r="QDA118" s="418"/>
      <c r="QDB118" s="418"/>
      <c r="QDC118" s="418"/>
      <c r="QDD118" s="418"/>
      <c r="QDE118" s="418"/>
      <c r="QDF118" s="418"/>
      <c r="QDG118" s="418"/>
      <c r="QDH118" s="418"/>
      <c r="QDI118" s="418"/>
      <c r="QDJ118" s="418"/>
      <c r="QDK118" s="418"/>
      <c r="QDL118" s="418"/>
      <c r="QDM118" s="418"/>
      <c r="QDN118" s="418"/>
      <c r="QDO118" s="418"/>
      <c r="QDP118" s="418"/>
      <c r="QDQ118" s="418"/>
      <c r="QDR118" s="418"/>
      <c r="QDS118" s="418"/>
      <c r="QDT118" s="418"/>
      <c r="QDU118" s="418"/>
      <c r="QDV118" s="418"/>
      <c r="QDW118" s="418"/>
      <c r="QDX118" s="418"/>
      <c r="QDY118" s="418"/>
      <c r="QDZ118" s="418"/>
      <c r="QEA118" s="418"/>
      <c r="QEB118" s="418"/>
      <c r="QEC118" s="418"/>
      <c r="QED118" s="418"/>
      <c r="QEE118" s="418"/>
      <c r="QEF118" s="418"/>
      <c r="QEG118" s="418"/>
      <c r="QEH118" s="418"/>
      <c r="QEI118" s="418"/>
      <c r="QEJ118" s="418"/>
      <c r="QEK118" s="418"/>
      <c r="QEL118" s="418"/>
      <c r="QEM118" s="418"/>
      <c r="QEN118" s="418"/>
      <c r="QEO118" s="418"/>
      <c r="QEP118" s="418"/>
      <c r="QEQ118" s="418"/>
      <c r="QER118" s="418"/>
      <c r="QES118" s="418"/>
      <c r="QET118" s="418"/>
      <c r="QEU118" s="418"/>
      <c r="QEV118" s="418"/>
      <c r="QEW118" s="418"/>
      <c r="QEX118" s="418"/>
      <c r="QEY118" s="418"/>
      <c r="QEZ118" s="418"/>
      <c r="QFA118" s="418"/>
      <c r="QFB118" s="418"/>
      <c r="QFC118" s="418"/>
      <c r="QFD118" s="418"/>
      <c r="QFE118" s="418"/>
      <c r="QFF118" s="418"/>
      <c r="QFG118" s="418"/>
      <c r="QFH118" s="418"/>
      <c r="QFI118" s="418"/>
      <c r="QFJ118" s="418"/>
      <c r="QFK118" s="418"/>
      <c r="QFL118" s="418"/>
      <c r="QFM118" s="418"/>
      <c r="QFN118" s="418"/>
      <c r="QFO118" s="418"/>
      <c r="QFP118" s="418"/>
      <c r="QFQ118" s="418"/>
      <c r="QFR118" s="418"/>
      <c r="QFS118" s="418"/>
      <c r="QFT118" s="418"/>
      <c r="QFU118" s="418"/>
      <c r="QFV118" s="418"/>
      <c r="QFW118" s="418"/>
      <c r="QFX118" s="418"/>
      <c r="QFY118" s="418"/>
      <c r="QFZ118" s="418"/>
      <c r="QGA118" s="418"/>
      <c r="QGB118" s="418"/>
      <c r="QGC118" s="418"/>
      <c r="QGD118" s="418"/>
      <c r="QGE118" s="418"/>
      <c r="QGF118" s="418"/>
      <c r="QGG118" s="418"/>
      <c r="QGH118" s="418"/>
      <c r="QGI118" s="418"/>
      <c r="QGJ118" s="418"/>
      <c r="QGK118" s="418"/>
      <c r="QGL118" s="418"/>
      <c r="QGM118" s="418"/>
      <c r="QGN118" s="418"/>
      <c r="QGO118" s="418"/>
      <c r="QGP118" s="418"/>
      <c r="QGQ118" s="418"/>
      <c r="QGR118" s="418"/>
      <c r="QGS118" s="418"/>
      <c r="QGT118" s="418"/>
      <c r="QGU118" s="418"/>
      <c r="QGV118" s="418"/>
      <c r="QGW118" s="418"/>
      <c r="QGX118" s="418"/>
      <c r="QGY118" s="418"/>
      <c r="QGZ118" s="418"/>
      <c r="QHA118" s="418"/>
      <c r="QHB118" s="418"/>
      <c r="QHC118" s="418"/>
      <c r="QHD118" s="418"/>
      <c r="QHE118" s="418"/>
      <c r="QHF118" s="418"/>
      <c r="QHG118" s="418"/>
      <c r="QHH118" s="418"/>
      <c r="QHI118" s="418"/>
      <c r="QHJ118" s="418"/>
      <c r="QHK118" s="418"/>
      <c r="QHL118" s="418"/>
      <c r="QHM118" s="418"/>
      <c r="QHN118" s="418"/>
      <c r="QHO118" s="418"/>
      <c r="QHP118" s="418"/>
      <c r="QHQ118" s="418"/>
      <c r="QHR118" s="418"/>
      <c r="QHS118" s="418"/>
      <c r="QHT118" s="418"/>
      <c r="QHU118" s="418"/>
      <c r="QHV118" s="418"/>
      <c r="QHW118" s="418"/>
      <c r="QHX118" s="418"/>
      <c r="QHY118" s="418"/>
      <c r="QHZ118" s="418"/>
      <c r="QIA118" s="418"/>
      <c r="QIB118" s="418"/>
      <c r="QIC118" s="418"/>
      <c r="QID118" s="418"/>
      <c r="QIE118" s="418"/>
      <c r="QIF118" s="418"/>
      <c r="QIG118" s="418"/>
      <c r="QIH118" s="418"/>
      <c r="QII118" s="418"/>
      <c r="QIJ118" s="418"/>
      <c r="QIK118" s="418"/>
      <c r="QIL118" s="418"/>
      <c r="QIM118" s="418"/>
      <c r="QIN118" s="418"/>
      <c r="QIO118" s="418"/>
      <c r="QIP118" s="418"/>
      <c r="QIQ118" s="418"/>
      <c r="QIR118" s="418"/>
      <c r="QIS118" s="418"/>
      <c r="QIT118" s="418"/>
      <c r="QIU118" s="418"/>
      <c r="QIV118" s="418"/>
      <c r="QIW118" s="418"/>
      <c r="QIX118" s="418"/>
      <c r="QIY118" s="418"/>
      <c r="QIZ118" s="418"/>
      <c r="QJA118" s="418"/>
      <c r="QJB118" s="418"/>
      <c r="QJC118" s="418"/>
      <c r="QJD118" s="418"/>
      <c r="QJE118" s="418"/>
      <c r="QJF118" s="418"/>
      <c r="QJG118" s="418"/>
      <c r="QJH118" s="418"/>
      <c r="QJI118" s="418"/>
      <c r="QJJ118" s="418"/>
      <c r="QJK118" s="418"/>
      <c r="QJL118" s="418"/>
      <c r="QJM118" s="418"/>
      <c r="QJN118" s="418"/>
      <c r="QJO118" s="418"/>
      <c r="QJP118" s="418"/>
      <c r="QJQ118" s="418"/>
      <c r="QJR118" s="418"/>
      <c r="QJS118" s="418"/>
      <c r="QJT118" s="418"/>
      <c r="QJU118" s="418"/>
      <c r="QJV118" s="418"/>
      <c r="QJW118" s="418"/>
      <c r="QJX118" s="418"/>
      <c r="QJY118" s="418"/>
      <c r="QJZ118" s="418"/>
      <c r="QKA118" s="418"/>
      <c r="QKB118" s="418"/>
      <c r="QKC118" s="418"/>
      <c r="QKD118" s="418"/>
      <c r="QKE118" s="418"/>
      <c r="QKF118" s="418"/>
      <c r="QKG118" s="418"/>
      <c r="QKH118" s="418"/>
      <c r="QKI118" s="418"/>
      <c r="QKJ118" s="418"/>
      <c r="QKK118" s="418"/>
      <c r="QKL118" s="418"/>
      <c r="QKM118" s="418"/>
      <c r="QKN118" s="418"/>
      <c r="QKO118" s="418"/>
      <c r="QKP118" s="418"/>
      <c r="QKQ118" s="418"/>
      <c r="QKR118" s="418"/>
      <c r="QKS118" s="418"/>
      <c r="QKT118" s="418"/>
      <c r="QKU118" s="418"/>
      <c r="QKV118" s="418"/>
      <c r="QKW118" s="418"/>
      <c r="QKX118" s="418"/>
      <c r="QKY118" s="418"/>
      <c r="QKZ118" s="418"/>
      <c r="QLA118" s="418"/>
      <c r="QLB118" s="418"/>
      <c r="QLC118" s="418"/>
      <c r="QLD118" s="418"/>
      <c r="QLE118" s="418"/>
      <c r="QLF118" s="418"/>
      <c r="QLG118" s="418"/>
      <c r="QLH118" s="418"/>
      <c r="QLI118" s="418"/>
      <c r="QLJ118" s="418"/>
      <c r="QLK118" s="418"/>
      <c r="QLL118" s="418"/>
      <c r="QLM118" s="418"/>
      <c r="QLN118" s="418"/>
      <c r="QLO118" s="418"/>
      <c r="QLP118" s="418"/>
      <c r="QLQ118" s="418"/>
      <c r="QLR118" s="418"/>
      <c r="QLS118" s="418"/>
      <c r="QLT118" s="418"/>
      <c r="QLU118" s="418"/>
      <c r="QLV118" s="418"/>
      <c r="QLW118" s="418"/>
      <c r="QLX118" s="418"/>
      <c r="QLY118" s="418"/>
      <c r="QLZ118" s="418"/>
      <c r="QMA118" s="418"/>
      <c r="QMB118" s="418"/>
      <c r="QMC118" s="418"/>
      <c r="QMD118" s="418"/>
      <c r="QME118" s="418"/>
      <c r="QMF118" s="418"/>
      <c r="QMG118" s="418"/>
      <c r="QMH118" s="418"/>
      <c r="QMI118" s="418"/>
      <c r="QMJ118" s="418"/>
      <c r="QMK118" s="418"/>
      <c r="QML118" s="418"/>
      <c r="QMM118" s="418"/>
      <c r="QMN118" s="418"/>
      <c r="QMO118" s="418"/>
      <c r="QMP118" s="418"/>
      <c r="QMQ118" s="418"/>
      <c r="QMR118" s="418"/>
      <c r="QMS118" s="418"/>
      <c r="QMT118" s="418"/>
      <c r="QMU118" s="418"/>
      <c r="QMV118" s="418"/>
      <c r="QMW118" s="418"/>
      <c r="QMX118" s="418"/>
      <c r="QMY118" s="418"/>
      <c r="QMZ118" s="418"/>
      <c r="QNA118" s="418"/>
      <c r="QNB118" s="418"/>
      <c r="QNC118" s="418"/>
      <c r="QND118" s="418"/>
      <c r="QNE118" s="418"/>
      <c r="QNF118" s="418"/>
      <c r="QNG118" s="418"/>
      <c r="QNH118" s="418"/>
      <c r="QNI118" s="418"/>
      <c r="QNJ118" s="418"/>
      <c r="QNK118" s="418"/>
      <c r="QNL118" s="418"/>
      <c r="QNM118" s="418"/>
      <c r="QNN118" s="418"/>
      <c r="QNO118" s="418"/>
      <c r="QNP118" s="418"/>
      <c r="QNQ118" s="418"/>
      <c r="QNR118" s="418"/>
      <c r="QNS118" s="418"/>
      <c r="QNT118" s="418"/>
      <c r="QNU118" s="418"/>
      <c r="QNV118" s="418"/>
      <c r="QNW118" s="418"/>
      <c r="QNX118" s="418"/>
      <c r="QNY118" s="418"/>
      <c r="QNZ118" s="418"/>
      <c r="QOA118" s="418"/>
      <c r="QOB118" s="418"/>
      <c r="QOC118" s="418"/>
      <c r="QOD118" s="418"/>
      <c r="QOE118" s="418"/>
      <c r="QOF118" s="418"/>
      <c r="QOG118" s="418"/>
      <c r="QOH118" s="418"/>
      <c r="QOI118" s="418"/>
      <c r="QOJ118" s="418"/>
      <c r="QOK118" s="418"/>
      <c r="QOL118" s="418"/>
      <c r="QOM118" s="418"/>
      <c r="QON118" s="418"/>
      <c r="QOO118" s="418"/>
      <c r="QOP118" s="418"/>
      <c r="QOQ118" s="418"/>
      <c r="QOR118" s="418"/>
      <c r="QOS118" s="418"/>
      <c r="QOT118" s="418"/>
      <c r="QOU118" s="418"/>
      <c r="QOV118" s="418"/>
      <c r="QOW118" s="418"/>
      <c r="QOX118" s="418"/>
      <c r="QOY118" s="418"/>
      <c r="QOZ118" s="418"/>
      <c r="QPA118" s="418"/>
      <c r="QPB118" s="418"/>
      <c r="QPC118" s="418"/>
      <c r="QPD118" s="418"/>
      <c r="QPE118" s="418"/>
      <c r="QPF118" s="418"/>
      <c r="QPG118" s="418"/>
      <c r="QPH118" s="418"/>
      <c r="QPI118" s="418"/>
      <c r="QPJ118" s="418"/>
      <c r="QPK118" s="418"/>
      <c r="QPL118" s="418"/>
      <c r="QPM118" s="418"/>
      <c r="QPN118" s="418"/>
      <c r="QPO118" s="418"/>
      <c r="QPP118" s="418"/>
      <c r="QPQ118" s="418"/>
      <c r="QPR118" s="418"/>
      <c r="QPS118" s="418"/>
      <c r="QPT118" s="418"/>
      <c r="QPU118" s="418"/>
      <c r="QPV118" s="418"/>
      <c r="QPW118" s="418"/>
      <c r="QPX118" s="418"/>
      <c r="QPY118" s="418"/>
      <c r="QPZ118" s="418"/>
      <c r="QQA118" s="418"/>
      <c r="QQB118" s="418"/>
      <c r="QQC118" s="418"/>
      <c r="QQD118" s="418"/>
      <c r="QQE118" s="418"/>
      <c r="QQF118" s="418"/>
      <c r="QQG118" s="418"/>
      <c r="QQH118" s="418"/>
      <c r="QQI118" s="418"/>
      <c r="QQJ118" s="418"/>
      <c r="QQK118" s="418"/>
      <c r="QQL118" s="418"/>
      <c r="QQM118" s="418"/>
      <c r="QQN118" s="418"/>
      <c r="QQO118" s="418"/>
      <c r="QQP118" s="418"/>
      <c r="QQQ118" s="418"/>
      <c r="QQR118" s="418"/>
      <c r="QQS118" s="418"/>
      <c r="QQT118" s="418"/>
      <c r="QQU118" s="418"/>
      <c r="QQV118" s="418"/>
      <c r="QQW118" s="418"/>
      <c r="QQX118" s="418"/>
      <c r="QQY118" s="418"/>
      <c r="QQZ118" s="418"/>
      <c r="QRA118" s="418"/>
      <c r="QRB118" s="418"/>
      <c r="QRC118" s="418"/>
      <c r="QRD118" s="418"/>
      <c r="QRE118" s="418"/>
      <c r="QRF118" s="418"/>
      <c r="QRG118" s="418"/>
      <c r="QRH118" s="418"/>
      <c r="QRI118" s="418"/>
      <c r="QRJ118" s="418"/>
      <c r="QRK118" s="418"/>
      <c r="QRL118" s="418"/>
      <c r="QRM118" s="418"/>
      <c r="QRN118" s="418"/>
      <c r="QRO118" s="418"/>
      <c r="QRP118" s="418"/>
      <c r="QRQ118" s="418"/>
      <c r="QRR118" s="418"/>
      <c r="QRS118" s="418"/>
      <c r="QRT118" s="418"/>
      <c r="QRU118" s="418"/>
      <c r="QRV118" s="418"/>
      <c r="QRW118" s="418"/>
      <c r="QRX118" s="418"/>
      <c r="QRY118" s="418"/>
      <c r="QRZ118" s="418"/>
      <c r="QSA118" s="418"/>
      <c r="QSB118" s="418"/>
      <c r="QSC118" s="418"/>
      <c r="QSD118" s="418"/>
      <c r="QSE118" s="418"/>
      <c r="QSF118" s="418"/>
      <c r="QSG118" s="418"/>
      <c r="QSH118" s="418"/>
      <c r="QSI118" s="418"/>
      <c r="QSJ118" s="418"/>
      <c r="QSK118" s="418"/>
      <c r="QSL118" s="418"/>
      <c r="QSM118" s="418"/>
      <c r="QSN118" s="418"/>
      <c r="QSO118" s="418"/>
      <c r="QSP118" s="418"/>
      <c r="QSQ118" s="418"/>
      <c r="QSR118" s="418"/>
      <c r="QSS118" s="418"/>
      <c r="QST118" s="418"/>
      <c r="QSU118" s="418"/>
      <c r="QSV118" s="418"/>
      <c r="QSW118" s="418"/>
      <c r="QSX118" s="418"/>
      <c r="QSY118" s="418"/>
      <c r="QSZ118" s="418"/>
      <c r="QTA118" s="418"/>
      <c r="QTB118" s="418"/>
      <c r="QTC118" s="418"/>
      <c r="QTD118" s="418"/>
      <c r="QTE118" s="418"/>
      <c r="QTF118" s="418"/>
      <c r="QTG118" s="418"/>
      <c r="QTH118" s="418"/>
      <c r="QTI118" s="418"/>
      <c r="QTJ118" s="418"/>
      <c r="QTK118" s="418"/>
      <c r="QTL118" s="418"/>
      <c r="QTM118" s="418"/>
      <c r="QTN118" s="418"/>
      <c r="QTO118" s="418"/>
      <c r="QTP118" s="418"/>
      <c r="QTQ118" s="418"/>
      <c r="QTR118" s="418"/>
      <c r="QTS118" s="418"/>
      <c r="QTT118" s="418"/>
      <c r="QTU118" s="418"/>
      <c r="QTV118" s="418"/>
      <c r="QTW118" s="418"/>
      <c r="QTX118" s="418"/>
      <c r="QTY118" s="418"/>
      <c r="QTZ118" s="418"/>
      <c r="QUA118" s="418"/>
      <c r="QUB118" s="418"/>
      <c r="QUC118" s="418"/>
      <c r="QUD118" s="418"/>
      <c r="QUE118" s="418"/>
      <c r="QUF118" s="418"/>
      <c r="QUG118" s="418"/>
      <c r="QUH118" s="418"/>
      <c r="QUI118" s="418"/>
      <c r="QUJ118" s="418"/>
      <c r="QUK118" s="418"/>
      <c r="QUL118" s="418"/>
      <c r="QUM118" s="418"/>
      <c r="QUN118" s="418"/>
      <c r="QUO118" s="418"/>
      <c r="QUP118" s="418"/>
      <c r="QUQ118" s="418"/>
      <c r="QUR118" s="418"/>
      <c r="QUS118" s="418"/>
      <c r="QUT118" s="418"/>
      <c r="QUU118" s="418"/>
      <c r="QUV118" s="418"/>
      <c r="QUW118" s="418"/>
      <c r="QUX118" s="418"/>
      <c r="QUY118" s="418"/>
      <c r="QUZ118" s="418"/>
      <c r="QVA118" s="418"/>
      <c r="QVB118" s="418"/>
      <c r="QVC118" s="418"/>
      <c r="QVD118" s="418"/>
      <c r="QVE118" s="418"/>
      <c r="QVF118" s="418"/>
      <c r="QVG118" s="418"/>
      <c r="QVH118" s="418"/>
      <c r="QVI118" s="418"/>
      <c r="QVJ118" s="418"/>
      <c r="QVK118" s="418"/>
      <c r="QVL118" s="418"/>
      <c r="QVM118" s="418"/>
      <c r="QVN118" s="418"/>
      <c r="QVO118" s="418"/>
      <c r="QVP118" s="418"/>
      <c r="QVQ118" s="418"/>
      <c r="QVR118" s="418"/>
      <c r="QVS118" s="418"/>
      <c r="QVT118" s="418"/>
      <c r="QVU118" s="418"/>
      <c r="QVV118" s="418"/>
      <c r="QVW118" s="418"/>
      <c r="QVX118" s="418"/>
      <c r="QVY118" s="418"/>
      <c r="QVZ118" s="418"/>
      <c r="QWA118" s="418"/>
      <c r="QWB118" s="418"/>
      <c r="QWC118" s="418"/>
      <c r="QWD118" s="418"/>
      <c r="QWE118" s="418"/>
      <c r="QWF118" s="418"/>
      <c r="QWG118" s="418"/>
      <c r="QWH118" s="418"/>
      <c r="QWI118" s="418"/>
      <c r="QWJ118" s="418"/>
      <c r="QWK118" s="418"/>
      <c r="QWL118" s="418"/>
      <c r="QWM118" s="418"/>
      <c r="QWN118" s="418"/>
      <c r="QWO118" s="418"/>
      <c r="QWP118" s="418"/>
      <c r="QWQ118" s="418"/>
      <c r="QWR118" s="418"/>
      <c r="QWS118" s="418"/>
      <c r="QWT118" s="418"/>
      <c r="QWU118" s="418"/>
      <c r="QWV118" s="418"/>
      <c r="QWW118" s="418"/>
      <c r="QWX118" s="418"/>
      <c r="QWY118" s="418"/>
      <c r="QWZ118" s="418"/>
      <c r="QXA118" s="418"/>
      <c r="QXB118" s="418"/>
      <c r="QXC118" s="418"/>
      <c r="QXD118" s="418"/>
      <c r="QXE118" s="418"/>
      <c r="QXF118" s="418"/>
      <c r="QXG118" s="418"/>
      <c r="QXH118" s="418"/>
      <c r="QXI118" s="418"/>
      <c r="QXJ118" s="418"/>
      <c r="QXK118" s="418"/>
      <c r="QXL118" s="418"/>
      <c r="QXM118" s="418"/>
      <c r="QXN118" s="418"/>
      <c r="QXO118" s="418"/>
      <c r="QXP118" s="418"/>
      <c r="QXQ118" s="418"/>
      <c r="QXR118" s="418"/>
      <c r="QXS118" s="418"/>
      <c r="QXT118" s="418"/>
      <c r="QXU118" s="418"/>
      <c r="QXV118" s="418"/>
      <c r="QXW118" s="418"/>
      <c r="QXX118" s="418"/>
      <c r="QXY118" s="418"/>
      <c r="QXZ118" s="418"/>
      <c r="QYA118" s="418"/>
      <c r="QYB118" s="418"/>
      <c r="QYC118" s="418"/>
      <c r="QYD118" s="418"/>
      <c r="QYE118" s="418"/>
      <c r="QYF118" s="418"/>
      <c r="QYG118" s="418"/>
      <c r="QYH118" s="418"/>
      <c r="QYI118" s="418"/>
      <c r="QYJ118" s="418"/>
      <c r="QYK118" s="418"/>
      <c r="QYL118" s="418"/>
      <c r="QYM118" s="418"/>
      <c r="QYN118" s="418"/>
      <c r="QYO118" s="418"/>
      <c r="QYP118" s="418"/>
      <c r="QYQ118" s="418"/>
      <c r="QYR118" s="418"/>
      <c r="QYS118" s="418"/>
      <c r="QYT118" s="418"/>
      <c r="QYU118" s="418"/>
      <c r="QYV118" s="418"/>
      <c r="QYW118" s="418"/>
      <c r="QYX118" s="418"/>
      <c r="QYY118" s="418"/>
      <c r="QYZ118" s="418"/>
      <c r="QZA118" s="418"/>
      <c r="QZB118" s="418"/>
      <c r="QZC118" s="418"/>
      <c r="QZD118" s="418"/>
      <c r="QZE118" s="418"/>
      <c r="QZF118" s="418"/>
      <c r="QZG118" s="418"/>
      <c r="QZH118" s="418"/>
      <c r="QZI118" s="418"/>
      <c r="QZJ118" s="418"/>
      <c r="QZK118" s="418"/>
      <c r="QZL118" s="418"/>
      <c r="QZM118" s="418"/>
      <c r="QZN118" s="418"/>
      <c r="QZO118" s="418"/>
      <c r="QZP118" s="418"/>
      <c r="QZQ118" s="418"/>
      <c r="QZR118" s="418"/>
      <c r="QZS118" s="418"/>
      <c r="QZT118" s="418"/>
      <c r="QZU118" s="418"/>
      <c r="QZV118" s="418"/>
      <c r="QZW118" s="418"/>
      <c r="QZX118" s="418"/>
      <c r="QZY118" s="418"/>
      <c r="QZZ118" s="418"/>
      <c r="RAA118" s="418"/>
      <c r="RAB118" s="418"/>
      <c r="RAC118" s="418"/>
      <c r="RAD118" s="418"/>
      <c r="RAE118" s="418"/>
      <c r="RAF118" s="418"/>
      <c r="RAG118" s="418"/>
      <c r="RAH118" s="418"/>
      <c r="RAI118" s="418"/>
      <c r="RAJ118" s="418"/>
      <c r="RAK118" s="418"/>
      <c r="RAL118" s="418"/>
      <c r="RAM118" s="418"/>
      <c r="RAN118" s="418"/>
      <c r="RAO118" s="418"/>
      <c r="RAP118" s="418"/>
      <c r="RAQ118" s="418"/>
      <c r="RAR118" s="418"/>
      <c r="RAS118" s="418"/>
      <c r="RAT118" s="418"/>
      <c r="RAU118" s="418"/>
      <c r="RAV118" s="418"/>
      <c r="RAW118" s="418"/>
      <c r="RAX118" s="418"/>
      <c r="RAY118" s="418"/>
      <c r="RAZ118" s="418"/>
      <c r="RBA118" s="418"/>
      <c r="RBB118" s="418"/>
      <c r="RBC118" s="418"/>
      <c r="RBD118" s="418"/>
      <c r="RBE118" s="418"/>
      <c r="RBF118" s="418"/>
      <c r="RBG118" s="418"/>
      <c r="RBH118" s="418"/>
      <c r="RBI118" s="418"/>
      <c r="RBJ118" s="418"/>
      <c r="RBK118" s="418"/>
      <c r="RBL118" s="418"/>
      <c r="RBM118" s="418"/>
      <c r="RBN118" s="418"/>
      <c r="RBO118" s="418"/>
      <c r="RBP118" s="418"/>
      <c r="RBQ118" s="418"/>
      <c r="RBR118" s="418"/>
      <c r="RBS118" s="418"/>
      <c r="RBT118" s="418"/>
      <c r="RBU118" s="418"/>
      <c r="RBV118" s="418"/>
      <c r="RBW118" s="418"/>
      <c r="RBX118" s="418"/>
      <c r="RBY118" s="418"/>
      <c r="RBZ118" s="418"/>
      <c r="RCA118" s="418"/>
      <c r="RCB118" s="418"/>
      <c r="RCC118" s="418"/>
      <c r="RCD118" s="418"/>
      <c r="RCE118" s="418"/>
      <c r="RCF118" s="418"/>
      <c r="RCG118" s="418"/>
      <c r="RCH118" s="418"/>
      <c r="RCI118" s="418"/>
      <c r="RCJ118" s="418"/>
      <c r="RCK118" s="418"/>
      <c r="RCL118" s="418"/>
      <c r="RCM118" s="418"/>
      <c r="RCN118" s="418"/>
      <c r="RCO118" s="418"/>
      <c r="RCP118" s="418"/>
      <c r="RCQ118" s="418"/>
      <c r="RCR118" s="418"/>
      <c r="RCS118" s="418"/>
      <c r="RCT118" s="418"/>
      <c r="RCU118" s="418"/>
      <c r="RCV118" s="418"/>
      <c r="RCW118" s="418"/>
      <c r="RCX118" s="418"/>
      <c r="RCY118" s="418"/>
      <c r="RCZ118" s="418"/>
      <c r="RDA118" s="418"/>
      <c r="RDB118" s="418"/>
      <c r="RDC118" s="418"/>
      <c r="RDD118" s="418"/>
      <c r="RDE118" s="418"/>
      <c r="RDF118" s="418"/>
      <c r="RDG118" s="418"/>
      <c r="RDH118" s="418"/>
      <c r="RDI118" s="418"/>
      <c r="RDJ118" s="418"/>
      <c r="RDK118" s="418"/>
      <c r="RDL118" s="418"/>
      <c r="RDM118" s="418"/>
      <c r="RDN118" s="418"/>
      <c r="RDO118" s="418"/>
      <c r="RDP118" s="418"/>
      <c r="RDQ118" s="418"/>
      <c r="RDR118" s="418"/>
      <c r="RDS118" s="418"/>
      <c r="RDT118" s="418"/>
      <c r="RDU118" s="418"/>
      <c r="RDV118" s="418"/>
      <c r="RDW118" s="418"/>
      <c r="RDX118" s="418"/>
      <c r="RDY118" s="418"/>
      <c r="RDZ118" s="418"/>
      <c r="REA118" s="418"/>
      <c r="REB118" s="418"/>
      <c r="REC118" s="418"/>
      <c r="RED118" s="418"/>
      <c r="REE118" s="418"/>
      <c r="REF118" s="418"/>
      <c r="REG118" s="418"/>
      <c r="REH118" s="418"/>
      <c r="REI118" s="418"/>
      <c r="REJ118" s="418"/>
      <c r="REK118" s="418"/>
      <c r="REL118" s="418"/>
      <c r="REM118" s="418"/>
      <c r="REN118" s="418"/>
      <c r="REO118" s="418"/>
      <c r="REP118" s="418"/>
      <c r="REQ118" s="418"/>
      <c r="RER118" s="418"/>
      <c r="RES118" s="418"/>
      <c r="RET118" s="418"/>
      <c r="REU118" s="418"/>
      <c r="REV118" s="418"/>
      <c r="REW118" s="418"/>
      <c r="REX118" s="418"/>
      <c r="REY118" s="418"/>
      <c r="REZ118" s="418"/>
      <c r="RFA118" s="418"/>
      <c r="RFB118" s="418"/>
      <c r="RFC118" s="418"/>
      <c r="RFD118" s="418"/>
      <c r="RFE118" s="418"/>
      <c r="RFF118" s="418"/>
      <c r="RFG118" s="418"/>
      <c r="RFH118" s="418"/>
      <c r="RFI118" s="418"/>
      <c r="RFJ118" s="418"/>
      <c r="RFK118" s="418"/>
      <c r="RFL118" s="418"/>
      <c r="RFM118" s="418"/>
      <c r="RFN118" s="418"/>
      <c r="RFO118" s="418"/>
      <c r="RFP118" s="418"/>
      <c r="RFQ118" s="418"/>
      <c r="RFR118" s="418"/>
      <c r="RFS118" s="418"/>
      <c r="RFT118" s="418"/>
      <c r="RFU118" s="418"/>
      <c r="RFV118" s="418"/>
      <c r="RFW118" s="418"/>
      <c r="RFX118" s="418"/>
      <c r="RFY118" s="418"/>
      <c r="RFZ118" s="418"/>
      <c r="RGA118" s="418"/>
      <c r="RGB118" s="418"/>
      <c r="RGC118" s="418"/>
      <c r="RGD118" s="418"/>
      <c r="RGE118" s="418"/>
      <c r="RGF118" s="418"/>
      <c r="RGG118" s="418"/>
      <c r="RGH118" s="418"/>
      <c r="RGI118" s="418"/>
      <c r="RGJ118" s="418"/>
      <c r="RGK118" s="418"/>
      <c r="RGL118" s="418"/>
      <c r="RGM118" s="418"/>
      <c r="RGN118" s="418"/>
      <c r="RGO118" s="418"/>
      <c r="RGP118" s="418"/>
      <c r="RGQ118" s="418"/>
      <c r="RGR118" s="418"/>
      <c r="RGS118" s="418"/>
      <c r="RGT118" s="418"/>
      <c r="RGU118" s="418"/>
      <c r="RGV118" s="418"/>
      <c r="RGW118" s="418"/>
      <c r="RGX118" s="418"/>
      <c r="RGY118" s="418"/>
      <c r="RGZ118" s="418"/>
      <c r="RHA118" s="418"/>
      <c r="RHB118" s="418"/>
      <c r="RHC118" s="418"/>
      <c r="RHD118" s="418"/>
      <c r="RHE118" s="418"/>
      <c r="RHF118" s="418"/>
      <c r="RHG118" s="418"/>
      <c r="RHH118" s="418"/>
      <c r="RHI118" s="418"/>
      <c r="RHJ118" s="418"/>
      <c r="RHK118" s="418"/>
      <c r="RHL118" s="418"/>
      <c r="RHM118" s="418"/>
      <c r="RHN118" s="418"/>
      <c r="RHO118" s="418"/>
      <c r="RHP118" s="418"/>
      <c r="RHQ118" s="418"/>
      <c r="RHR118" s="418"/>
      <c r="RHS118" s="418"/>
      <c r="RHT118" s="418"/>
      <c r="RHU118" s="418"/>
      <c r="RHV118" s="418"/>
      <c r="RHW118" s="418"/>
      <c r="RHX118" s="418"/>
      <c r="RHY118" s="418"/>
      <c r="RHZ118" s="418"/>
      <c r="RIA118" s="418"/>
      <c r="RIB118" s="418"/>
      <c r="RIC118" s="418"/>
      <c r="RID118" s="418"/>
      <c r="RIE118" s="418"/>
      <c r="RIF118" s="418"/>
      <c r="RIG118" s="418"/>
      <c r="RIH118" s="418"/>
      <c r="RII118" s="418"/>
      <c r="RIJ118" s="418"/>
      <c r="RIK118" s="418"/>
      <c r="RIL118" s="418"/>
      <c r="RIM118" s="418"/>
      <c r="RIN118" s="418"/>
      <c r="RIO118" s="418"/>
      <c r="RIP118" s="418"/>
      <c r="RIQ118" s="418"/>
      <c r="RIR118" s="418"/>
      <c r="RIS118" s="418"/>
      <c r="RIT118" s="418"/>
      <c r="RIU118" s="418"/>
      <c r="RIV118" s="418"/>
      <c r="RIW118" s="418"/>
      <c r="RIX118" s="418"/>
      <c r="RIY118" s="418"/>
      <c r="RIZ118" s="418"/>
      <c r="RJA118" s="418"/>
      <c r="RJB118" s="418"/>
      <c r="RJC118" s="418"/>
      <c r="RJD118" s="418"/>
      <c r="RJE118" s="418"/>
      <c r="RJF118" s="418"/>
      <c r="RJG118" s="418"/>
      <c r="RJH118" s="418"/>
      <c r="RJI118" s="418"/>
      <c r="RJJ118" s="418"/>
      <c r="RJK118" s="418"/>
      <c r="RJL118" s="418"/>
      <c r="RJM118" s="418"/>
      <c r="RJN118" s="418"/>
      <c r="RJO118" s="418"/>
      <c r="RJP118" s="418"/>
      <c r="RJQ118" s="418"/>
      <c r="RJR118" s="418"/>
      <c r="RJS118" s="418"/>
      <c r="RJT118" s="418"/>
      <c r="RJU118" s="418"/>
      <c r="RJV118" s="418"/>
      <c r="RJW118" s="418"/>
      <c r="RJX118" s="418"/>
      <c r="RJY118" s="418"/>
      <c r="RJZ118" s="418"/>
      <c r="RKA118" s="418"/>
      <c r="RKB118" s="418"/>
      <c r="RKC118" s="418"/>
      <c r="RKD118" s="418"/>
      <c r="RKE118" s="418"/>
      <c r="RKF118" s="418"/>
      <c r="RKG118" s="418"/>
      <c r="RKH118" s="418"/>
      <c r="RKI118" s="418"/>
      <c r="RKJ118" s="418"/>
      <c r="RKK118" s="418"/>
      <c r="RKL118" s="418"/>
      <c r="RKM118" s="418"/>
      <c r="RKN118" s="418"/>
      <c r="RKO118" s="418"/>
      <c r="RKP118" s="418"/>
      <c r="RKQ118" s="418"/>
      <c r="RKR118" s="418"/>
      <c r="RKS118" s="418"/>
      <c r="RKT118" s="418"/>
      <c r="RKU118" s="418"/>
      <c r="RKV118" s="418"/>
      <c r="RKW118" s="418"/>
      <c r="RKX118" s="418"/>
      <c r="RKY118" s="418"/>
      <c r="RKZ118" s="418"/>
      <c r="RLA118" s="418"/>
      <c r="RLB118" s="418"/>
      <c r="RLC118" s="418"/>
      <c r="RLD118" s="418"/>
      <c r="RLE118" s="418"/>
      <c r="RLF118" s="418"/>
      <c r="RLG118" s="418"/>
      <c r="RLH118" s="418"/>
      <c r="RLI118" s="418"/>
      <c r="RLJ118" s="418"/>
      <c r="RLK118" s="418"/>
      <c r="RLL118" s="418"/>
      <c r="RLM118" s="418"/>
      <c r="RLN118" s="418"/>
      <c r="RLO118" s="418"/>
      <c r="RLP118" s="418"/>
      <c r="RLQ118" s="418"/>
      <c r="RLR118" s="418"/>
      <c r="RLS118" s="418"/>
      <c r="RLT118" s="418"/>
      <c r="RLU118" s="418"/>
      <c r="RLV118" s="418"/>
      <c r="RLW118" s="418"/>
      <c r="RLX118" s="418"/>
      <c r="RLY118" s="418"/>
      <c r="RLZ118" s="418"/>
      <c r="RMA118" s="418"/>
      <c r="RMB118" s="418"/>
      <c r="RMC118" s="418"/>
      <c r="RMD118" s="418"/>
      <c r="RME118" s="418"/>
      <c r="RMF118" s="418"/>
      <c r="RMG118" s="418"/>
      <c r="RMH118" s="418"/>
      <c r="RMI118" s="418"/>
      <c r="RMJ118" s="418"/>
      <c r="RMK118" s="418"/>
      <c r="RML118" s="418"/>
      <c r="RMM118" s="418"/>
      <c r="RMN118" s="418"/>
      <c r="RMO118" s="418"/>
      <c r="RMP118" s="418"/>
      <c r="RMQ118" s="418"/>
      <c r="RMR118" s="418"/>
      <c r="RMS118" s="418"/>
      <c r="RMT118" s="418"/>
      <c r="RMU118" s="418"/>
      <c r="RMV118" s="418"/>
      <c r="RMW118" s="418"/>
      <c r="RMX118" s="418"/>
      <c r="RMY118" s="418"/>
      <c r="RMZ118" s="418"/>
      <c r="RNA118" s="418"/>
      <c r="RNB118" s="418"/>
      <c r="RNC118" s="418"/>
      <c r="RND118" s="418"/>
      <c r="RNE118" s="418"/>
      <c r="RNF118" s="418"/>
      <c r="RNG118" s="418"/>
      <c r="RNH118" s="418"/>
      <c r="RNI118" s="418"/>
      <c r="RNJ118" s="418"/>
      <c r="RNK118" s="418"/>
      <c r="RNL118" s="418"/>
      <c r="RNM118" s="418"/>
      <c r="RNN118" s="418"/>
      <c r="RNO118" s="418"/>
      <c r="RNP118" s="418"/>
      <c r="RNQ118" s="418"/>
      <c r="RNR118" s="418"/>
      <c r="RNS118" s="418"/>
      <c r="RNT118" s="418"/>
      <c r="RNU118" s="418"/>
      <c r="RNV118" s="418"/>
      <c r="RNW118" s="418"/>
      <c r="RNX118" s="418"/>
      <c r="RNY118" s="418"/>
      <c r="RNZ118" s="418"/>
      <c r="ROA118" s="418"/>
      <c r="ROB118" s="418"/>
      <c r="ROC118" s="418"/>
      <c r="ROD118" s="418"/>
      <c r="ROE118" s="418"/>
      <c r="ROF118" s="418"/>
      <c r="ROG118" s="418"/>
      <c r="ROH118" s="418"/>
      <c r="ROI118" s="418"/>
      <c r="ROJ118" s="418"/>
      <c r="ROK118" s="418"/>
      <c r="ROL118" s="418"/>
      <c r="ROM118" s="418"/>
      <c r="RON118" s="418"/>
      <c r="ROO118" s="418"/>
      <c r="ROP118" s="418"/>
      <c r="ROQ118" s="418"/>
      <c r="ROR118" s="418"/>
      <c r="ROS118" s="418"/>
      <c r="ROT118" s="418"/>
      <c r="ROU118" s="418"/>
      <c r="ROV118" s="418"/>
      <c r="ROW118" s="418"/>
      <c r="ROX118" s="418"/>
      <c r="ROY118" s="418"/>
      <c r="ROZ118" s="418"/>
      <c r="RPA118" s="418"/>
      <c r="RPB118" s="418"/>
      <c r="RPC118" s="418"/>
      <c r="RPD118" s="418"/>
      <c r="RPE118" s="418"/>
      <c r="RPF118" s="418"/>
      <c r="RPG118" s="418"/>
      <c r="RPH118" s="418"/>
      <c r="RPI118" s="418"/>
      <c r="RPJ118" s="418"/>
      <c r="RPK118" s="418"/>
      <c r="RPL118" s="418"/>
      <c r="RPM118" s="418"/>
      <c r="RPN118" s="418"/>
      <c r="RPO118" s="418"/>
      <c r="RPP118" s="418"/>
      <c r="RPQ118" s="418"/>
      <c r="RPR118" s="418"/>
      <c r="RPS118" s="418"/>
      <c r="RPT118" s="418"/>
      <c r="RPU118" s="418"/>
      <c r="RPV118" s="418"/>
      <c r="RPW118" s="418"/>
      <c r="RPX118" s="418"/>
      <c r="RPY118" s="418"/>
      <c r="RPZ118" s="418"/>
      <c r="RQA118" s="418"/>
      <c r="RQB118" s="418"/>
      <c r="RQC118" s="418"/>
      <c r="RQD118" s="418"/>
      <c r="RQE118" s="418"/>
      <c r="RQF118" s="418"/>
      <c r="RQG118" s="418"/>
      <c r="RQH118" s="418"/>
      <c r="RQI118" s="418"/>
      <c r="RQJ118" s="418"/>
      <c r="RQK118" s="418"/>
      <c r="RQL118" s="418"/>
      <c r="RQM118" s="418"/>
      <c r="RQN118" s="418"/>
      <c r="RQO118" s="418"/>
      <c r="RQP118" s="418"/>
      <c r="RQQ118" s="418"/>
      <c r="RQR118" s="418"/>
      <c r="RQS118" s="418"/>
      <c r="RQT118" s="418"/>
      <c r="RQU118" s="418"/>
      <c r="RQV118" s="418"/>
      <c r="RQW118" s="418"/>
      <c r="RQX118" s="418"/>
      <c r="RQY118" s="418"/>
      <c r="RQZ118" s="418"/>
      <c r="RRA118" s="418"/>
      <c r="RRB118" s="418"/>
      <c r="RRC118" s="418"/>
      <c r="RRD118" s="418"/>
      <c r="RRE118" s="418"/>
      <c r="RRF118" s="418"/>
      <c r="RRG118" s="418"/>
      <c r="RRH118" s="418"/>
      <c r="RRI118" s="418"/>
      <c r="RRJ118" s="418"/>
      <c r="RRK118" s="418"/>
      <c r="RRL118" s="418"/>
      <c r="RRM118" s="418"/>
      <c r="RRN118" s="418"/>
      <c r="RRO118" s="418"/>
      <c r="RRP118" s="418"/>
      <c r="RRQ118" s="418"/>
      <c r="RRR118" s="418"/>
      <c r="RRS118" s="418"/>
      <c r="RRT118" s="418"/>
      <c r="RRU118" s="418"/>
      <c r="RRV118" s="418"/>
      <c r="RRW118" s="418"/>
      <c r="RRX118" s="418"/>
      <c r="RRY118" s="418"/>
      <c r="RRZ118" s="418"/>
      <c r="RSA118" s="418"/>
      <c r="RSB118" s="418"/>
      <c r="RSC118" s="418"/>
      <c r="RSD118" s="418"/>
      <c r="RSE118" s="418"/>
      <c r="RSF118" s="418"/>
      <c r="RSG118" s="418"/>
      <c r="RSH118" s="418"/>
      <c r="RSI118" s="418"/>
      <c r="RSJ118" s="418"/>
      <c r="RSK118" s="418"/>
      <c r="RSL118" s="418"/>
      <c r="RSM118" s="418"/>
      <c r="RSN118" s="418"/>
      <c r="RSO118" s="418"/>
      <c r="RSP118" s="418"/>
      <c r="RSQ118" s="418"/>
      <c r="RSR118" s="418"/>
      <c r="RSS118" s="418"/>
      <c r="RST118" s="418"/>
      <c r="RSU118" s="418"/>
      <c r="RSV118" s="418"/>
      <c r="RSW118" s="418"/>
      <c r="RSX118" s="418"/>
      <c r="RSY118" s="418"/>
      <c r="RSZ118" s="418"/>
      <c r="RTA118" s="418"/>
      <c r="RTB118" s="418"/>
      <c r="RTC118" s="418"/>
      <c r="RTD118" s="418"/>
      <c r="RTE118" s="418"/>
      <c r="RTF118" s="418"/>
      <c r="RTG118" s="418"/>
      <c r="RTH118" s="418"/>
      <c r="RTI118" s="418"/>
      <c r="RTJ118" s="418"/>
      <c r="RTK118" s="418"/>
      <c r="RTL118" s="418"/>
      <c r="RTM118" s="418"/>
      <c r="RTN118" s="418"/>
      <c r="RTO118" s="418"/>
      <c r="RTP118" s="418"/>
      <c r="RTQ118" s="418"/>
      <c r="RTR118" s="418"/>
      <c r="RTS118" s="418"/>
      <c r="RTT118" s="418"/>
      <c r="RTU118" s="418"/>
      <c r="RTV118" s="418"/>
      <c r="RTW118" s="418"/>
      <c r="RTX118" s="418"/>
      <c r="RTY118" s="418"/>
      <c r="RTZ118" s="418"/>
      <c r="RUA118" s="418"/>
      <c r="RUB118" s="418"/>
      <c r="RUC118" s="418"/>
      <c r="RUD118" s="418"/>
      <c r="RUE118" s="418"/>
      <c r="RUF118" s="418"/>
      <c r="RUG118" s="418"/>
      <c r="RUH118" s="418"/>
      <c r="RUI118" s="418"/>
      <c r="RUJ118" s="418"/>
      <c r="RUK118" s="418"/>
      <c r="RUL118" s="418"/>
      <c r="RUM118" s="418"/>
      <c r="RUN118" s="418"/>
      <c r="RUO118" s="418"/>
      <c r="RUP118" s="418"/>
      <c r="RUQ118" s="418"/>
      <c r="RUR118" s="418"/>
      <c r="RUS118" s="418"/>
      <c r="RUT118" s="418"/>
      <c r="RUU118" s="418"/>
      <c r="RUV118" s="418"/>
      <c r="RUW118" s="418"/>
      <c r="RUX118" s="418"/>
      <c r="RUY118" s="418"/>
      <c r="RUZ118" s="418"/>
      <c r="RVA118" s="418"/>
      <c r="RVB118" s="418"/>
      <c r="RVC118" s="418"/>
      <c r="RVD118" s="418"/>
      <c r="RVE118" s="418"/>
      <c r="RVF118" s="418"/>
      <c r="RVG118" s="418"/>
      <c r="RVH118" s="418"/>
      <c r="RVI118" s="418"/>
      <c r="RVJ118" s="418"/>
      <c r="RVK118" s="418"/>
      <c r="RVL118" s="418"/>
      <c r="RVM118" s="418"/>
      <c r="RVN118" s="418"/>
      <c r="RVO118" s="418"/>
      <c r="RVP118" s="418"/>
      <c r="RVQ118" s="418"/>
      <c r="RVR118" s="418"/>
      <c r="RVS118" s="418"/>
      <c r="RVT118" s="418"/>
      <c r="RVU118" s="418"/>
      <c r="RVV118" s="418"/>
      <c r="RVW118" s="418"/>
      <c r="RVX118" s="418"/>
      <c r="RVY118" s="418"/>
      <c r="RVZ118" s="418"/>
      <c r="RWA118" s="418"/>
      <c r="RWB118" s="418"/>
      <c r="RWC118" s="418"/>
      <c r="RWD118" s="418"/>
      <c r="RWE118" s="418"/>
      <c r="RWF118" s="418"/>
      <c r="RWG118" s="418"/>
      <c r="RWH118" s="418"/>
      <c r="RWI118" s="418"/>
      <c r="RWJ118" s="418"/>
      <c r="RWK118" s="418"/>
      <c r="RWL118" s="418"/>
      <c r="RWM118" s="418"/>
      <c r="RWN118" s="418"/>
      <c r="RWO118" s="418"/>
      <c r="RWP118" s="418"/>
      <c r="RWQ118" s="418"/>
      <c r="RWR118" s="418"/>
      <c r="RWS118" s="418"/>
      <c r="RWT118" s="418"/>
      <c r="RWU118" s="418"/>
      <c r="RWV118" s="418"/>
      <c r="RWW118" s="418"/>
      <c r="RWX118" s="418"/>
      <c r="RWY118" s="418"/>
      <c r="RWZ118" s="418"/>
      <c r="RXA118" s="418"/>
      <c r="RXB118" s="418"/>
      <c r="RXC118" s="418"/>
      <c r="RXD118" s="418"/>
      <c r="RXE118" s="418"/>
      <c r="RXF118" s="418"/>
      <c r="RXG118" s="418"/>
      <c r="RXH118" s="418"/>
      <c r="RXI118" s="418"/>
      <c r="RXJ118" s="418"/>
      <c r="RXK118" s="418"/>
      <c r="RXL118" s="418"/>
      <c r="RXM118" s="418"/>
      <c r="RXN118" s="418"/>
      <c r="RXO118" s="418"/>
      <c r="RXP118" s="418"/>
      <c r="RXQ118" s="418"/>
      <c r="RXR118" s="418"/>
      <c r="RXS118" s="418"/>
      <c r="RXT118" s="418"/>
      <c r="RXU118" s="418"/>
      <c r="RXV118" s="418"/>
      <c r="RXW118" s="418"/>
      <c r="RXX118" s="418"/>
      <c r="RXY118" s="418"/>
      <c r="RXZ118" s="418"/>
      <c r="RYA118" s="418"/>
      <c r="RYB118" s="418"/>
      <c r="RYC118" s="418"/>
      <c r="RYD118" s="418"/>
      <c r="RYE118" s="418"/>
      <c r="RYF118" s="418"/>
      <c r="RYG118" s="418"/>
      <c r="RYH118" s="418"/>
      <c r="RYI118" s="418"/>
      <c r="RYJ118" s="418"/>
      <c r="RYK118" s="418"/>
      <c r="RYL118" s="418"/>
      <c r="RYM118" s="418"/>
      <c r="RYN118" s="418"/>
      <c r="RYO118" s="418"/>
      <c r="RYP118" s="418"/>
      <c r="RYQ118" s="418"/>
      <c r="RYR118" s="418"/>
      <c r="RYS118" s="418"/>
      <c r="RYT118" s="418"/>
      <c r="RYU118" s="418"/>
      <c r="RYV118" s="418"/>
      <c r="RYW118" s="418"/>
      <c r="RYX118" s="418"/>
      <c r="RYY118" s="418"/>
      <c r="RYZ118" s="418"/>
      <c r="RZA118" s="418"/>
      <c r="RZB118" s="418"/>
      <c r="RZC118" s="418"/>
      <c r="RZD118" s="418"/>
      <c r="RZE118" s="418"/>
      <c r="RZF118" s="418"/>
      <c r="RZG118" s="418"/>
      <c r="RZH118" s="418"/>
      <c r="RZI118" s="418"/>
      <c r="RZJ118" s="418"/>
      <c r="RZK118" s="418"/>
      <c r="RZL118" s="418"/>
      <c r="RZM118" s="418"/>
      <c r="RZN118" s="418"/>
      <c r="RZO118" s="418"/>
      <c r="RZP118" s="418"/>
      <c r="RZQ118" s="418"/>
      <c r="RZR118" s="418"/>
      <c r="RZS118" s="418"/>
      <c r="RZT118" s="418"/>
      <c r="RZU118" s="418"/>
      <c r="RZV118" s="418"/>
      <c r="RZW118" s="418"/>
      <c r="RZX118" s="418"/>
      <c r="RZY118" s="418"/>
      <c r="RZZ118" s="418"/>
      <c r="SAA118" s="418"/>
      <c r="SAB118" s="418"/>
      <c r="SAC118" s="418"/>
      <c r="SAD118" s="418"/>
      <c r="SAE118" s="418"/>
      <c r="SAF118" s="418"/>
      <c r="SAG118" s="418"/>
      <c r="SAH118" s="418"/>
      <c r="SAI118" s="418"/>
      <c r="SAJ118" s="418"/>
      <c r="SAK118" s="418"/>
      <c r="SAL118" s="418"/>
      <c r="SAM118" s="418"/>
      <c r="SAN118" s="418"/>
      <c r="SAO118" s="418"/>
      <c r="SAP118" s="418"/>
      <c r="SAQ118" s="418"/>
      <c r="SAR118" s="418"/>
      <c r="SAS118" s="418"/>
      <c r="SAT118" s="418"/>
      <c r="SAU118" s="418"/>
      <c r="SAV118" s="418"/>
      <c r="SAW118" s="418"/>
      <c r="SAX118" s="418"/>
      <c r="SAY118" s="418"/>
      <c r="SAZ118" s="418"/>
      <c r="SBA118" s="418"/>
      <c r="SBB118" s="418"/>
      <c r="SBC118" s="418"/>
      <c r="SBD118" s="418"/>
      <c r="SBE118" s="418"/>
      <c r="SBF118" s="418"/>
      <c r="SBG118" s="418"/>
      <c r="SBH118" s="418"/>
      <c r="SBI118" s="418"/>
      <c r="SBJ118" s="418"/>
      <c r="SBK118" s="418"/>
      <c r="SBL118" s="418"/>
      <c r="SBM118" s="418"/>
      <c r="SBN118" s="418"/>
      <c r="SBO118" s="418"/>
      <c r="SBP118" s="418"/>
      <c r="SBQ118" s="418"/>
      <c r="SBR118" s="418"/>
      <c r="SBS118" s="418"/>
      <c r="SBT118" s="418"/>
      <c r="SBU118" s="418"/>
      <c r="SBV118" s="418"/>
      <c r="SBW118" s="418"/>
      <c r="SBX118" s="418"/>
      <c r="SBY118" s="418"/>
      <c r="SBZ118" s="418"/>
      <c r="SCA118" s="418"/>
      <c r="SCB118" s="418"/>
      <c r="SCC118" s="418"/>
      <c r="SCD118" s="418"/>
      <c r="SCE118" s="418"/>
      <c r="SCF118" s="418"/>
      <c r="SCG118" s="418"/>
      <c r="SCH118" s="418"/>
      <c r="SCI118" s="418"/>
      <c r="SCJ118" s="418"/>
      <c r="SCK118" s="418"/>
      <c r="SCL118" s="418"/>
      <c r="SCM118" s="418"/>
      <c r="SCN118" s="418"/>
      <c r="SCO118" s="418"/>
      <c r="SCP118" s="418"/>
      <c r="SCQ118" s="418"/>
      <c r="SCR118" s="418"/>
      <c r="SCS118" s="418"/>
      <c r="SCT118" s="418"/>
      <c r="SCU118" s="418"/>
      <c r="SCV118" s="418"/>
      <c r="SCW118" s="418"/>
      <c r="SCX118" s="418"/>
      <c r="SCY118" s="418"/>
      <c r="SCZ118" s="418"/>
      <c r="SDA118" s="418"/>
      <c r="SDB118" s="418"/>
      <c r="SDC118" s="418"/>
      <c r="SDD118" s="418"/>
      <c r="SDE118" s="418"/>
      <c r="SDF118" s="418"/>
      <c r="SDG118" s="418"/>
      <c r="SDH118" s="418"/>
      <c r="SDI118" s="418"/>
      <c r="SDJ118" s="418"/>
      <c r="SDK118" s="418"/>
      <c r="SDL118" s="418"/>
      <c r="SDM118" s="418"/>
      <c r="SDN118" s="418"/>
      <c r="SDO118" s="418"/>
      <c r="SDP118" s="418"/>
      <c r="SDQ118" s="418"/>
      <c r="SDR118" s="418"/>
      <c r="SDS118" s="418"/>
      <c r="SDT118" s="418"/>
      <c r="SDU118" s="418"/>
      <c r="SDV118" s="418"/>
      <c r="SDW118" s="418"/>
      <c r="SDX118" s="418"/>
      <c r="SDY118" s="418"/>
      <c r="SDZ118" s="418"/>
      <c r="SEA118" s="418"/>
      <c r="SEB118" s="418"/>
      <c r="SEC118" s="418"/>
      <c r="SED118" s="418"/>
      <c r="SEE118" s="418"/>
      <c r="SEF118" s="418"/>
      <c r="SEG118" s="418"/>
      <c r="SEH118" s="418"/>
      <c r="SEI118" s="418"/>
      <c r="SEJ118" s="418"/>
      <c r="SEK118" s="418"/>
      <c r="SEL118" s="418"/>
      <c r="SEM118" s="418"/>
      <c r="SEN118" s="418"/>
      <c r="SEO118" s="418"/>
      <c r="SEP118" s="418"/>
      <c r="SEQ118" s="418"/>
      <c r="SER118" s="418"/>
      <c r="SES118" s="418"/>
      <c r="SET118" s="418"/>
      <c r="SEU118" s="418"/>
      <c r="SEV118" s="418"/>
      <c r="SEW118" s="418"/>
      <c r="SEX118" s="418"/>
      <c r="SEY118" s="418"/>
      <c r="SEZ118" s="418"/>
      <c r="SFA118" s="418"/>
      <c r="SFB118" s="418"/>
      <c r="SFC118" s="418"/>
      <c r="SFD118" s="418"/>
      <c r="SFE118" s="418"/>
      <c r="SFF118" s="418"/>
      <c r="SFG118" s="418"/>
      <c r="SFH118" s="418"/>
      <c r="SFI118" s="418"/>
      <c r="SFJ118" s="418"/>
      <c r="SFK118" s="418"/>
      <c r="SFL118" s="418"/>
      <c r="SFM118" s="418"/>
      <c r="SFN118" s="418"/>
      <c r="SFO118" s="418"/>
      <c r="SFP118" s="418"/>
      <c r="SFQ118" s="418"/>
      <c r="SFR118" s="418"/>
      <c r="SFS118" s="418"/>
      <c r="SFT118" s="418"/>
      <c r="SFU118" s="418"/>
      <c r="SFV118" s="418"/>
      <c r="SFW118" s="418"/>
      <c r="SFX118" s="418"/>
      <c r="SFY118" s="418"/>
      <c r="SFZ118" s="418"/>
      <c r="SGA118" s="418"/>
      <c r="SGB118" s="418"/>
      <c r="SGC118" s="418"/>
      <c r="SGD118" s="418"/>
      <c r="SGE118" s="418"/>
      <c r="SGF118" s="418"/>
      <c r="SGG118" s="418"/>
      <c r="SGH118" s="418"/>
      <c r="SGI118" s="418"/>
      <c r="SGJ118" s="418"/>
      <c r="SGK118" s="418"/>
      <c r="SGL118" s="418"/>
      <c r="SGM118" s="418"/>
      <c r="SGN118" s="418"/>
      <c r="SGO118" s="418"/>
      <c r="SGP118" s="418"/>
      <c r="SGQ118" s="418"/>
      <c r="SGR118" s="418"/>
      <c r="SGS118" s="418"/>
      <c r="SGT118" s="418"/>
      <c r="SGU118" s="418"/>
      <c r="SGV118" s="418"/>
      <c r="SGW118" s="418"/>
      <c r="SGX118" s="418"/>
      <c r="SGY118" s="418"/>
      <c r="SGZ118" s="418"/>
      <c r="SHA118" s="418"/>
      <c r="SHB118" s="418"/>
      <c r="SHC118" s="418"/>
      <c r="SHD118" s="418"/>
      <c r="SHE118" s="418"/>
      <c r="SHF118" s="418"/>
      <c r="SHG118" s="418"/>
      <c r="SHH118" s="418"/>
      <c r="SHI118" s="418"/>
      <c r="SHJ118" s="418"/>
      <c r="SHK118" s="418"/>
      <c r="SHL118" s="418"/>
      <c r="SHM118" s="418"/>
      <c r="SHN118" s="418"/>
      <c r="SHO118" s="418"/>
      <c r="SHP118" s="418"/>
      <c r="SHQ118" s="418"/>
      <c r="SHR118" s="418"/>
      <c r="SHS118" s="418"/>
      <c r="SHT118" s="418"/>
      <c r="SHU118" s="418"/>
      <c r="SHV118" s="418"/>
      <c r="SHW118" s="418"/>
      <c r="SHX118" s="418"/>
      <c r="SHY118" s="418"/>
      <c r="SHZ118" s="418"/>
      <c r="SIA118" s="418"/>
      <c r="SIB118" s="418"/>
      <c r="SIC118" s="418"/>
      <c r="SID118" s="418"/>
      <c r="SIE118" s="418"/>
      <c r="SIF118" s="418"/>
      <c r="SIG118" s="418"/>
      <c r="SIH118" s="418"/>
      <c r="SII118" s="418"/>
      <c r="SIJ118" s="418"/>
      <c r="SIK118" s="418"/>
      <c r="SIL118" s="418"/>
      <c r="SIM118" s="418"/>
      <c r="SIN118" s="418"/>
      <c r="SIO118" s="418"/>
      <c r="SIP118" s="418"/>
      <c r="SIQ118" s="418"/>
      <c r="SIR118" s="418"/>
      <c r="SIS118" s="418"/>
      <c r="SIT118" s="418"/>
      <c r="SIU118" s="418"/>
      <c r="SIV118" s="418"/>
      <c r="SIW118" s="418"/>
      <c r="SIX118" s="418"/>
      <c r="SIY118" s="418"/>
      <c r="SIZ118" s="418"/>
      <c r="SJA118" s="418"/>
      <c r="SJB118" s="418"/>
      <c r="SJC118" s="418"/>
      <c r="SJD118" s="418"/>
      <c r="SJE118" s="418"/>
      <c r="SJF118" s="418"/>
      <c r="SJG118" s="418"/>
      <c r="SJH118" s="418"/>
      <c r="SJI118" s="418"/>
      <c r="SJJ118" s="418"/>
      <c r="SJK118" s="418"/>
      <c r="SJL118" s="418"/>
      <c r="SJM118" s="418"/>
      <c r="SJN118" s="418"/>
      <c r="SJO118" s="418"/>
      <c r="SJP118" s="418"/>
      <c r="SJQ118" s="418"/>
      <c r="SJR118" s="418"/>
      <c r="SJS118" s="418"/>
      <c r="SJT118" s="418"/>
      <c r="SJU118" s="418"/>
      <c r="SJV118" s="418"/>
      <c r="SJW118" s="418"/>
      <c r="SJX118" s="418"/>
      <c r="SJY118" s="418"/>
      <c r="SJZ118" s="418"/>
      <c r="SKA118" s="418"/>
      <c r="SKB118" s="418"/>
      <c r="SKC118" s="418"/>
      <c r="SKD118" s="418"/>
      <c r="SKE118" s="418"/>
      <c r="SKF118" s="418"/>
      <c r="SKG118" s="418"/>
      <c r="SKH118" s="418"/>
      <c r="SKI118" s="418"/>
      <c r="SKJ118" s="418"/>
      <c r="SKK118" s="418"/>
      <c r="SKL118" s="418"/>
      <c r="SKM118" s="418"/>
      <c r="SKN118" s="418"/>
      <c r="SKO118" s="418"/>
      <c r="SKP118" s="418"/>
      <c r="SKQ118" s="418"/>
      <c r="SKR118" s="418"/>
      <c r="SKS118" s="418"/>
      <c r="SKT118" s="418"/>
      <c r="SKU118" s="418"/>
      <c r="SKV118" s="418"/>
      <c r="SKW118" s="418"/>
      <c r="SKX118" s="418"/>
      <c r="SKY118" s="418"/>
      <c r="SKZ118" s="418"/>
      <c r="SLA118" s="418"/>
      <c r="SLB118" s="418"/>
      <c r="SLC118" s="418"/>
      <c r="SLD118" s="418"/>
      <c r="SLE118" s="418"/>
      <c r="SLF118" s="418"/>
      <c r="SLG118" s="418"/>
      <c r="SLH118" s="418"/>
      <c r="SLI118" s="418"/>
      <c r="SLJ118" s="418"/>
      <c r="SLK118" s="418"/>
      <c r="SLL118" s="418"/>
      <c r="SLM118" s="418"/>
      <c r="SLN118" s="418"/>
      <c r="SLO118" s="418"/>
      <c r="SLP118" s="418"/>
      <c r="SLQ118" s="418"/>
      <c r="SLR118" s="418"/>
      <c r="SLS118" s="418"/>
      <c r="SLT118" s="418"/>
      <c r="SLU118" s="418"/>
      <c r="SLV118" s="418"/>
      <c r="SLW118" s="418"/>
      <c r="SLX118" s="418"/>
      <c r="SLY118" s="418"/>
      <c r="SLZ118" s="418"/>
      <c r="SMA118" s="418"/>
      <c r="SMB118" s="418"/>
      <c r="SMC118" s="418"/>
      <c r="SMD118" s="418"/>
      <c r="SME118" s="418"/>
      <c r="SMF118" s="418"/>
      <c r="SMG118" s="418"/>
      <c r="SMH118" s="418"/>
      <c r="SMI118" s="418"/>
      <c r="SMJ118" s="418"/>
      <c r="SMK118" s="418"/>
      <c r="SML118" s="418"/>
      <c r="SMM118" s="418"/>
      <c r="SMN118" s="418"/>
      <c r="SMO118" s="418"/>
      <c r="SMP118" s="418"/>
      <c r="SMQ118" s="418"/>
      <c r="SMR118" s="418"/>
      <c r="SMS118" s="418"/>
      <c r="SMT118" s="418"/>
      <c r="SMU118" s="418"/>
      <c r="SMV118" s="418"/>
      <c r="SMW118" s="418"/>
      <c r="SMX118" s="418"/>
      <c r="SMY118" s="418"/>
      <c r="SMZ118" s="418"/>
      <c r="SNA118" s="418"/>
      <c r="SNB118" s="418"/>
      <c r="SNC118" s="418"/>
      <c r="SND118" s="418"/>
      <c r="SNE118" s="418"/>
      <c r="SNF118" s="418"/>
      <c r="SNG118" s="418"/>
      <c r="SNH118" s="418"/>
      <c r="SNI118" s="418"/>
      <c r="SNJ118" s="418"/>
      <c r="SNK118" s="418"/>
      <c r="SNL118" s="418"/>
      <c r="SNM118" s="418"/>
      <c r="SNN118" s="418"/>
      <c r="SNO118" s="418"/>
      <c r="SNP118" s="418"/>
      <c r="SNQ118" s="418"/>
      <c r="SNR118" s="418"/>
      <c r="SNS118" s="418"/>
      <c r="SNT118" s="418"/>
      <c r="SNU118" s="418"/>
      <c r="SNV118" s="418"/>
      <c r="SNW118" s="418"/>
      <c r="SNX118" s="418"/>
      <c r="SNY118" s="418"/>
      <c r="SNZ118" s="418"/>
      <c r="SOA118" s="418"/>
      <c r="SOB118" s="418"/>
      <c r="SOC118" s="418"/>
      <c r="SOD118" s="418"/>
      <c r="SOE118" s="418"/>
      <c r="SOF118" s="418"/>
      <c r="SOG118" s="418"/>
      <c r="SOH118" s="418"/>
      <c r="SOI118" s="418"/>
      <c r="SOJ118" s="418"/>
      <c r="SOK118" s="418"/>
      <c r="SOL118" s="418"/>
      <c r="SOM118" s="418"/>
      <c r="SON118" s="418"/>
      <c r="SOO118" s="418"/>
      <c r="SOP118" s="418"/>
      <c r="SOQ118" s="418"/>
      <c r="SOR118" s="418"/>
      <c r="SOS118" s="418"/>
      <c r="SOT118" s="418"/>
      <c r="SOU118" s="418"/>
      <c r="SOV118" s="418"/>
      <c r="SOW118" s="418"/>
      <c r="SOX118" s="418"/>
      <c r="SOY118" s="418"/>
      <c r="SOZ118" s="418"/>
      <c r="SPA118" s="418"/>
      <c r="SPB118" s="418"/>
      <c r="SPC118" s="418"/>
      <c r="SPD118" s="418"/>
      <c r="SPE118" s="418"/>
      <c r="SPF118" s="418"/>
      <c r="SPG118" s="418"/>
      <c r="SPH118" s="418"/>
      <c r="SPI118" s="418"/>
      <c r="SPJ118" s="418"/>
      <c r="SPK118" s="418"/>
      <c r="SPL118" s="418"/>
      <c r="SPM118" s="418"/>
      <c r="SPN118" s="418"/>
      <c r="SPO118" s="418"/>
      <c r="SPP118" s="418"/>
      <c r="SPQ118" s="418"/>
      <c r="SPR118" s="418"/>
      <c r="SPS118" s="418"/>
      <c r="SPT118" s="418"/>
      <c r="SPU118" s="418"/>
      <c r="SPV118" s="418"/>
      <c r="SPW118" s="418"/>
      <c r="SPX118" s="418"/>
      <c r="SPY118" s="418"/>
      <c r="SPZ118" s="418"/>
      <c r="SQA118" s="418"/>
      <c r="SQB118" s="418"/>
      <c r="SQC118" s="418"/>
      <c r="SQD118" s="418"/>
      <c r="SQE118" s="418"/>
      <c r="SQF118" s="418"/>
      <c r="SQG118" s="418"/>
      <c r="SQH118" s="418"/>
      <c r="SQI118" s="418"/>
      <c r="SQJ118" s="418"/>
      <c r="SQK118" s="418"/>
      <c r="SQL118" s="418"/>
      <c r="SQM118" s="418"/>
      <c r="SQN118" s="418"/>
      <c r="SQO118" s="418"/>
      <c r="SQP118" s="418"/>
      <c r="SQQ118" s="418"/>
      <c r="SQR118" s="418"/>
      <c r="SQS118" s="418"/>
      <c r="SQT118" s="418"/>
      <c r="SQU118" s="418"/>
      <c r="SQV118" s="418"/>
      <c r="SQW118" s="418"/>
      <c r="SQX118" s="418"/>
      <c r="SQY118" s="418"/>
      <c r="SQZ118" s="418"/>
      <c r="SRA118" s="418"/>
      <c r="SRB118" s="418"/>
      <c r="SRC118" s="418"/>
      <c r="SRD118" s="418"/>
      <c r="SRE118" s="418"/>
      <c r="SRF118" s="418"/>
      <c r="SRG118" s="418"/>
      <c r="SRH118" s="418"/>
      <c r="SRI118" s="418"/>
      <c r="SRJ118" s="418"/>
      <c r="SRK118" s="418"/>
      <c r="SRL118" s="418"/>
      <c r="SRM118" s="418"/>
      <c r="SRN118" s="418"/>
      <c r="SRO118" s="418"/>
      <c r="SRP118" s="418"/>
      <c r="SRQ118" s="418"/>
      <c r="SRR118" s="418"/>
      <c r="SRS118" s="418"/>
      <c r="SRT118" s="418"/>
      <c r="SRU118" s="418"/>
      <c r="SRV118" s="418"/>
      <c r="SRW118" s="418"/>
      <c r="SRX118" s="418"/>
      <c r="SRY118" s="418"/>
      <c r="SRZ118" s="418"/>
      <c r="SSA118" s="418"/>
      <c r="SSB118" s="418"/>
      <c r="SSC118" s="418"/>
      <c r="SSD118" s="418"/>
      <c r="SSE118" s="418"/>
      <c r="SSF118" s="418"/>
      <c r="SSG118" s="418"/>
      <c r="SSH118" s="418"/>
      <c r="SSI118" s="418"/>
      <c r="SSJ118" s="418"/>
      <c r="SSK118" s="418"/>
      <c r="SSL118" s="418"/>
      <c r="SSM118" s="418"/>
      <c r="SSN118" s="418"/>
      <c r="SSO118" s="418"/>
      <c r="SSP118" s="418"/>
      <c r="SSQ118" s="418"/>
      <c r="SSR118" s="418"/>
      <c r="SSS118" s="418"/>
      <c r="SST118" s="418"/>
      <c r="SSU118" s="418"/>
      <c r="SSV118" s="418"/>
      <c r="SSW118" s="418"/>
      <c r="SSX118" s="418"/>
      <c r="SSY118" s="418"/>
      <c r="SSZ118" s="418"/>
      <c r="STA118" s="418"/>
      <c r="STB118" s="418"/>
      <c r="STC118" s="418"/>
      <c r="STD118" s="418"/>
      <c r="STE118" s="418"/>
      <c r="STF118" s="418"/>
      <c r="STG118" s="418"/>
      <c r="STH118" s="418"/>
      <c r="STI118" s="418"/>
      <c r="STJ118" s="418"/>
      <c r="STK118" s="418"/>
      <c r="STL118" s="418"/>
      <c r="STM118" s="418"/>
      <c r="STN118" s="418"/>
      <c r="STO118" s="418"/>
      <c r="STP118" s="418"/>
      <c r="STQ118" s="418"/>
      <c r="STR118" s="418"/>
      <c r="STS118" s="418"/>
      <c r="STT118" s="418"/>
      <c r="STU118" s="418"/>
      <c r="STV118" s="418"/>
      <c r="STW118" s="418"/>
      <c r="STX118" s="418"/>
      <c r="STY118" s="418"/>
      <c r="STZ118" s="418"/>
      <c r="SUA118" s="418"/>
      <c r="SUB118" s="418"/>
      <c r="SUC118" s="418"/>
      <c r="SUD118" s="418"/>
      <c r="SUE118" s="418"/>
      <c r="SUF118" s="418"/>
      <c r="SUG118" s="418"/>
      <c r="SUH118" s="418"/>
      <c r="SUI118" s="418"/>
      <c r="SUJ118" s="418"/>
      <c r="SUK118" s="418"/>
      <c r="SUL118" s="418"/>
      <c r="SUM118" s="418"/>
      <c r="SUN118" s="418"/>
      <c r="SUO118" s="418"/>
      <c r="SUP118" s="418"/>
      <c r="SUQ118" s="418"/>
      <c r="SUR118" s="418"/>
      <c r="SUS118" s="418"/>
      <c r="SUT118" s="418"/>
      <c r="SUU118" s="418"/>
      <c r="SUV118" s="418"/>
      <c r="SUW118" s="418"/>
      <c r="SUX118" s="418"/>
      <c r="SUY118" s="418"/>
      <c r="SUZ118" s="418"/>
      <c r="SVA118" s="418"/>
      <c r="SVB118" s="418"/>
      <c r="SVC118" s="418"/>
      <c r="SVD118" s="418"/>
      <c r="SVE118" s="418"/>
      <c r="SVF118" s="418"/>
      <c r="SVG118" s="418"/>
      <c r="SVH118" s="418"/>
      <c r="SVI118" s="418"/>
      <c r="SVJ118" s="418"/>
      <c r="SVK118" s="418"/>
      <c r="SVL118" s="418"/>
      <c r="SVM118" s="418"/>
      <c r="SVN118" s="418"/>
      <c r="SVO118" s="418"/>
      <c r="SVP118" s="418"/>
      <c r="SVQ118" s="418"/>
      <c r="SVR118" s="418"/>
      <c r="SVS118" s="418"/>
      <c r="SVT118" s="418"/>
      <c r="SVU118" s="418"/>
      <c r="SVV118" s="418"/>
      <c r="SVW118" s="418"/>
      <c r="SVX118" s="418"/>
      <c r="SVY118" s="418"/>
      <c r="SVZ118" s="418"/>
      <c r="SWA118" s="418"/>
      <c r="SWB118" s="418"/>
      <c r="SWC118" s="418"/>
      <c r="SWD118" s="418"/>
      <c r="SWE118" s="418"/>
      <c r="SWF118" s="418"/>
      <c r="SWG118" s="418"/>
      <c r="SWH118" s="418"/>
      <c r="SWI118" s="418"/>
      <c r="SWJ118" s="418"/>
      <c r="SWK118" s="418"/>
      <c r="SWL118" s="418"/>
      <c r="SWM118" s="418"/>
      <c r="SWN118" s="418"/>
      <c r="SWO118" s="418"/>
      <c r="SWP118" s="418"/>
      <c r="SWQ118" s="418"/>
      <c r="SWR118" s="418"/>
      <c r="SWS118" s="418"/>
      <c r="SWT118" s="418"/>
      <c r="SWU118" s="418"/>
      <c r="SWV118" s="418"/>
      <c r="SWW118" s="418"/>
      <c r="SWX118" s="418"/>
      <c r="SWY118" s="418"/>
      <c r="SWZ118" s="418"/>
      <c r="SXA118" s="418"/>
      <c r="SXB118" s="418"/>
      <c r="SXC118" s="418"/>
      <c r="SXD118" s="418"/>
      <c r="SXE118" s="418"/>
      <c r="SXF118" s="418"/>
      <c r="SXG118" s="418"/>
      <c r="SXH118" s="418"/>
      <c r="SXI118" s="418"/>
      <c r="SXJ118" s="418"/>
      <c r="SXK118" s="418"/>
      <c r="SXL118" s="418"/>
      <c r="SXM118" s="418"/>
      <c r="SXN118" s="418"/>
      <c r="SXO118" s="418"/>
      <c r="SXP118" s="418"/>
      <c r="SXQ118" s="418"/>
      <c r="SXR118" s="418"/>
      <c r="SXS118" s="418"/>
      <c r="SXT118" s="418"/>
      <c r="SXU118" s="418"/>
      <c r="SXV118" s="418"/>
      <c r="SXW118" s="418"/>
      <c r="SXX118" s="418"/>
      <c r="SXY118" s="418"/>
      <c r="SXZ118" s="418"/>
      <c r="SYA118" s="418"/>
      <c r="SYB118" s="418"/>
      <c r="SYC118" s="418"/>
      <c r="SYD118" s="418"/>
      <c r="SYE118" s="418"/>
      <c r="SYF118" s="418"/>
      <c r="SYG118" s="418"/>
      <c r="SYH118" s="418"/>
      <c r="SYI118" s="418"/>
      <c r="SYJ118" s="418"/>
      <c r="SYK118" s="418"/>
      <c r="SYL118" s="418"/>
      <c r="SYM118" s="418"/>
      <c r="SYN118" s="418"/>
      <c r="SYO118" s="418"/>
      <c r="SYP118" s="418"/>
      <c r="SYQ118" s="418"/>
      <c r="SYR118" s="418"/>
      <c r="SYS118" s="418"/>
      <c r="SYT118" s="418"/>
      <c r="SYU118" s="418"/>
      <c r="SYV118" s="418"/>
      <c r="SYW118" s="418"/>
      <c r="SYX118" s="418"/>
      <c r="SYY118" s="418"/>
      <c r="SYZ118" s="418"/>
      <c r="SZA118" s="418"/>
      <c r="SZB118" s="418"/>
      <c r="SZC118" s="418"/>
      <c r="SZD118" s="418"/>
      <c r="SZE118" s="418"/>
      <c r="SZF118" s="418"/>
      <c r="SZG118" s="418"/>
      <c r="SZH118" s="418"/>
      <c r="SZI118" s="418"/>
      <c r="SZJ118" s="418"/>
      <c r="SZK118" s="418"/>
      <c r="SZL118" s="418"/>
      <c r="SZM118" s="418"/>
      <c r="SZN118" s="418"/>
      <c r="SZO118" s="418"/>
      <c r="SZP118" s="418"/>
      <c r="SZQ118" s="418"/>
      <c r="SZR118" s="418"/>
      <c r="SZS118" s="418"/>
      <c r="SZT118" s="418"/>
      <c r="SZU118" s="418"/>
      <c r="SZV118" s="418"/>
      <c r="SZW118" s="418"/>
      <c r="SZX118" s="418"/>
      <c r="SZY118" s="418"/>
      <c r="SZZ118" s="418"/>
      <c r="TAA118" s="418"/>
      <c r="TAB118" s="418"/>
      <c r="TAC118" s="418"/>
      <c r="TAD118" s="418"/>
      <c r="TAE118" s="418"/>
      <c r="TAF118" s="418"/>
      <c r="TAG118" s="418"/>
      <c r="TAH118" s="418"/>
      <c r="TAI118" s="418"/>
      <c r="TAJ118" s="418"/>
      <c r="TAK118" s="418"/>
      <c r="TAL118" s="418"/>
      <c r="TAM118" s="418"/>
      <c r="TAN118" s="418"/>
      <c r="TAO118" s="418"/>
      <c r="TAP118" s="418"/>
      <c r="TAQ118" s="418"/>
      <c r="TAR118" s="418"/>
      <c r="TAS118" s="418"/>
      <c r="TAT118" s="418"/>
      <c r="TAU118" s="418"/>
      <c r="TAV118" s="418"/>
      <c r="TAW118" s="418"/>
      <c r="TAX118" s="418"/>
      <c r="TAY118" s="418"/>
      <c r="TAZ118" s="418"/>
      <c r="TBA118" s="418"/>
      <c r="TBB118" s="418"/>
      <c r="TBC118" s="418"/>
      <c r="TBD118" s="418"/>
      <c r="TBE118" s="418"/>
      <c r="TBF118" s="418"/>
      <c r="TBG118" s="418"/>
      <c r="TBH118" s="418"/>
      <c r="TBI118" s="418"/>
      <c r="TBJ118" s="418"/>
      <c r="TBK118" s="418"/>
      <c r="TBL118" s="418"/>
      <c r="TBM118" s="418"/>
      <c r="TBN118" s="418"/>
      <c r="TBO118" s="418"/>
      <c r="TBP118" s="418"/>
      <c r="TBQ118" s="418"/>
      <c r="TBR118" s="418"/>
      <c r="TBS118" s="418"/>
      <c r="TBT118" s="418"/>
      <c r="TBU118" s="418"/>
      <c r="TBV118" s="418"/>
      <c r="TBW118" s="418"/>
      <c r="TBX118" s="418"/>
      <c r="TBY118" s="418"/>
      <c r="TBZ118" s="418"/>
      <c r="TCA118" s="418"/>
      <c r="TCB118" s="418"/>
      <c r="TCC118" s="418"/>
      <c r="TCD118" s="418"/>
      <c r="TCE118" s="418"/>
      <c r="TCF118" s="418"/>
      <c r="TCG118" s="418"/>
      <c r="TCH118" s="418"/>
      <c r="TCI118" s="418"/>
      <c r="TCJ118" s="418"/>
      <c r="TCK118" s="418"/>
      <c r="TCL118" s="418"/>
      <c r="TCM118" s="418"/>
      <c r="TCN118" s="418"/>
      <c r="TCO118" s="418"/>
      <c r="TCP118" s="418"/>
      <c r="TCQ118" s="418"/>
      <c r="TCR118" s="418"/>
      <c r="TCS118" s="418"/>
      <c r="TCT118" s="418"/>
      <c r="TCU118" s="418"/>
      <c r="TCV118" s="418"/>
      <c r="TCW118" s="418"/>
      <c r="TCX118" s="418"/>
      <c r="TCY118" s="418"/>
      <c r="TCZ118" s="418"/>
      <c r="TDA118" s="418"/>
      <c r="TDB118" s="418"/>
      <c r="TDC118" s="418"/>
      <c r="TDD118" s="418"/>
      <c r="TDE118" s="418"/>
      <c r="TDF118" s="418"/>
      <c r="TDG118" s="418"/>
      <c r="TDH118" s="418"/>
      <c r="TDI118" s="418"/>
      <c r="TDJ118" s="418"/>
      <c r="TDK118" s="418"/>
      <c r="TDL118" s="418"/>
      <c r="TDM118" s="418"/>
      <c r="TDN118" s="418"/>
      <c r="TDO118" s="418"/>
      <c r="TDP118" s="418"/>
      <c r="TDQ118" s="418"/>
      <c r="TDR118" s="418"/>
      <c r="TDS118" s="418"/>
      <c r="TDT118" s="418"/>
      <c r="TDU118" s="418"/>
      <c r="TDV118" s="418"/>
      <c r="TDW118" s="418"/>
      <c r="TDX118" s="418"/>
      <c r="TDY118" s="418"/>
      <c r="TDZ118" s="418"/>
      <c r="TEA118" s="418"/>
      <c r="TEB118" s="418"/>
      <c r="TEC118" s="418"/>
      <c r="TED118" s="418"/>
      <c r="TEE118" s="418"/>
      <c r="TEF118" s="418"/>
      <c r="TEG118" s="418"/>
      <c r="TEH118" s="418"/>
      <c r="TEI118" s="418"/>
      <c r="TEJ118" s="418"/>
      <c r="TEK118" s="418"/>
      <c r="TEL118" s="418"/>
      <c r="TEM118" s="418"/>
      <c r="TEN118" s="418"/>
      <c r="TEO118" s="418"/>
      <c r="TEP118" s="418"/>
      <c r="TEQ118" s="418"/>
      <c r="TER118" s="418"/>
      <c r="TES118" s="418"/>
      <c r="TET118" s="418"/>
      <c r="TEU118" s="418"/>
      <c r="TEV118" s="418"/>
      <c r="TEW118" s="418"/>
      <c r="TEX118" s="418"/>
      <c r="TEY118" s="418"/>
      <c r="TEZ118" s="418"/>
      <c r="TFA118" s="418"/>
      <c r="TFB118" s="418"/>
      <c r="TFC118" s="418"/>
      <c r="TFD118" s="418"/>
      <c r="TFE118" s="418"/>
      <c r="TFF118" s="418"/>
      <c r="TFG118" s="418"/>
      <c r="TFH118" s="418"/>
      <c r="TFI118" s="418"/>
      <c r="TFJ118" s="418"/>
      <c r="TFK118" s="418"/>
      <c r="TFL118" s="418"/>
      <c r="TFM118" s="418"/>
      <c r="TFN118" s="418"/>
      <c r="TFO118" s="418"/>
      <c r="TFP118" s="418"/>
      <c r="TFQ118" s="418"/>
      <c r="TFR118" s="418"/>
      <c r="TFS118" s="418"/>
      <c r="TFT118" s="418"/>
      <c r="TFU118" s="418"/>
      <c r="TFV118" s="418"/>
      <c r="TFW118" s="418"/>
      <c r="TFX118" s="418"/>
      <c r="TFY118" s="418"/>
      <c r="TFZ118" s="418"/>
      <c r="TGA118" s="418"/>
      <c r="TGB118" s="418"/>
      <c r="TGC118" s="418"/>
      <c r="TGD118" s="418"/>
      <c r="TGE118" s="418"/>
      <c r="TGF118" s="418"/>
      <c r="TGG118" s="418"/>
      <c r="TGH118" s="418"/>
      <c r="TGI118" s="418"/>
      <c r="TGJ118" s="418"/>
      <c r="TGK118" s="418"/>
      <c r="TGL118" s="418"/>
      <c r="TGM118" s="418"/>
      <c r="TGN118" s="418"/>
      <c r="TGO118" s="418"/>
      <c r="TGP118" s="418"/>
      <c r="TGQ118" s="418"/>
      <c r="TGR118" s="418"/>
      <c r="TGS118" s="418"/>
      <c r="TGT118" s="418"/>
      <c r="TGU118" s="418"/>
      <c r="TGV118" s="418"/>
      <c r="TGW118" s="418"/>
      <c r="TGX118" s="418"/>
      <c r="TGY118" s="418"/>
      <c r="TGZ118" s="418"/>
      <c r="THA118" s="418"/>
      <c r="THB118" s="418"/>
      <c r="THC118" s="418"/>
      <c r="THD118" s="418"/>
      <c r="THE118" s="418"/>
      <c r="THF118" s="418"/>
      <c r="THG118" s="418"/>
      <c r="THH118" s="418"/>
      <c r="THI118" s="418"/>
      <c r="THJ118" s="418"/>
      <c r="THK118" s="418"/>
      <c r="THL118" s="418"/>
      <c r="THM118" s="418"/>
      <c r="THN118" s="418"/>
      <c r="THO118" s="418"/>
      <c r="THP118" s="418"/>
      <c r="THQ118" s="418"/>
      <c r="THR118" s="418"/>
      <c r="THS118" s="418"/>
      <c r="THT118" s="418"/>
      <c r="THU118" s="418"/>
      <c r="THV118" s="418"/>
      <c r="THW118" s="418"/>
      <c r="THX118" s="418"/>
      <c r="THY118" s="418"/>
      <c r="THZ118" s="418"/>
      <c r="TIA118" s="418"/>
      <c r="TIB118" s="418"/>
      <c r="TIC118" s="418"/>
      <c r="TID118" s="418"/>
      <c r="TIE118" s="418"/>
      <c r="TIF118" s="418"/>
      <c r="TIG118" s="418"/>
      <c r="TIH118" s="418"/>
      <c r="TII118" s="418"/>
      <c r="TIJ118" s="418"/>
      <c r="TIK118" s="418"/>
      <c r="TIL118" s="418"/>
      <c r="TIM118" s="418"/>
      <c r="TIN118" s="418"/>
      <c r="TIO118" s="418"/>
      <c r="TIP118" s="418"/>
      <c r="TIQ118" s="418"/>
      <c r="TIR118" s="418"/>
      <c r="TIS118" s="418"/>
      <c r="TIT118" s="418"/>
      <c r="TIU118" s="418"/>
      <c r="TIV118" s="418"/>
      <c r="TIW118" s="418"/>
      <c r="TIX118" s="418"/>
      <c r="TIY118" s="418"/>
      <c r="TIZ118" s="418"/>
      <c r="TJA118" s="418"/>
      <c r="TJB118" s="418"/>
      <c r="TJC118" s="418"/>
      <c r="TJD118" s="418"/>
      <c r="TJE118" s="418"/>
      <c r="TJF118" s="418"/>
      <c r="TJG118" s="418"/>
      <c r="TJH118" s="418"/>
      <c r="TJI118" s="418"/>
      <c r="TJJ118" s="418"/>
      <c r="TJK118" s="418"/>
      <c r="TJL118" s="418"/>
      <c r="TJM118" s="418"/>
      <c r="TJN118" s="418"/>
      <c r="TJO118" s="418"/>
      <c r="TJP118" s="418"/>
      <c r="TJQ118" s="418"/>
      <c r="TJR118" s="418"/>
      <c r="TJS118" s="418"/>
      <c r="TJT118" s="418"/>
      <c r="TJU118" s="418"/>
      <c r="TJV118" s="418"/>
      <c r="TJW118" s="418"/>
      <c r="TJX118" s="418"/>
      <c r="TJY118" s="418"/>
      <c r="TJZ118" s="418"/>
      <c r="TKA118" s="418"/>
      <c r="TKB118" s="418"/>
      <c r="TKC118" s="418"/>
      <c r="TKD118" s="418"/>
      <c r="TKE118" s="418"/>
      <c r="TKF118" s="418"/>
      <c r="TKG118" s="418"/>
      <c r="TKH118" s="418"/>
      <c r="TKI118" s="418"/>
      <c r="TKJ118" s="418"/>
      <c r="TKK118" s="418"/>
      <c r="TKL118" s="418"/>
      <c r="TKM118" s="418"/>
      <c r="TKN118" s="418"/>
      <c r="TKO118" s="418"/>
      <c r="TKP118" s="418"/>
      <c r="TKQ118" s="418"/>
      <c r="TKR118" s="418"/>
      <c r="TKS118" s="418"/>
      <c r="TKT118" s="418"/>
      <c r="TKU118" s="418"/>
      <c r="TKV118" s="418"/>
      <c r="TKW118" s="418"/>
      <c r="TKX118" s="418"/>
      <c r="TKY118" s="418"/>
      <c r="TKZ118" s="418"/>
      <c r="TLA118" s="418"/>
      <c r="TLB118" s="418"/>
      <c r="TLC118" s="418"/>
      <c r="TLD118" s="418"/>
      <c r="TLE118" s="418"/>
      <c r="TLF118" s="418"/>
      <c r="TLG118" s="418"/>
      <c r="TLH118" s="418"/>
      <c r="TLI118" s="418"/>
      <c r="TLJ118" s="418"/>
      <c r="TLK118" s="418"/>
      <c r="TLL118" s="418"/>
      <c r="TLM118" s="418"/>
      <c r="TLN118" s="418"/>
      <c r="TLO118" s="418"/>
      <c r="TLP118" s="418"/>
      <c r="TLQ118" s="418"/>
      <c r="TLR118" s="418"/>
      <c r="TLS118" s="418"/>
      <c r="TLT118" s="418"/>
      <c r="TLU118" s="418"/>
      <c r="TLV118" s="418"/>
      <c r="TLW118" s="418"/>
      <c r="TLX118" s="418"/>
      <c r="TLY118" s="418"/>
      <c r="TLZ118" s="418"/>
      <c r="TMA118" s="418"/>
      <c r="TMB118" s="418"/>
      <c r="TMC118" s="418"/>
      <c r="TMD118" s="418"/>
      <c r="TME118" s="418"/>
      <c r="TMF118" s="418"/>
      <c r="TMG118" s="418"/>
      <c r="TMH118" s="418"/>
      <c r="TMI118" s="418"/>
      <c r="TMJ118" s="418"/>
      <c r="TMK118" s="418"/>
      <c r="TML118" s="418"/>
      <c r="TMM118" s="418"/>
      <c r="TMN118" s="418"/>
      <c r="TMO118" s="418"/>
      <c r="TMP118" s="418"/>
      <c r="TMQ118" s="418"/>
      <c r="TMR118" s="418"/>
      <c r="TMS118" s="418"/>
      <c r="TMT118" s="418"/>
      <c r="TMU118" s="418"/>
      <c r="TMV118" s="418"/>
      <c r="TMW118" s="418"/>
      <c r="TMX118" s="418"/>
      <c r="TMY118" s="418"/>
      <c r="TMZ118" s="418"/>
      <c r="TNA118" s="418"/>
      <c r="TNB118" s="418"/>
      <c r="TNC118" s="418"/>
      <c r="TND118" s="418"/>
      <c r="TNE118" s="418"/>
      <c r="TNF118" s="418"/>
      <c r="TNG118" s="418"/>
      <c r="TNH118" s="418"/>
      <c r="TNI118" s="418"/>
      <c r="TNJ118" s="418"/>
      <c r="TNK118" s="418"/>
      <c r="TNL118" s="418"/>
      <c r="TNM118" s="418"/>
      <c r="TNN118" s="418"/>
      <c r="TNO118" s="418"/>
      <c r="TNP118" s="418"/>
      <c r="TNQ118" s="418"/>
      <c r="TNR118" s="418"/>
      <c r="TNS118" s="418"/>
      <c r="TNT118" s="418"/>
      <c r="TNU118" s="418"/>
      <c r="TNV118" s="418"/>
      <c r="TNW118" s="418"/>
      <c r="TNX118" s="418"/>
      <c r="TNY118" s="418"/>
      <c r="TNZ118" s="418"/>
      <c r="TOA118" s="418"/>
      <c r="TOB118" s="418"/>
      <c r="TOC118" s="418"/>
      <c r="TOD118" s="418"/>
      <c r="TOE118" s="418"/>
      <c r="TOF118" s="418"/>
      <c r="TOG118" s="418"/>
      <c r="TOH118" s="418"/>
      <c r="TOI118" s="418"/>
      <c r="TOJ118" s="418"/>
      <c r="TOK118" s="418"/>
      <c r="TOL118" s="418"/>
      <c r="TOM118" s="418"/>
      <c r="TON118" s="418"/>
      <c r="TOO118" s="418"/>
      <c r="TOP118" s="418"/>
      <c r="TOQ118" s="418"/>
      <c r="TOR118" s="418"/>
      <c r="TOS118" s="418"/>
      <c r="TOT118" s="418"/>
      <c r="TOU118" s="418"/>
      <c r="TOV118" s="418"/>
      <c r="TOW118" s="418"/>
      <c r="TOX118" s="418"/>
      <c r="TOY118" s="418"/>
      <c r="TOZ118" s="418"/>
      <c r="TPA118" s="418"/>
      <c r="TPB118" s="418"/>
      <c r="TPC118" s="418"/>
      <c r="TPD118" s="418"/>
      <c r="TPE118" s="418"/>
      <c r="TPF118" s="418"/>
      <c r="TPG118" s="418"/>
      <c r="TPH118" s="418"/>
      <c r="TPI118" s="418"/>
      <c r="TPJ118" s="418"/>
      <c r="TPK118" s="418"/>
      <c r="TPL118" s="418"/>
      <c r="TPM118" s="418"/>
      <c r="TPN118" s="418"/>
      <c r="TPO118" s="418"/>
      <c r="TPP118" s="418"/>
      <c r="TPQ118" s="418"/>
      <c r="TPR118" s="418"/>
      <c r="TPS118" s="418"/>
      <c r="TPT118" s="418"/>
      <c r="TPU118" s="418"/>
      <c r="TPV118" s="418"/>
      <c r="TPW118" s="418"/>
      <c r="TPX118" s="418"/>
      <c r="TPY118" s="418"/>
      <c r="TPZ118" s="418"/>
      <c r="TQA118" s="418"/>
      <c r="TQB118" s="418"/>
      <c r="TQC118" s="418"/>
      <c r="TQD118" s="418"/>
      <c r="TQE118" s="418"/>
      <c r="TQF118" s="418"/>
      <c r="TQG118" s="418"/>
      <c r="TQH118" s="418"/>
      <c r="TQI118" s="418"/>
      <c r="TQJ118" s="418"/>
      <c r="TQK118" s="418"/>
      <c r="TQL118" s="418"/>
      <c r="TQM118" s="418"/>
      <c r="TQN118" s="418"/>
      <c r="TQO118" s="418"/>
      <c r="TQP118" s="418"/>
      <c r="TQQ118" s="418"/>
      <c r="TQR118" s="418"/>
      <c r="TQS118" s="418"/>
      <c r="TQT118" s="418"/>
      <c r="TQU118" s="418"/>
      <c r="TQV118" s="418"/>
      <c r="TQW118" s="418"/>
      <c r="TQX118" s="418"/>
      <c r="TQY118" s="418"/>
      <c r="TQZ118" s="418"/>
      <c r="TRA118" s="418"/>
      <c r="TRB118" s="418"/>
      <c r="TRC118" s="418"/>
      <c r="TRD118" s="418"/>
      <c r="TRE118" s="418"/>
      <c r="TRF118" s="418"/>
      <c r="TRG118" s="418"/>
      <c r="TRH118" s="418"/>
      <c r="TRI118" s="418"/>
      <c r="TRJ118" s="418"/>
      <c r="TRK118" s="418"/>
      <c r="TRL118" s="418"/>
      <c r="TRM118" s="418"/>
      <c r="TRN118" s="418"/>
      <c r="TRO118" s="418"/>
      <c r="TRP118" s="418"/>
      <c r="TRQ118" s="418"/>
      <c r="TRR118" s="418"/>
      <c r="TRS118" s="418"/>
      <c r="TRT118" s="418"/>
      <c r="TRU118" s="418"/>
      <c r="TRV118" s="418"/>
      <c r="TRW118" s="418"/>
      <c r="TRX118" s="418"/>
      <c r="TRY118" s="418"/>
      <c r="TRZ118" s="418"/>
      <c r="TSA118" s="418"/>
      <c r="TSB118" s="418"/>
      <c r="TSC118" s="418"/>
      <c r="TSD118" s="418"/>
      <c r="TSE118" s="418"/>
      <c r="TSF118" s="418"/>
      <c r="TSG118" s="418"/>
      <c r="TSH118" s="418"/>
      <c r="TSI118" s="418"/>
      <c r="TSJ118" s="418"/>
      <c r="TSK118" s="418"/>
      <c r="TSL118" s="418"/>
      <c r="TSM118" s="418"/>
      <c r="TSN118" s="418"/>
      <c r="TSO118" s="418"/>
      <c r="TSP118" s="418"/>
      <c r="TSQ118" s="418"/>
      <c r="TSR118" s="418"/>
      <c r="TSS118" s="418"/>
      <c r="TST118" s="418"/>
      <c r="TSU118" s="418"/>
      <c r="TSV118" s="418"/>
      <c r="TSW118" s="418"/>
      <c r="TSX118" s="418"/>
      <c r="TSY118" s="418"/>
      <c r="TSZ118" s="418"/>
      <c r="TTA118" s="418"/>
      <c r="TTB118" s="418"/>
      <c r="TTC118" s="418"/>
      <c r="TTD118" s="418"/>
      <c r="TTE118" s="418"/>
      <c r="TTF118" s="418"/>
      <c r="TTG118" s="418"/>
      <c r="TTH118" s="418"/>
      <c r="TTI118" s="418"/>
      <c r="TTJ118" s="418"/>
      <c r="TTK118" s="418"/>
      <c r="TTL118" s="418"/>
      <c r="TTM118" s="418"/>
      <c r="TTN118" s="418"/>
      <c r="TTO118" s="418"/>
      <c r="TTP118" s="418"/>
      <c r="TTQ118" s="418"/>
      <c r="TTR118" s="418"/>
      <c r="TTS118" s="418"/>
      <c r="TTT118" s="418"/>
      <c r="TTU118" s="418"/>
      <c r="TTV118" s="418"/>
      <c r="TTW118" s="418"/>
      <c r="TTX118" s="418"/>
      <c r="TTY118" s="418"/>
      <c r="TTZ118" s="418"/>
      <c r="TUA118" s="418"/>
      <c r="TUB118" s="418"/>
      <c r="TUC118" s="418"/>
      <c r="TUD118" s="418"/>
      <c r="TUE118" s="418"/>
      <c r="TUF118" s="418"/>
      <c r="TUG118" s="418"/>
      <c r="TUH118" s="418"/>
      <c r="TUI118" s="418"/>
      <c r="TUJ118" s="418"/>
      <c r="TUK118" s="418"/>
      <c r="TUL118" s="418"/>
      <c r="TUM118" s="418"/>
      <c r="TUN118" s="418"/>
      <c r="TUO118" s="418"/>
      <c r="TUP118" s="418"/>
      <c r="TUQ118" s="418"/>
      <c r="TUR118" s="418"/>
      <c r="TUS118" s="418"/>
      <c r="TUT118" s="418"/>
      <c r="TUU118" s="418"/>
      <c r="TUV118" s="418"/>
      <c r="TUW118" s="418"/>
      <c r="TUX118" s="418"/>
      <c r="TUY118" s="418"/>
      <c r="TUZ118" s="418"/>
      <c r="TVA118" s="418"/>
      <c r="TVB118" s="418"/>
      <c r="TVC118" s="418"/>
      <c r="TVD118" s="418"/>
      <c r="TVE118" s="418"/>
      <c r="TVF118" s="418"/>
      <c r="TVG118" s="418"/>
      <c r="TVH118" s="418"/>
      <c r="TVI118" s="418"/>
      <c r="TVJ118" s="418"/>
      <c r="TVK118" s="418"/>
      <c r="TVL118" s="418"/>
      <c r="TVM118" s="418"/>
      <c r="TVN118" s="418"/>
      <c r="TVO118" s="418"/>
      <c r="TVP118" s="418"/>
      <c r="TVQ118" s="418"/>
      <c r="TVR118" s="418"/>
      <c r="TVS118" s="418"/>
      <c r="TVT118" s="418"/>
      <c r="TVU118" s="418"/>
      <c r="TVV118" s="418"/>
      <c r="TVW118" s="418"/>
      <c r="TVX118" s="418"/>
      <c r="TVY118" s="418"/>
      <c r="TVZ118" s="418"/>
      <c r="TWA118" s="418"/>
      <c r="TWB118" s="418"/>
      <c r="TWC118" s="418"/>
      <c r="TWD118" s="418"/>
      <c r="TWE118" s="418"/>
      <c r="TWF118" s="418"/>
      <c r="TWG118" s="418"/>
      <c r="TWH118" s="418"/>
      <c r="TWI118" s="418"/>
      <c r="TWJ118" s="418"/>
      <c r="TWK118" s="418"/>
      <c r="TWL118" s="418"/>
      <c r="TWM118" s="418"/>
      <c r="TWN118" s="418"/>
      <c r="TWO118" s="418"/>
      <c r="TWP118" s="418"/>
      <c r="TWQ118" s="418"/>
      <c r="TWR118" s="418"/>
      <c r="TWS118" s="418"/>
      <c r="TWT118" s="418"/>
      <c r="TWU118" s="418"/>
      <c r="TWV118" s="418"/>
      <c r="TWW118" s="418"/>
      <c r="TWX118" s="418"/>
      <c r="TWY118" s="418"/>
      <c r="TWZ118" s="418"/>
      <c r="TXA118" s="418"/>
      <c r="TXB118" s="418"/>
      <c r="TXC118" s="418"/>
      <c r="TXD118" s="418"/>
      <c r="TXE118" s="418"/>
      <c r="TXF118" s="418"/>
      <c r="TXG118" s="418"/>
      <c r="TXH118" s="418"/>
      <c r="TXI118" s="418"/>
      <c r="TXJ118" s="418"/>
      <c r="TXK118" s="418"/>
      <c r="TXL118" s="418"/>
      <c r="TXM118" s="418"/>
      <c r="TXN118" s="418"/>
      <c r="TXO118" s="418"/>
      <c r="TXP118" s="418"/>
      <c r="TXQ118" s="418"/>
      <c r="TXR118" s="418"/>
      <c r="TXS118" s="418"/>
      <c r="TXT118" s="418"/>
      <c r="TXU118" s="418"/>
      <c r="TXV118" s="418"/>
      <c r="TXW118" s="418"/>
      <c r="TXX118" s="418"/>
      <c r="TXY118" s="418"/>
      <c r="TXZ118" s="418"/>
      <c r="TYA118" s="418"/>
      <c r="TYB118" s="418"/>
      <c r="TYC118" s="418"/>
      <c r="TYD118" s="418"/>
      <c r="TYE118" s="418"/>
      <c r="TYF118" s="418"/>
      <c r="TYG118" s="418"/>
      <c r="TYH118" s="418"/>
      <c r="TYI118" s="418"/>
      <c r="TYJ118" s="418"/>
      <c r="TYK118" s="418"/>
      <c r="TYL118" s="418"/>
      <c r="TYM118" s="418"/>
      <c r="TYN118" s="418"/>
      <c r="TYO118" s="418"/>
      <c r="TYP118" s="418"/>
      <c r="TYQ118" s="418"/>
      <c r="TYR118" s="418"/>
      <c r="TYS118" s="418"/>
      <c r="TYT118" s="418"/>
      <c r="TYU118" s="418"/>
      <c r="TYV118" s="418"/>
      <c r="TYW118" s="418"/>
      <c r="TYX118" s="418"/>
      <c r="TYY118" s="418"/>
      <c r="TYZ118" s="418"/>
      <c r="TZA118" s="418"/>
      <c r="TZB118" s="418"/>
      <c r="TZC118" s="418"/>
      <c r="TZD118" s="418"/>
      <c r="TZE118" s="418"/>
      <c r="TZF118" s="418"/>
      <c r="TZG118" s="418"/>
      <c r="TZH118" s="418"/>
      <c r="TZI118" s="418"/>
      <c r="TZJ118" s="418"/>
      <c r="TZK118" s="418"/>
      <c r="TZL118" s="418"/>
      <c r="TZM118" s="418"/>
      <c r="TZN118" s="418"/>
      <c r="TZO118" s="418"/>
      <c r="TZP118" s="418"/>
      <c r="TZQ118" s="418"/>
      <c r="TZR118" s="418"/>
      <c r="TZS118" s="418"/>
      <c r="TZT118" s="418"/>
      <c r="TZU118" s="418"/>
      <c r="TZV118" s="418"/>
      <c r="TZW118" s="418"/>
      <c r="TZX118" s="418"/>
      <c r="TZY118" s="418"/>
      <c r="TZZ118" s="418"/>
      <c r="UAA118" s="418"/>
      <c r="UAB118" s="418"/>
      <c r="UAC118" s="418"/>
      <c r="UAD118" s="418"/>
      <c r="UAE118" s="418"/>
      <c r="UAF118" s="418"/>
      <c r="UAG118" s="418"/>
      <c r="UAH118" s="418"/>
      <c r="UAI118" s="418"/>
      <c r="UAJ118" s="418"/>
      <c r="UAK118" s="418"/>
      <c r="UAL118" s="418"/>
      <c r="UAM118" s="418"/>
      <c r="UAN118" s="418"/>
      <c r="UAO118" s="418"/>
      <c r="UAP118" s="418"/>
      <c r="UAQ118" s="418"/>
      <c r="UAR118" s="418"/>
      <c r="UAS118" s="418"/>
      <c r="UAT118" s="418"/>
      <c r="UAU118" s="418"/>
      <c r="UAV118" s="418"/>
      <c r="UAW118" s="418"/>
      <c r="UAX118" s="418"/>
      <c r="UAY118" s="418"/>
      <c r="UAZ118" s="418"/>
      <c r="UBA118" s="418"/>
      <c r="UBB118" s="418"/>
      <c r="UBC118" s="418"/>
      <c r="UBD118" s="418"/>
      <c r="UBE118" s="418"/>
      <c r="UBF118" s="418"/>
      <c r="UBG118" s="418"/>
      <c r="UBH118" s="418"/>
      <c r="UBI118" s="418"/>
      <c r="UBJ118" s="418"/>
      <c r="UBK118" s="418"/>
      <c r="UBL118" s="418"/>
      <c r="UBM118" s="418"/>
      <c r="UBN118" s="418"/>
      <c r="UBO118" s="418"/>
      <c r="UBP118" s="418"/>
      <c r="UBQ118" s="418"/>
      <c r="UBR118" s="418"/>
      <c r="UBS118" s="418"/>
      <c r="UBT118" s="418"/>
      <c r="UBU118" s="418"/>
      <c r="UBV118" s="418"/>
      <c r="UBW118" s="418"/>
      <c r="UBX118" s="418"/>
      <c r="UBY118" s="418"/>
      <c r="UBZ118" s="418"/>
      <c r="UCA118" s="418"/>
      <c r="UCB118" s="418"/>
      <c r="UCC118" s="418"/>
      <c r="UCD118" s="418"/>
      <c r="UCE118" s="418"/>
      <c r="UCF118" s="418"/>
      <c r="UCG118" s="418"/>
      <c r="UCH118" s="418"/>
      <c r="UCI118" s="418"/>
      <c r="UCJ118" s="418"/>
      <c r="UCK118" s="418"/>
      <c r="UCL118" s="418"/>
      <c r="UCM118" s="418"/>
      <c r="UCN118" s="418"/>
      <c r="UCO118" s="418"/>
      <c r="UCP118" s="418"/>
      <c r="UCQ118" s="418"/>
      <c r="UCR118" s="418"/>
      <c r="UCS118" s="418"/>
      <c r="UCT118" s="418"/>
      <c r="UCU118" s="418"/>
      <c r="UCV118" s="418"/>
      <c r="UCW118" s="418"/>
      <c r="UCX118" s="418"/>
      <c r="UCY118" s="418"/>
      <c r="UCZ118" s="418"/>
      <c r="UDA118" s="418"/>
      <c r="UDB118" s="418"/>
      <c r="UDC118" s="418"/>
      <c r="UDD118" s="418"/>
      <c r="UDE118" s="418"/>
      <c r="UDF118" s="418"/>
      <c r="UDG118" s="418"/>
      <c r="UDH118" s="418"/>
      <c r="UDI118" s="418"/>
      <c r="UDJ118" s="418"/>
      <c r="UDK118" s="418"/>
      <c r="UDL118" s="418"/>
      <c r="UDM118" s="418"/>
      <c r="UDN118" s="418"/>
      <c r="UDO118" s="418"/>
      <c r="UDP118" s="418"/>
      <c r="UDQ118" s="418"/>
      <c r="UDR118" s="418"/>
      <c r="UDS118" s="418"/>
      <c r="UDT118" s="418"/>
      <c r="UDU118" s="418"/>
      <c r="UDV118" s="418"/>
      <c r="UDW118" s="418"/>
      <c r="UDX118" s="418"/>
      <c r="UDY118" s="418"/>
      <c r="UDZ118" s="418"/>
      <c r="UEA118" s="418"/>
      <c r="UEB118" s="418"/>
      <c r="UEC118" s="418"/>
      <c r="UED118" s="418"/>
      <c r="UEE118" s="418"/>
      <c r="UEF118" s="418"/>
      <c r="UEG118" s="418"/>
      <c r="UEH118" s="418"/>
      <c r="UEI118" s="418"/>
      <c r="UEJ118" s="418"/>
      <c r="UEK118" s="418"/>
      <c r="UEL118" s="418"/>
      <c r="UEM118" s="418"/>
      <c r="UEN118" s="418"/>
      <c r="UEO118" s="418"/>
      <c r="UEP118" s="418"/>
      <c r="UEQ118" s="418"/>
      <c r="UER118" s="418"/>
      <c r="UES118" s="418"/>
      <c r="UET118" s="418"/>
      <c r="UEU118" s="418"/>
      <c r="UEV118" s="418"/>
      <c r="UEW118" s="418"/>
      <c r="UEX118" s="418"/>
      <c r="UEY118" s="418"/>
      <c r="UEZ118" s="418"/>
      <c r="UFA118" s="418"/>
      <c r="UFB118" s="418"/>
      <c r="UFC118" s="418"/>
      <c r="UFD118" s="418"/>
      <c r="UFE118" s="418"/>
      <c r="UFF118" s="418"/>
      <c r="UFG118" s="418"/>
      <c r="UFH118" s="418"/>
      <c r="UFI118" s="418"/>
      <c r="UFJ118" s="418"/>
      <c r="UFK118" s="418"/>
      <c r="UFL118" s="418"/>
      <c r="UFM118" s="418"/>
      <c r="UFN118" s="418"/>
      <c r="UFO118" s="418"/>
      <c r="UFP118" s="418"/>
      <c r="UFQ118" s="418"/>
      <c r="UFR118" s="418"/>
      <c r="UFS118" s="418"/>
      <c r="UFT118" s="418"/>
      <c r="UFU118" s="418"/>
      <c r="UFV118" s="418"/>
      <c r="UFW118" s="418"/>
      <c r="UFX118" s="418"/>
      <c r="UFY118" s="418"/>
      <c r="UFZ118" s="418"/>
      <c r="UGA118" s="418"/>
      <c r="UGB118" s="418"/>
      <c r="UGC118" s="418"/>
      <c r="UGD118" s="418"/>
      <c r="UGE118" s="418"/>
      <c r="UGF118" s="418"/>
      <c r="UGG118" s="418"/>
      <c r="UGH118" s="418"/>
      <c r="UGI118" s="418"/>
      <c r="UGJ118" s="418"/>
      <c r="UGK118" s="418"/>
      <c r="UGL118" s="418"/>
      <c r="UGM118" s="418"/>
      <c r="UGN118" s="418"/>
      <c r="UGO118" s="418"/>
      <c r="UGP118" s="418"/>
      <c r="UGQ118" s="418"/>
      <c r="UGR118" s="418"/>
      <c r="UGS118" s="418"/>
      <c r="UGT118" s="418"/>
      <c r="UGU118" s="418"/>
      <c r="UGV118" s="418"/>
      <c r="UGW118" s="418"/>
      <c r="UGX118" s="418"/>
      <c r="UGY118" s="418"/>
      <c r="UGZ118" s="418"/>
      <c r="UHA118" s="418"/>
      <c r="UHB118" s="418"/>
      <c r="UHC118" s="418"/>
      <c r="UHD118" s="418"/>
      <c r="UHE118" s="418"/>
      <c r="UHF118" s="418"/>
      <c r="UHG118" s="418"/>
      <c r="UHH118" s="418"/>
      <c r="UHI118" s="418"/>
      <c r="UHJ118" s="418"/>
      <c r="UHK118" s="418"/>
      <c r="UHL118" s="418"/>
      <c r="UHM118" s="418"/>
      <c r="UHN118" s="418"/>
      <c r="UHO118" s="418"/>
      <c r="UHP118" s="418"/>
      <c r="UHQ118" s="418"/>
      <c r="UHR118" s="418"/>
      <c r="UHS118" s="418"/>
      <c r="UHT118" s="418"/>
      <c r="UHU118" s="418"/>
      <c r="UHV118" s="418"/>
      <c r="UHW118" s="418"/>
      <c r="UHX118" s="418"/>
      <c r="UHY118" s="418"/>
      <c r="UHZ118" s="418"/>
      <c r="UIA118" s="418"/>
      <c r="UIB118" s="418"/>
      <c r="UIC118" s="418"/>
      <c r="UID118" s="418"/>
      <c r="UIE118" s="418"/>
      <c r="UIF118" s="418"/>
      <c r="UIG118" s="418"/>
      <c r="UIH118" s="418"/>
      <c r="UII118" s="418"/>
      <c r="UIJ118" s="418"/>
      <c r="UIK118" s="418"/>
      <c r="UIL118" s="418"/>
      <c r="UIM118" s="418"/>
      <c r="UIN118" s="418"/>
      <c r="UIO118" s="418"/>
      <c r="UIP118" s="418"/>
      <c r="UIQ118" s="418"/>
      <c r="UIR118" s="418"/>
      <c r="UIS118" s="418"/>
      <c r="UIT118" s="418"/>
      <c r="UIU118" s="418"/>
      <c r="UIV118" s="418"/>
      <c r="UIW118" s="418"/>
      <c r="UIX118" s="418"/>
      <c r="UIY118" s="418"/>
      <c r="UIZ118" s="418"/>
      <c r="UJA118" s="418"/>
      <c r="UJB118" s="418"/>
      <c r="UJC118" s="418"/>
      <c r="UJD118" s="418"/>
      <c r="UJE118" s="418"/>
      <c r="UJF118" s="418"/>
      <c r="UJG118" s="418"/>
      <c r="UJH118" s="418"/>
      <c r="UJI118" s="418"/>
      <c r="UJJ118" s="418"/>
      <c r="UJK118" s="418"/>
      <c r="UJL118" s="418"/>
      <c r="UJM118" s="418"/>
      <c r="UJN118" s="418"/>
      <c r="UJO118" s="418"/>
      <c r="UJP118" s="418"/>
      <c r="UJQ118" s="418"/>
      <c r="UJR118" s="418"/>
      <c r="UJS118" s="418"/>
      <c r="UJT118" s="418"/>
      <c r="UJU118" s="418"/>
      <c r="UJV118" s="418"/>
      <c r="UJW118" s="418"/>
      <c r="UJX118" s="418"/>
      <c r="UJY118" s="418"/>
      <c r="UJZ118" s="418"/>
      <c r="UKA118" s="418"/>
      <c r="UKB118" s="418"/>
      <c r="UKC118" s="418"/>
      <c r="UKD118" s="418"/>
      <c r="UKE118" s="418"/>
      <c r="UKF118" s="418"/>
      <c r="UKG118" s="418"/>
      <c r="UKH118" s="418"/>
      <c r="UKI118" s="418"/>
      <c r="UKJ118" s="418"/>
      <c r="UKK118" s="418"/>
      <c r="UKL118" s="418"/>
      <c r="UKM118" s="418"/>
      <c r="UKN118" s="418"/>
      <c r="UKO118" s="418"/>
      <c r="UKP118" s="418"/>
      <c r="UKQ118" s="418"/>
      <c r="UKR118" s="418"/>
      <c r="UKS118" s="418"/>
      <c r="UKT118" s="418"/>
      <c r="UKU118" s="418"/>
      <c r="UKV118" s="418"/>
      <c r="UKW118" s="418"/>
      <c r="UKX118" s="418"/>
      <c r="UKY118" s="418"/>
      <c r="UKZ118" s="418"/>
      <c r="ULA118" s="418"/>
      <c r="ULB118" s="418"/>
      <c r="ULC118" s="418"/>
      <c r="ULD118" s="418"/>
      <c r="ULE118" s="418"/>
      <c r="ULF118" s="418"/>
      <c r="ULG118" s="418"/>
      <c r="ULH118" s="418"/>
      <c r="ULI118" s="418"/>
      <c r="ULJ118" s="418"/>
      <c r="ULK118" s="418"/>
      <c r="ULL118" s="418"/>
      <c r="ULM118" s="418"/>
      <c r="ULN118" s="418"/>
      <c r="ULO118" s="418"/>
      <c r="ULP118" s="418"/>
      <c r="ULQ118" s="418"/>
      <c r="ULR118" s="418"/>
      <c r="ULS118" s="418"/>
      <c r="ULT118" s="418"/>
      <c r="ULU118" s="418"/>
      <c r="ULV118" s="418"/>
      <c r="ULW118" s="418"/>
      <c r="ULX118" s="418"/>
      <c r="ULY118" s="418"/>
      <c r="ULZ118" s="418"/>
      <c r="UMA118" s="418"/>
      <c r="UMB118" s="418"/>
      <c r="UMC118" s="418"/>
      <c r="UMD118" s="418"/>
      <c r="UME118" s="418"/>
      <c r="UMF118" s="418"/>
      <c r="UMG118" s="418"/>
      <c r="UMH118" s="418"/>
      <c r="UMI118" s="418"/>
      <c r="UMJ118" s="418"/>
      <c r="UMK118" s="418"/>
      <c r="UML118" s="418"/>
      <c r="UMM118" s="418"/>
      <c r="UMN118" s="418"/>
      <c r="UMO118" s="418"/>
      <c r="UMP118" s="418"/>
      <c r="UMQ118" s="418"/>
      <c r="UMR118" s="418"/>
      <c r="UMS118" s="418"/>
      <c r="UMT118" s="418"/>
      <c r="UMU118" s="418"/>
      <c r="UMV118" s="418"/>
      <c r="UMW118" s="418"/>
      <c r="UMX118" s="418"/>
      <c r="UMY118" s="418"/>
      <c r="UMZ118" s="418"/>
      <c r="UNA118" s="418"/>
      <c r="UNB118" s="418"/>
      <c r="UNC118" s="418"/>
      <c r="UND118" s="418"/>
      <c r="UNE118" s="418"/>
      <c r="UNF118" s="418"/>
      <c r="UNG118" s="418"/>
      <c r="UNH118" s="418"/>
      <c r="UNI118" s="418"/>
      <c r="UNJ118" s="418"/>
      <c r="UNK118" s="418"/>
      <c r="UNL118" s="418"/>
      <c r="UNM118" s="418"/>
      <c r="UNN118" s="418"/>
      <c r="UNO118" s="418"/>
      <c r="UNP118" s="418"/>
      <c r="UNQ118" s="418"/>
      <c r="UNR118" s="418"/>
      <c r="UNS118" s="418"/>
      <c r="UNT118" s="418"/>
      <c r="UNU118" s="418"/>
      <c r="UNV118" s="418"/>
      <c r="UNW118" s="418"/>
      <c r="UNX118" s="418"/>
      <c r="UNY118" s="418"/>
      <c r="UNZ118" s="418"/>
      <c r="UOA118" s="418"/>
      <c r="UOB118" s="418"/>
      <c r="UOC118" s="418"/>
      <c r="UOD118" s="418"/>
      <c r="UOE118" s="418"/>
      <c r="UOF118" s="418"/>
      <c r="UOG118" s="418"/>
      <c r="UOH118" s="418"/>
      <c r="UOI118" s="418"/>
      <c r="UOJ118" s="418"/>
      <c r="UOK118" s="418"/>
      <c r="UOL118" s="418"/>
      <c r="UOM118" s="418"/>
      <c r="UON118" s="418"/>
      <c r="UOO118" s="418"/>
      <c r="UOP118" s="418"/>
      <c r="UOQ118" s="418"/>
      <c r="UOR118" s="418"/>
      <c r="UOS118" s="418"/>
      <c r="UOT118" s="418"/>
      <c r="UOU118" s="418"/>
      <c r="UOV118" s="418"/>
      <c r="UOW118" s="418"/>
      <c r="UOX118" s="418"/>
      <c r="UOY118" s="418"/>
      <c r="UOZ118" s="418"/>
      <c r="UPA118" s="418"/>
      <c r="UPB118" s="418"/>
      <c r="UPC118" s="418"/>
      <c r="UPD118" s="418"/>
      <c r="UPE118" s="418"/>
      <c r="UPF118" s="418"/>
      <c r="UPG118" s="418"/>
      <c r="UPH118" s="418"/>
      <c r="UPI118" s="418"/>
      <c r="UPJ118" s="418"/>
      <c r="UPK118" s="418"/>
      <c r="UPL118" s="418"/>
      <c r="UPM118" s="418"/>
      <c r="UPN118" s="418"/>
      <c r="UPO118" s="418"/>
      <c r="UPP118" s="418"/>
      <c r="UPQ118" s="418"/>
      <c r="UPR118" s="418"/>
      <c r="UPS118" s="418"/>
      <c r="UPT118" s="418"/>
      <c r="UPU118" s="418"/>
      <c r="UPV118" s="418"/>
      <c r="UPW118" s="418"/>
      <c r="UPX118" s="418"/>
      <c r="UPY118" s="418"/>
      <c r="UPZ118" s="418"/>
      <c r="UQA118" s="418"/>
      <c r="UQB118" s="418"/>
      <c r="UQC118" s="418"/>
      <c r="UQD118" s="418"/>
      <c r="UQE118" s="418"/>
      <c r="UQF118" s="418"/>
      <c r="UQG118" s="418"/>
      <c r="UQH118" s="418"/>
      <c r="UQI118" s="418"/>
      <c r="UQJ118" s="418"/>
      <c r="UQK118" s="418"/>
      <c r="UQL118" s="418"/>
      <c r="UQM118" s="418"/>
      <c r="UQN118" s="418"/>
      <c r="UQO118" s="418"/>
      <c r="UQP118" s="418"/>
      <c r="UQQ118" s="418"/>
      <c r="UQR118" s="418"/>
      <c r="UQS118" s="418"/>
      <c r="UQT118" s="418"/>
      <c r="UQU118" s="418"/>
      <c r="UQV118" s="418"/>
      <c r="UQW118" s="418"/>
      <c r="UQX118" s="418"/>
      <c r="UQY118" s="418"/>
      <c r="UQZ118" s="418"/>
      <c r="URA118" s="418"/>
      <c r="URB118" s="418"/>
      <c r="URC118" s="418"/>
      <c r="URD118" s="418"/>
      <c r="URE118" s="418"/>
      <c r="URF118" s="418"/>
      <c r="URG118" s="418"/>
      <c r="URH118" s="418"/>
      <c r="URI118" s="418"/>
      <c r="URJ118" s="418"/>
      <c r="URK118" s="418"/>
      <c r="URL118" s="418"/>
      <c r="URM118" s="418"/>
      <c r="URN118" s="418"/>
      <c r="URO118" s="418"/>
      <c r="URP118" s="418"/>
      <c r="URQ118" s="418"/>
      <c r="URR118" s="418"/>
      <c r="URS118" s="418"/>
      <c r="URT118" s="418"/>
      <c r="URU118" s="418"/>
      <c r="URV118" s="418"/>
      <c r="URW118" s="418"/>
      <c r="URX118" s="418"/>
      <c r="URY118" s="418"/>
      <c r="URZ118" s="418"/>
      <c r="USA118" s="418"/>
      <c r="USB118" s="418"/>
      <c r="USC118" s="418"/>
      <c r="USD118" s="418"/>
      <c r="USE118" s="418"/>
      <c r="USF118" s="418"/>
      <c r="USG118" s="418"/>
      <c r="USH118" s="418"/>
      <c r="USI118" s="418"/>
      <c r="USJ118" s="418"/>
      <c r="USK118" s="418"/>
      <c r="USL118" s="418"/>
      <c r="USM118" s="418"/>
      <c r="USN118" s="418"/>
      <c r="USO118" s="418"/>
      <c r="USP118" s="418"/>
      <c r="USQ118" s="418"/>
      <c r="USR118" s="418"/>
      <c r="USS118" s="418"/>
      <c r="UST118" s="418"/>
      <c r="USU118" s="418"/>
      <c r="USV118" s="418"/>
      <c r="USW118" s="418"/>
      <c r="USX118" s="418"/>
      <c r="USY118" s="418"/>
      <c r="USZ118" s="418"/>
      <c r="UTA118" s="418"/>
      <c r="UTB118" s="418"/>
      <c r="UTC118" s="418"/>
      <c r="UTD118" s="418"/>
      <c r="UTE118" s="418"/>
      <c r="UTF118" s="418"/>
      <c r="UTG118" s="418"/>
      <c r="UTH118" s="418"/>
      <c r="UTI118" s="418"/>
      <c r="UTJ118" s="418"/>
      <c r="UTK118" s="418"/>
      <c r="UTL118" s="418"/>
      <c r="UTM118" s="418"/>
      <c r="UTN118" s="418"/>
      <c r="UTO118" s="418"/>
      <c r="UTP118" s="418"/>
      <c r="UTQ118" s="418"/>
      <c r="UTR118" s="418"/>
      <c r="UTS118" s="418"/>
      <c r="UTT118" s="418"/>
      <c r="UTU118" s="418"/>
      <c r="UTV118" s="418"/>
      <c r="UTW118" s="418"/>
      <c r="UTX118" s="418"/>
      <c r="UTY118" s="418"/>
      <c r="UTZ118" s="418"/>
      <c r="UUA118" s="418"/>
      <c r="UUB118" s="418"/>
      <c r="UUC118" s="418"/>
      <c r="UUD118" s="418"/>
      <c r="UUE118" s="418"/>
      <c r="UUF118" s="418"/>
      <c r="UUG118" s="418"/>
      <c r="UUH118" s="418"/>
      <c r="UUI118" s="418"/>
      <c r="UUJ118" s="418"/>
      <c r="UUK118" s="418"/>
      <c r="UUL118" s="418"/>
      <c r="UUM118" s="418"/>
      <c r="UUN118" s="418"/>
      <c r="UUO118" s="418"/>
      <c r="UUP118" s="418"/>
      <c r="UUQ118" s="418"/>
      <c r="UUR118" s="418"/>
      <c r="UUS118" s="418"/>
      <c r="UUT118" s="418"/>
      <c r="UUU118" s="418"/>
      <c r="UUV118" s="418"/>
      <c r="UUW118" s="418"/>
      <c r="UUX118" s="418"/>
      <c r="UUY118" s="418"/>
      <c r="UUZ118" s="418"/>
      <c r="UVA118" s="418"/>
      <c r="UVB118" s="418"/>
      <c r="UVC118" s="418"/>
      <c r="UVD118" s="418"/>
      <c r="UVE118" s="418"/>
      <c r="UVF118" s="418"/>
      <c r="UVG118" s="418"/>
      <c r="UVH118" s="418"/>
      <c r="UVI118" s="418"/>
      <c r="UVJ118" s="418"/>
      <c r="UVK118" s="418"/>
      <c r="UVL118" s="418"/>
      <c r="UVM118" s="418"/>
      <c r="UVN118" s="418"/>
      <c r="UVO118" s="418"/>
      <c r="UVP118" s="418"/>
      <c r="UVQ118" s="418"/>
      <c r="UVR118" s="418"/>
      <c r="UVS118" s="418"/>
      <c r="UVT118" s="418"/>
      <c r="UVU118" s="418"/>
      <c r="UVV118" s="418"/>
      <c r="UVW118" s="418"/>
      <c r="UVX118" s="418"/>
      <c r="UVY118" s="418"/>
      <c r="UVZ118" s="418"/>
      <c r="UWA118" s="418"/>
      <c r="UWB118" s="418"/>
      <c r="UWC118" s="418"/>
      <c r="UWD118" s="418"/>
      <c r="UWE118" s="418"/>
      <c r="UWF118" s="418"/>
      <c r="UWG118" s="418"/>
      <c r="UWH118" s="418"/>
      <c r="UWI118" s="418"/>
      <c r="UWJ118" s="418"/>
      <c r="UWK118" s="418"/>
      <c r="UWL118" s="418"/>
      <c r="UWM118" s="418"/>
      <c r="UWN118" s="418"/>
      <c r="UWO118" s="418"/>
      <c r="UWP118" s="418"/>
      <c r="UWQ118" s="418"/>
      <c r="UWR118" s="418"/>
      <c r="UWS118" s="418"/>
      <c r="UWT118" s="418"/>
      <c r="UWU118" s="418"/>
      <c r="UWV118" s="418"/>
      <c r="UWW118" s="418"/>
      <c r="UWX118" s="418"/>
      <c r="UWY118" s="418"/>
      <c r="UWZ118" s="418"/>
      <c r="UXA118" s="418"/>
      <c r="UXB118" s="418"/>
      <c r="UXC118" s="418"/>
      <c r="UXD118" s="418"/>
      <c r="UXE118" s="418"/>
      <c r="UXF118" s="418"/>
      <c r="UXG118" s="418"/>
      <c r="UXH118" s="418"/>
      <c r="UXI118" s="418"/>
      <c r="UXJ118" s="418"/>
      <c r="UXK118" s="418"/>
      <c r="UXL118" s="418"/>
      <c r="UXM118" s="418"/>
      <c r="UXN118" s="418"/>
      <c r="UXO118" s="418"/>
      <c r="UXP118" s="418"/>
      <c r="UXQ118" s="418"/>
      <c r="UXR118" s="418"/>
      <c r="UXS118" s="418"/>
      <c r="UXT118" s="418"/>
      <c r="UXU118" s="418"/>
      <c r="UXV118" s="418"/>
      <c r="UXW118" s="418"/>
      <c r="UXX118" s="418"/>
      <c r="UXY118" s="418"/>
      <c r="UXZ118" s="418"/>
      <c r="UYA118" s="418"/>
      <c r="UYB118" s="418"/>
      <c r="UYC118" s="418"/>
      <c r="UYD118" s="418"/>
      <c r="UYE118" s="418"/>
      <c r="UYF118" s="418"/>
      <c r="UYG118" s="418"/>
      <c r="UYH118" s="418"/>
      <c r="UYI118" s="418"/>
      <c r="UYJ118" s="418"/>
      <c r="UYK118" s="418"/>
      <c r="UYL118" s="418"/>
      <c r="UYM118" s="418"/>
      <c r="UYN118" s="418"/>
      <c r="UYO118" s="418"/>
      <c r="UYP118" s="418"/>
      <c r="UYQ118" s="418"/>
      <c r="UYR118" s="418"/>
      <c r="UYS118" s="418"/>
      <c r="UYT118" s="418"/>
      <c r="UYU118" s="418"/>
      <c r="UYV118" s="418"/>
      <c r="UYW118" s="418"/>
      <c r="UYX118" s="418"/>
      <c r="UYY118" s="418"/>
      <c r="UYZ118" s="418"/>
      <c r="UZA118" s="418"/>
      <c r="UZB118" s="418"/>
      <c r="UZC118" s="418"/>
      <c r="UZD118" s="418"/>
      <c r="UZE118" s="418"/>
      <c r="UZF118" s="418"/>
      <c r="UZG118" s="418"/>
      <c r="UZH118" s="418"/>
      <c r="UZI118" s="418"/>
      <c r="UZJ118" s="418"/>
      <c r="UZK118" s="418"/>
      <c r="UZL118" s="418"/>
      <c r="UZM118" s="418"/>
      <c r="UZN118" s="418"/>
      <c r="UZO118" s="418"/>
      <c r="UZP118" s="418"/>
      <c r="UZQ118" s="418"/>
      <c r="UZR118" s="418"/>
      <c r="UZS118" s="418"/>
      <c r="UZT118" s="418"/>
      <c r="UZU118" s="418"/>
      <c r="UZV118" s="418"/>
      <c r="UZW118" s="418"/>
      <c r="UZX118" s="418"/>
      <c r="UZY118" s="418"/>
      <c r="UZZ118" s="418"/>
      <c r="VAA118" s="418"/>
      <c r="VAB118" s="418"/>
      <c r="VAC118" s="418"/>
      <c r="VAD118" s="418"/>
      <c r="VAE118" s="418"/>
      <c r="VAF118" s="418"/>
      <c r="VAG118" s="418"/>
      <c r="VAH118" s="418"/>
      <c r="VAI118" s="418"/>
      <c r="VAJ118" s="418"/>
      <c r="VAK118" s="418"/>
      <c r="VAL118" s="418"/>
      <c r="VAM118" s="418"/>
      <c r="VAN118" s="418"/>
      <c r="VAO118" s="418"/>
      <c r="VAP118" s="418"/>
      <c r="VAQ118" s="418"/>
      <c r="VAR118" s="418"/>
      <c r="VAS118" s="418"/>
      <c r="VAT118" s="418"/>
      <c r="VAU118" s="418"/>
      <c r="VAV118" s="418"/>
      <c r="VAW118" s="418"/>
      <c r="VAX118" s="418"/>
      <c r="VAY118" s="418"/>
      <c r="VAZ118" s="418"/>
      <c r="VBA118" s="418"/>
      <c r="VBB118" s="418"/>
      <c r="VBC118" s="418"/>
      <c r="VBD118" s="418"/>
      <c r="VBE118" s="418"/>
      <c r="VBF118" s="418"/>
      <c r="VBG118" s="418"/>
      <c r="VBH118" s="418"/>
      <c r="VBI118" s="418"/>
      <c r="VBJ118" s="418"/>
      <c r="VBK118" s="418"/>
      <c r="VBL118" s="418"/>
      <c r="VBM118" s="418"/>
      <c r="VBN118" s="418"/>
      <c r="VBO118" s="418"/>
      <c r="VBP118" s="418"/>
      <c r="VBQ118" s="418"/>
      <c r="VBR118" s="418"/>
      <c r="VBS118" s="418"/>
      <c r="VBT118" s="418"/>
      <c r="VBU118" s="418"/>
      <c r="VBV118" s="418"/>
      <c r="VBW118" s="418"/>
      <c r="VBX118" s="418"/>
      <c r="VBY118" s="418"/>
      <c r="VBZ118" s="418"/>
      <c r="VCA118" s="418"/>
      <c r="VCB118" s="418"/>
      <c r="VCC118" s="418"/>
      <c r="VCD118" s="418"/>
      <c r="VCE118" s="418"/>
      <c r="VCF118" s="418"/>
      <c r="VCG118" s="418"/>
      <c r="VCH118" s="418"/>
      <c r="VCI118" s="418"/>
      <c r="VCJ118" s="418"/>
      <c r="VCK118" s="418"/>
      <c r="VCL118" s="418"/>
      <c r="VCM118" s="418"/>
      <c r="VCN118" s="418"/>
      <c r="VCO118" s="418"/>
      <c r="VCP118" s="418"/>
      <c r="VCQ118" s="418"/>
      <c r="VCR118" s="418"/>
      <c r="VCS118" s="418"/>
      <c r="VCT118" s="418"/>
      <c r="VCU118" s="418"/>
      <c r="VCV118" s="418"/>
      <c r="VCW118" s="418"/>
      <c r="VCX118" s="418"/>
      <c r="VCY118" s="418"/>
      <c r="VCZ118" s="418"/>
      <c r="VDA118" s="418"/>
      <c r="VDB118" s="418"/>
      <c r="VDC118" s="418"/>
      <c r="VDD118" s="418"/>
      <c r="VDE118" s="418"/>
      <c r="VDF118" s="418"/>
      <c r="VDG118" s="418"/>
      <c r="VDH118" s="418"/>
      <c r="VDI118" s="418"/>
      <c r="VDJ118" s="418"/>
      <c r="VDK118" s="418"/>
      <c r="VDL118" s="418"/>
      <c r="VDM118" s="418"/>
      <c r="VDN118" s="418"/>
      <c r="VDO118" s="418"/>
      <c r="VDP118" s="418"/>
      <c r="VDQ118" s="418"/>
      <c r="VDR118" s="418"/>
      <c r="VDS118" s="418"/>
      <c r="VDT118" s="418"/>
      <c r="VDU118" s="418"/>
      <c r="VDV118" s="418"/>
      <c r="VDW118" s="418"/>
      <c r="VDX118" s="418"/>
      <c r="VDY118" s="418"/>
      <c r="VDZ118" s="418"/>
      <c r="VEA118" s="418"/>
      <c r="VEB118" s="418"/>
      <c r="VEC118" s="418"/>
      <c r="VED118" s="418"/>
      <c r="VEE118" s="418"/>
      <c r="VEF118" s="418"/>
      <c r="VEG118" s="418"/>
      <c r="VEH118" s="418"/>
      <c r="VEI118" s="418"/>
      <c r="VEJ118" s="418"/>
      <c r="VEK118" s="418"/>
      <c r="VEL118" s="418"/>
      <c r="VEM118" s="418"/>
      <c r="VEN118" s="418"/>
      <c r="VEO118" s="418"/>
      <c r="VEP118" s="418"/>
      <c r="VEQ118" s="418"/>
      <c r="VER118" s="418"/>
      <c r="VES118" s="418"/>
      <c r="VET118" s="418"/>
      <c r="VEU118" s="418"/>
      <c r="VEV118" s="418"/>
      <c r="VEW118" s="418"/>
      <c r="VEX118" s="418"/>
      <c r="VEY118" s="418"/>
      <c r="VEZ118" s="418"/>
      <c r="VFA118" s="418"/>
      <c r="VFB118" s="418"/>
      <c r="VFC118" s="418"/>
      <c r="VFD118" s="418"/>
      <c r="VFE118" s="418"/>
      <c r="VFF118" s="418"/>
      <c r="VFG118" s="418"/>
      <c r="VFH118" s="418"/>
      <c r="VFI118" s="418"/>
      <c r="VFJ118" s="418"/>
      <c r="VFK118" s="418"/>
      <c r="VFL118" s="418"/>
      <c r="VFM118" s="418"/>
      <c r="VFN118" s="418"/>
      <c r="VFO118" s="418"/>
      <c r="VFP118" s="418"/>
      <c r="VFQ118" s="418"/>
      <c r="VFR118" s="418"/>
      <c r="VFS118" s="418"/>
      <c r="VFT118" s="418"/>
      <c r="VFU118" s="418"/>
      <c r="VFV118" s="418"/>
      <c r="VFW118" s="418"/>
      <c r="VFX118" s="418"/>
      <c r="VFY118" s="418"/>
      <c r="VFZ118" s="418"/>
      <c r="VGA118" s="418"/>
      <c r="VGB118" s="418"/>
      <c r="VGC118" s="418"/>
      <c r="VGD118" s="418"/>
      <c r="VGE118" s="418"/>
      <c r="VGF118" s="418"/>
      <c r="VGG118" s="418"/>
      <c r="VGH118" s="418"/>
      <c r="VGI118" s="418"/>
      <c r="VGJ118" s="418"/>
      <c r="VGK118" s="418"/>
      <c r="VGL118" s="418"/>
      <c r="VGM118" s="418"/>
      <c r="VGN118" s="418"/>
      <c r="VGO118" s="418"/>
      <c r="VGP118" s="418"/>
      <c r="VGQ118" s="418"/>
      <c r="VGR118" s="418"/>
      <c r="VGS118" s="418"/>
      <c r="VGT118" s="418"/>
      <c r="VGU118" s="418"/>
      <c r="VGV118" s="418"/>
      <c r="VGW118" s="418"/>
      <c r="VGX118" s="418"/>
      <c r="VGY118" s="418"/>
      <c r="VGZ118" s="418"/>
      <c r="VHA118" s="418"/>
      <c r="VHB118" s="418"/>
      <c r="VHC118" s="418"/>
      <c r="VHD118" s="418"/>
      <c r="VHE118" s="418"/>
      <c r="VHF118" s="418"/>
      <c r="VHG118" s="418"/>
      <c r="VHH118" s="418"/>
      <c r="VHI118" s="418"/>
      <c r="VHJ118" s="418"/>
      <c r="VHK118" s="418"/>
      <c r="VHL118" s="418"/>
      <c r="VHM118" s="418"/>
      <c r="VHN118" s="418"/>
      <c r="VHO118" s="418"/>
      <c r="VHP118" s="418"/>
      <c r="VHQ118" s="418"/>
      <c r="VHR118" s="418"/>
      <c r="VHS118" s="418"/>
      <c r="VHT118" s="418"/>
      <c r="VHU118" s="418"/>
      <c r="VHV118" s="418"/>
      <c r="VHW118" s="418"/>
      <c r="VHX118" s="418"/>
      <c r="VHY118" s="418"/>
      <c r="VHZ118" s="418"/>
      <c r="VIA118" s="418"/>
      <c r="VIB118" s="418"/>
      <c r="VIC118" s="418"/>
      <c r="VID118" s="418"/>
      <c r="VIE118" s="418"/>
      <c r="VIF118" s="418"/>
      <c r="VIG118" s="418"/>
      <c r="VIH118" s="418"/>
      <c r="VII118" s="418"/>
      <c r="VIJ118" s="418"/>
      <c r="VIK118" s="418"/>
      <c r="VIL118" s="418"/>
      <c r="VIM118" s="418"/>
      <c r="VIN118" s="418"/>
      <c r="VIO118" s="418"/>
      <c r="VIP118" s="418"/>
      <c r="VIQ118" s="418"/>
      <c r="VIR118" s="418"/>
      <c r="VIS118" s="418"/>
      <c r="VIT118" s="418"/>
      <c r="VIU118" s="418"/>
      <c r="VIV118" s="418"/>
      <c r="VIW118" s="418"/>
      <c r="VIX118" s="418"/>
      <c r="VIY118" s="418"/>
      <c r="VIZ118" s="418"/>
      <c r="VJA118" s="418"/>
      <c r="VJB118" s="418"/>
      <c r="VJC118" s="418"/>
      <c r="VJD118" s="418"/>
      <c r="VJE118" s="418"/>
      <c r="VJF118" s="418"/>
      <c r="VJG118" s="418"/>
      <c r="VJH118" s="418"/>
      <c r="VJI118" s="418"/>
      <c r="VJJ118" s="418"/>
      <c r="VJK118" s="418"/>
      <c r="VJL118" s="418"/>
      <c r="VJM118" s="418"/>
      <c r="VJN118" s="418"/>
      <c r="VJO118" s="418"/>
      <c r="VJP118" s="418"/>
      <c r="VJQ118" s="418"/>
      <c r="VJR118" s="418"/>
      <c r="VJS118" s="418"/>
      <c r="VJT118" s="418"/>
      <c r="VJU118" s="418"/>
      <c r="VJV118" s="418"/>
      <c r="VJW118" s="418"/>
      <c r="VJX118" s="418"/>
      <c r="VJY118" s="418"/>
      <c r="VJZ118" s="418"/>
      <c r="VKA118" s="418"/>
      <c r="VKB118" s="418"/>
      <c r="VKC118" s="418"/>
      <c r="VKD118" s="418"/>
      <c r="VKE118" s="418"/>
      <c r="VKF118" s="418"/>
      <c r="VKG118" s="418"/>
      <c r="VKH118" s="418"/>
      <c r="VKI118" s="418"/>
      <c r="VKJ118" s="418"/>
      <c r="VKK118" s="418"/>
      <c r="VKL118" s="418"/>
      <c r="VKM118" s="418"/>
      <c r="VKN118" s="418"/>
      <c r="VKO118" s="418"/>
      <c r="VKP118" s="418"/>
      <c r="VKQ118" s="418"/>
      <c r="VKR118" s="418"/>
      <c r="VKS118" s="418"/>
      <c r="VKT118" s="418"/>
      <c r="VKU118" s="418"/>
      <c r="VKV118" s="418"/>
      <c r="VKW118" s="418"/>
      <c r="VKX118" s="418"/>
      <c r="VKY118" s="418"/>
      <c r="VKZ118" s="418"/>
      <c r="VLA118" s="418"/>
      <c r="VLB118" s="418"/>
      <c r="VLC118" s="418"/>
      <c r="VLD118" s="418"/>
      <c r="VLE118" s="418"/>
      <c r="VLF118" s="418"/>
      <c r="VLG118" s="418"/>
      <c r="VLH118" s="418"/>
      <c r="VLI118" s="418"/>
      <c r="VLJ118" s="418"/>
      <c r="VLK118" s="418"/>
      <c r="VLL118" s="418"/>
      <c r="VLM118" s="418"/>
      <c r="VLN118" s="418"/>
      <c r="VLO118" s="418"/>
      <c r="VLP118" s="418"/>
      <c r="VLQ118" s="418"/>
      <c r="VLR118" s="418"/>
      <c r="VLS118" s="418"/>
      <c r="VLT118" s="418"/>
      <c r="VLU118" s="418"/>
      <c r="VLV118" s="418"/>
      <c r="VLW118" s="418"/>
      <c r="VLX118" s="418"/>
      <c r="VLY118" s="418"/>
      <c r="VLZ118" s="418"/>
      <c r="VMA118" s="418"/>
      <c r="VMB118" s="418"/>
      <c r="VMC118" s="418"/>
      <c r="VMD118" s="418"/>
      <c r="VME118" s="418"/>
      <c r="VMF118" s="418"/>
      <c r="VMG118" s="418"/>
      <c r="VMH118" s="418"/>
      <c r="VMI118" s="418"/>
      <c r="VMJ118" s="418"/>
      <c r="VMK118" s="418"/>
      <c r="VML118" s="418"/>
      <c r="VMM118" s="418"/>
      <c r="VMN118" s="418"/>
      <c r="VMO118" s="418"/>
      <c r="VMP118" s="418"/>
      <c r="VMQ118" s="418"/>
      <c r="VMR118" s="418"/>
      <c r="VMS118" s="418"/>
      <c r="VMT118" s="418"/>
      <c r="VMU118" s="418"/>
      <c r="VMV118" s="418"/>
      <c r="VMW118" s="418"/>
      <c r="VMX118" s="418"/>
      <c r="VMY118" s="418"/>
      <c r="VMZ118" s="418"/>
      <c r="VNA118" s="418"/>
      <c r="VNB118" s="418"/>
      <c r="VNC118" s="418"/>
      <c r="VND118" s="418"/>
      <c r="VNE118" s="418"/>
      <c r="VNF118" s="418"/>
      <c r="VNG118" s="418"/>
      <c r="VNH118" s="418"/>
      <c r="VNI118" s="418"/>
      <c r="VNJ118" s="418"/>
      <c r="VNK118" s="418"/>
      <c r="VNL118" s="418"/>
      <c r="VNM118" s="418"/>
      <c r="VNN118" s="418"/>
      <c r="VNO118" s="418"/>
      <c r="VNP118" s="418"/>
      <c r="VNQ118" s="418"/>
      <c r="VNR118" s="418"/>
      <c r="VNS118" s="418"/>
      <c r="VNT118" s="418"/>
      <c r="VNU118" s="418"/>
      <c r="VNV118" s="418"/>
      <c r="VNW118" s="418"/>
      <c r="VNX118" s="418"/>
      <c r="VNY118" s="418"/>
      <c r="VNZ118" s="418"/>
      <c r="VOA118" s="418"/>
      <c r="VOB118" s="418"/>
      <c r="VOC118" s="418"/>
      <c r="VOD118" s="418"/>
      <c r="VOE118" s="418"/>
      <c r="VOF118" s="418"/>
      <c r="VOG118" s="418"/>
      <c r="VOH118" s="418"/>
      <c r="VOI118" s="418"/>
      <c r="VOJ118" s="418"/>
      <c r="VOK118" s="418"/>
      <c r="VOL118" s="418"/>
      <c r="VOM118" s="418"/>
      <c r="VON118" s="418"/>
      <c r="VOO118" s="418"/>
      <c r="VOP118" s="418"/>
      <c r="VOQ118" s="418"/>
      <c r="VOR118" s="418"/>
      <c r="VOS118" s="418"/>
      <c r="VOT118" s="418"/>
      <c r="VOU118" s="418"/>
      <c r="VOV118" s="418"/>
      <c r="VOW118" s="418"/>
      <c r="VOX118" s="418"/>
      <c r="VOY118" s="418"/>
      <c r="VOZ118" s="418"/>
      <c r="VPA118" s="418"/>
      <c r="VPB118" s="418"/>
      <c r="VPC118" s="418"/>
      <c r="VPD118" s="418"/>
      <c r="VPE118" s="418"/>
      <c r="VPF118" s="418"/>
      <c r="VPG118" s="418"/>
      <c r="VPH118" s="418"/>
      <c r="VPI118" s="418"/>
      <c r="VPJ118" s="418"/>
      <c r="VPK118" s="418"/>
      <c r="VPL118" s="418"/>
      <c r="VPM118" s="418"/>
      <c r="VPN118" s="418"/>
      <c r="VPO118" s="418"/>
      <c r="VPP118" s="418"/>
      <c r="VPQ118" s="418"/>
      <c r="VPR118" s="418"/>
      <c r="VPS118" s="418"/>
      <c r="VPT118" s="418"/>
      <c r="VPU118" s="418"/>
      <c r="VPV118" s="418"/>
      <c r="VPW118" s="418"/>
      <c r="VPX118" s="418"/>
      <c r="VPY118" s="418"/>
      <c r="VPZ118" s="418"/>
      <c r="VQA118" s="418"/>
      <c r="VQB118" s="418"/>
      <c r="VQC118" s="418"/>
      <c r="VQD118" s="418"/>
      <c r="VQE118" s="418"/>
      <c r="VQF118" s="418"/>
      <c r="VQG118" s="418"/>
      <c r="VQH118" s="418"/>
      <c r="VQI118" s="418"/>
      <c r="VQJ118" s="418"/>
      <c r="VQK118" s="418"/>
      <c r="VQL118" s="418"/>
      <c r="VQM118" s="418"/>
      <c r="VQN118" s="418"/>
      <c r="VQO118" s="418"/>
      <c r="VQP118" s="418"/>
      <c r="VQQ118" s="418"/>
      <c r="VQR118" s="418"/>
      <c r="VQS118" s="418"/>
      <c r="VQT118" s="418"/>
      <c r="VQU118" s="418"/>
      <c r="VQV118" s="418"/>
      <c r="VQW118" s="418"/>
      <c r="VQX118" s="418"/>
      <c r="VQY118" s="418"/>
      <c r="VQZ118" s="418"/>
      <c r="VRA118" s="418"/>
      <c r="VRB118" s="418"/>
      <c r="VRC118" s="418"/>
      <c r="VRD118" s="418"/>
      <c r="VRE118" s="418"/>
      <c r="VRF118" s="418"/>
      <c r="VRG118" s="418"/>
      <c r="VRH118" s="418"/>
      <c r="VRI118" s="418"/>
      <c r="VRJ118" s="418"/>
      <c r="VRK118" s="418"/>
      <c r="VRL118" s="418"/>
      <c r="VRM118" s="418"/>
      <c r="VRN118" s="418"/>
      <c r="VRO118" s="418"/>
      <c r="VRP118" s="418"/>
      <c r="VRQ118" s="418"/>
      <c r="VRR118" s="418"/>
      <c r="VRS118" s="418"/>
      <c r="VRT118" s="418"/>
      <c r="VRU118" s="418"/>
      <c r="VRV118" s="418"/>
      <c r="VRW118" s="418"/>
      <c r="VRX118" s="418"/>
      <c r="VRY118" s="418"/>
      <c r="VRZ118" s="418"/>
      <c r="VSA118" s="418"/>
      <c r="VSB118" s="418"/>
      <c r="VSC118" s="418"/>
      <c r="VSD118" s="418"/>
      <c r="VSE118" s="418"/>
      <c r="VSF118" s="418"/>
      <c r="VSG118" s="418"/>
      <c r="VSH118" s="418"/>
      <c r="VSI118" s="418"/>
      <c r="VSJ118" s="418"/>
      <c r="VSK118" s="418"/>
      <c r="VSL118" s="418"/>
      <c r="VSM118" s="418"/>
      <c r="VSN118" s="418"/>
      <c r="VSO118" s="418"/>
      <c r="VSP118" s="418"/>
      <c r="VSQ118" s="418"/>
      <c r="VSR118" s="418"/>
      <c r="VSS118" s="418"/>
      <c r="VST118" s="418"/>
      <c r="VSU118" s="418"/>
      <c r="VSV118" s="418"/>
      <c r="VSW118" s="418"/>
      <c r="VSX118" s="418"/>
      <c r="VSY118" s="418"/>
      <c r="VSZ118" s="418"/>
      <c r="VTA118" s="418"/>
      <c r="VTB118" s="418"/>
      <c r="VTC118" s="418"/>
      <c r="VTD118" s="418"/>
      <c r="VTE118" s="418"/>
      <c r="VTF118" s="418"/>
      <c r="VTG118" s="418"/>
      <c r="VTH118" s="418"/>
      <c r="VTI118" s="418"/>
      <c r="VTJ118" s="418"/>
      <c r="VTK118" s="418"/>
      <c r="VTL118" s="418"/>
      <c r="VTM118" s="418"/>
      <c r="VTN118" s="418"/>
      <c r="VTO118" s="418"/>
      <c r="VTP118" s="418"/>
      <c r="VTQ118" s="418"/>
      <c r="VTR118" s="418"/>
      <c r="VTS118" s="418"/>
      <c r="VTT118" s="418"/>
      <c r="VTU118" s="418"/>
      <c r="VTV118" s="418"/>
      <c r="VTW118" s="418"/>
      <c r="VTX118" s="418"/>
      <c r="VTY118" s="418"/>
      <c r="VTZ118" s="418"/>
      <c r="VUA118" s="418"/>
      <c r="VUB118" s="418"/>
      <c r="VUC118" s="418"/>
      <c r="VUD118" s="418"/>
      <c r="VUE118" s="418"/>
      <c r="VUF118" s="418"/>
      <c r="VUG118" s="418"/>
      <c r="VUH118" s="418"/>
      <c r="VUI118" s="418"/>
      <c r="VUJ118" s="418"/>
      <c r="VUK118" s="418"/>
      <c r="VUL118" s="418"/>
      <c r="VUM118" s="418"/>
      <c r="VUN118" s="418"/>
      <c r="VUO118" s="418"/>
      <c r="VUP118" s="418"/>
      <c r="VUQ118" s="418"/>
      <c r="VUR118" s="418"/>
      <c r="VUS118" s="418"/>
      <c r="VUT118" s="418"/>
      <c r="VUU118" s="418"/>
      <c r="VUV118" s="418"/>
      <c r="VUW118" s="418"/>
      <c r="VUX118" s="418"/>
      <c r="VUY118" s="418"/>
      <c r="VUZ118" s="418"/>
      <c r="VVA118" s="418"/>
      <c r="VVB118" s="418"/>
      <c r="VVC118" s="418"/>
      <c r="VVD118" s="418"/>
      <c r="VVE118" s="418"/>
      <c r="VVF118" s="418"/>
      <c r="VVG118" s="418"/>
      <c r="VVH118" s="418"/>
      <c r="VVI118" s="418"/>
      <c r="VVJ118" s="418"/>
      <c r="VVK118" s="418"/>
      <c r="VVL118" s="418"/>
      <c r="VVM118" s="418"/>
      <c r="VVN118" s="418"/>
      <c r="VVO118" s="418"/>
      <c r="VVP118" s="418"/>
      <c r="VVQ118" s="418"/>
      <c r="VVR118" s="418"/>
      <c r="VVS118" s="418"/>
      <c r="VVT118" s="418"/>
      <c r="VVU118" s="418"/>
      <c r="VVV118" s="418"/>
      <c r="VVW118" s="418"/>
      <c r="VVX118" s="418"/>
      <c r="VVY118" s="418"/>
      <c r="VVZ118" s="418"/>
      <c r="VWA118" s="418"/>
      <c r="VWB118" s="418"/>
      <c r="VWC118" s="418"/>
      <c r="VWD118" s="418"/>
      <c r="VWE118" s="418"/>
      <c r="VWF118" s="418"/>
      <c r="VWG118" s="418"/>
      <c r="VWH118" s="418"/>
      <c r="VWI118" s="418"/>
      <c r="VWJ118" s="418"/>
      <c r="VWK118" s="418"/>
      <c r="VWL118" s="418"/>
      <c r="VWM118" s="418"/>
      <c r="VWN118" s="418"/>
      <c r="VWO118" s="418"/>
      <c r="VWP118" s="418"/>
      <c r="VWQ118" s="418"/>
      <c r="VWR118" s="418"/>
      <c r="VWS118" s="418"/>
      <c r="VWT118" s="418"/>
      <c r="VWU118" s="418"/>
      <c r="VWV118" s="418"/>
      <c r="VWW118" s="418"/>
      <c r="VWX118" s="418"/>
      <c r="VWY118" s="418"/>
      <c r="VWZ118" s="418"/>
      <c r="VXA118" s="418"/>
      <c r="VXB118" s="418"/>
      <c r="VXC118" s="418"/>
      <c r="VXD118" s="418"/>
      <c r="VXE118" s="418"/>
      <c r="VXF118" s="418"/>
      <c r="VXG118" s="418"/>
      <c r="VXH118" s="418"/>
      <c r="VXI118" s="418"/>
      <c r="VXJ118" s="418"/>
      <c r="VXK118" s="418"/>
      <c r="VXL118" s="418"/>
      <c r="VXM118" s="418"/>
      <c r="VXN118" s="418"/>
      <c r="VXO118" s="418"/>
      <c r="VXP118" s="418"/>
      <c r="VXQ118" s="418"/>
      <c r="VXR118" s="418"/>
      <c r="VXS118" s="418"/>
      <c r="VXT118" s="418"/>
      <c r="VXU118" s="418"/>
      <c r="VXV118" s="418"/>
      <c r="VXW118" s="418"/>
      <c r="VXX118" s="418"/>
      <c r="VXY118" s="418"/>
      <c r="VXZ118" s="418"/>
      <c r="VYA118" s="418"/>
      <c r="VYB118" s="418"/>
      <c r="VYC118" s="418"/>
      <c r="VYD118" s="418"/>
      <c r="VYE118" s="418"/>
      <c r="VYF118" s="418"/>
      <c r="VYG118" s="418"/>
      <c r="VYH118" s="418"/>
      <c r="VYI118" s="418"/>
      <c r="VYJ118" s="418"/>
      <c r="VYK118" s="418"/>
      <c r="VYL118" s="418"/>
      <c r="VYM118" s="418"/>
      <c r="VYN118" s="418"/>
      <c r="VYO118" s="418"/>
      <c r="VYP118" s="418"/>
      <c r="VYQ118" s="418"/>
      <c r="VYR118" s="418"/>
      <c r="VYS118" s="418"/>
      <c r="VYT118" s="418"/>
      <c r="VYU118" s="418"/>
      <c r="VYV118" s="418"/>
      <c r="VYW118" s="418"/>
      <c r="VYX118" s="418"/>
      <c r="VYY118" s="418"/>
      <c r="VYZ118" s="418"/>
      <c r="VZA118" s="418"/>
      <c r="VZB118" s="418"/>
      <c r="VZC118" s="418"/>
      <c r="VZD118" s="418"/>
      <c r="VZE118" s="418"/>
      <c r="VZF118" s="418"/>
      <c r="VZG118" s="418"/>
      <c r="VZH118" s="418"/>
      <c r="VZI118" s="418"/>
      <c r="VZJ118" s="418"/>
      <c r="VZK118" s="418"/>
      <c r="VZL118" s="418"/>
      <c r="VZM118" s="418"/>
      <c r="VZN118" s="418"/>
      <c r="VZO118" s="418"/>
      <c r="VZP118" s="418"/>
      <c r="VZQ118" s="418"/>
      <c r="VZR118" s="418"/>
      <c r="VZS118" s="418"/>
      <c r="VZT118" s="418"/>
      <c r="VZU118" s="418"/>
      <c r="VZV118" s="418"/>
      <c r="VZW118" s="418"/>
      <c r="VZX118" s="418"/>
      <c r="VZY118" s="418"/>
      <c r="VZZ118" s="418"/>
      <c r="WAA118" s="418"/>
      <c r="WAB118" s="418"/>
      <c r="WAC118" s="418"/>
      <c r="WAD118" s="418"/>
      <c r="WAE118" s="418"/>
      <c r="WAF118" s="418"/>
      <c r="WAG118" s="418"/>
      <c r="WAH118" s="418"/>
      <c r="WAI118" s="418"/>
      <c r="WAJ118" s="418"/>
      <c r="WAK118" s="418"/>
      <c r="WAL118" s="418"/>
      <c r="WAM118" s="418"/>
      <c r="WAN118" s="418"/>
      <c r="WAO118" s="418"/>
      <c r="WAP118" s="418"/>
      <c r="WAQ118" s="418"/>
      <c r="WAR118" s="418"/>
      <c r="WAS118" s="418"/>
      <c r="WAT118" s="418"/>
      <c r="WAU118" s="418"/>
      <c r="WAV118" s="418"/>
      <c r="WAW118" s="418"/>
      <c r="WAX118" s="418"/>
      <c r="WAY118" s="418"/>
      <c r="WAZ118" s="418"/>
      <c r="WBA118" s="418"/>
      <c r="WBB118" s="418"/>
      <c r="WBC118" s="418"/>
      <c r="WBD118" s="418"/>
      <c r="WBE118" s="418"/>
      <c r="WBF118" s="418"/>
      <c r="WBG118" s="418"/>
      <c r="WBH118" s="418"/>
      <c r="WBI118" s="418"/>
      <c r="WBJ118" s="418"/>
      <c r="WBK118" s="418"/>
      <c r="WBL118" s="418"/>
      <c r="WBM118" s="418"/>
      <c r="WBN118" s="418"/>
      <c r="WBO118" s="418"/>
      <c r="WBP118" s="418"/>
      <c r="WBQ118" s="418"/>
      <c r="WBR118" s="418"/>
      <c r="WBS118" s="418"/>
      <c r="WBT118" s="418"/>
      <c r="WBU118" s="418"/>
      <c r="WBV118" s="418"/>
      <c r="WBW118" s="418"/>
      <c r="WBX118" s="418"/>
      <c r="WBY118" s="418"/>
      <c r="WBZ118" s="418"/>
      <c r="WCA118" s="418"/>
      <c r="WCB118" s="418"/>
      <c r="WCC118" s="418"/>
      <c r="WCD118" s="418"/>
      <c r="WCE118" s="418"/>
      <c r="WCF118" s="418"/>
      <c r="WCG118" s="418"/>
      <c r="WCH118" s="418"/>
      <c r="WCI118" s="418"/>
      <c r="WCJ118" s="418"/>
      <c r="WCK118" s="418"/>
      <c r="WCL118" s="418"/>
      <c r="WCM118" s="418"/>
      <c r="WCN118" s="418"/>
      <c r="WCO118" s="418"/>
      <c r="WCP118" s="418"/>
      <c r="WCQ118" s="418"/>
      <c r="WCR118" s="418"/>
      <c r="WCS118" s="418"/>
      <c r="WCT118" s="418"/>
      <c r="WCU118" s="418"/>
      <c r="WCV118" s="418"/>
      <c r="WCW118" s="418"/>
      <c r="WCX118" s="418"/>
      <c r="WCY118" s="418"/>
      <c r="WCZ118" s="418"/>
      <c r="WDA118" s="418"/>
      <c r="WDB118" s="418"/>
      <c r="WDC118" s="418"/>
      <c r="WDD118" s="418"/>
      <c r="WDE118" s="418"/>
      <c r="WDF118" s="418"/>
      <c r="WDG118" s="418"/>
      <c r="WDH118" s="418"/>
      <c r="WDI118" s="418"/>
      <c r="WDJ118" s="418"/>
      <c r="WDK118" s="418"/>
      <c r="WDL118" s="418"/>
      <c r="WDM118" s="418"/>
      <c r="WDN118" s="418"/>
      <c r="WDO118" s="418"/>
      <c r="WDP118" s="418"/>
      <c r="WDQ118" s="418"/>
      <c r="WDR118" s="418"/>
      <c r="WDS118" s="418"/>
      <c r="WDT118" s="418"/>
      <c r="WDU118" s="418"/>
      <c r="WDV118" s="418"/>
      <c r="WDW118" s="418"/>
      <c r="WDX118" s="418"/>
      <c r="WDY118" s="418"/>
      <c r="WDZ118" s="418"/>
      <c r="WEA118" s="418"/>
      <c r="WEB118" s="418"/>
      <c r="WEC118" s="418"/>
      <c r="WED118" s="418"/>
      <c r="WEE118" s="418"/>
      <c r="WEF118" s="418"/>
      <c r="WEG118" s="418"/>
      <c r="WEH118" s="418"/>
      <c r="WEI118" s="418"/>
      <c r="WEJ118" s="418"/>
      <c r="WEK118" s="418"/>
      <c r="WEL118" s="418"/>
      <c r="WEM118" s="418"/>
      <c r="WEN118" s="418"/>
      <c r="WEO118" s="418"/>
      <c r="WEP118" s="418"/>
      <c r="WEQ118" s="418"/>
      <c r="WER118" s="418"/>
      <c r="WES118" s="418"/>
      <c r="WET118" s="418"/>
      <c r="WEU118" s="418"/>
      <c r="WEV118" s="418"/>
      <c r="WEW118" s="418"/>
      <c r="WEX118" s="418"/>
      <c r="WEY118" s="418"/>
      <c r="WEZ118" s="418"/>
      <c r="WFA118" s="418"/>
      <c r="WFB118" s="418"/>
      <c r="WFC118" s="418"/>
      <c r="WFD118" s="418"/>
      <c r="WFE118" s="418"/>
      <c r="WFF118" s="418"/>
      <c r="WFG118" s="418"/>
      <c r="WFH118" s="418"/>
      <c r="WFI118" s="418"/>
      <c r="WFJ118" s="418"/>
      <c r="WFK118" s="418"/>
      <c r="WFL118" s="418"/>
      <c r="WFM118" s="418"/>
      <c r="WFN118" s="418"/>
      <c r="WFO118" s="418"/>
      <c r="WFP118" s="418"/>
      <c r="WFQ118" s="418"/>
      <c r="WFR118" s="418"/>
      <c r="WFS118" s="418"/>
      <c r="WFT118" s="418"/>
      <c r="WFU118" s="418"/>
      <c r="WFV118" s="418"/>
      <c r="WFW118" s="418"/>
      <c r="WFX118" s="418"/>
      <c r="WFY118" s="418"/>
      <c r="WFZ118" s="418"/>
      <c r="WGA118" s="418"/>
      <c r="WGB118" s="418"/>
      <c r="WGC118" s="418"/>
      <c r="WGD118" s="418"/>
      <c r="WGE118" s="418"/>
      <c r="WGF118" s="418"/>
      <c r="WGG118" s="418"/>
      <c r="WGH118" s="418"/>
      <c r="WGI118" s="418"/>
      <c r="WGJ118" s="418"/>
      <c r="WGK118" s="418"/>
      <c r="WGL118" s="418"/>
      <c r="WGM118" s="418"/>
      <c r="WGN118" s="418"/>
      <c r="WGO118" s="418"/>
      <c r="WGP118" s="418"/>
      <c r="WGQ118" s="418"/>
      <c r="WGR118" s="418"/>
      <c r="WGS118" s="418"/>
      <c r="WGT118" s="418"/>
      <c r="WGU118" s="418"/>
      <c r="WGV118" s="418"/>
      <c r="WGW118" s="418"/>
      <c r="WGX118" s="418"/>
      <c r="WGY118" s="418"/>
      <c r="WGZ118" s="418"/>
      <c r="WHA118" s="418"/>
      <c r="WHB118" s="418"/>
      <c r="WHC118" s="418"/>
      <c r="WHD118" s="418"/>
      <c r="WHE118" s="418"/>
      <c r="WHF118" s="418"/>
      <c r="WHG118" s="418"/>
      <c r="WHH118" s="418"/>
      <c r="WHI118" s="418"/>
      <c r="WHJ118" s="418"/>
      <c r="WHK118" s="418"/>
      <c r="WHL118" s="418"/>
      <c r="WHM118" s="418"/>
      <c r="WHN118" s="418"/>
      <c r="WHO118" s="418"/>
      <c r="WHP118" s="418"/>
      <c r="WHQ118" s="418"/>
      <c r="WHR118" s="418"/>
      <c r="WHS118" s="418"/>
      <c r="WHT118" s="418"/>
      <c r="WHU118" s="418"/>
      <c r="WHV118" s="418"/>
      <c r="WHW118" s="418"/>
      <c r="WHX118" s="418"/>
      <c r="WHY118" s="418"/>
      <c r="WHZ118" s="418"/>
      <c r="WIA118" s="418"/>
      <c r="WIB118" s="418"/>
      <c r="WIC118" s="418"/>
      <c r="WID118" s="418"/>
      <c r="WIE118" s="418"/>
      <c r="WIF118" s="418"/>
      <c r="WIG118" s="418"/>
      <c r="WIH118" s="418"/>
      <c r="WII118" s="418"/>
      <c r="WIJ118" s="418"/>
      <c r="WIK118" s="418"/>
      <c r="WIL118" s="418"/>
      <c r="WIM118" s="418"/>
      <c r="WIN118" s="418"/>
      <c r="WIO118" s="418"/>
      <c r="WIP118" s="418"/>
      <c r="WIQ118" s="418"/>
      <c r="WIR118" s="418"/>
      <c r="WIS118" s="418"/>
      <c r="WIT118" s="418"/>
      <c r="WIU118" s="418"/>
      <c r="WIV118" s="418"/>
      <c r="WIW118" s="418"/>
      <c r="WIX118" s="418"/>
      <c r="WIY118" s="418"/>
      <c r="WIZ118" s="418"/>
      <c r="WJA118" s="418"/>
      <c r="WJB118" s="418"/>
      <c r="WJC118" s="418"/>
      <c r="WJD118" s="418"/>
      <c r="WJE118" s="418"/>
      <c r="WJF118" s="418"/>
      <c r="WJG118" s="418"/>
      <c r="WJH118" s="418"/>
      <c r="WJI118" s="418"/>
      <c r="WJJ118" s="418"/>
      <c r="WJK118" s="418"/>
      <c r="WJL118" s="418"/>
      <c r="WJM118" s="418"/>
      <c r="WJN118" s="418"/>
      <c r="WJO118" s="418"/>
      <c r="WJP118" s="418"/>
      <c r="WJQ118" s="418"/>
      <c r="WJR118" s="418"/>
      <c r="WJS118" s="418"/>
      <c r="WJT118" s="418"/>
      <c r="WJU118" s="418"/>
      <c r="WJV118" s="418"/>
      <c r="WJW118" s="418"/>
      <c r="WJX118" s="418"/>
      <c r="WJY118" s="418"/>
      <c r="WJZ118" s="418"/>
      <c r="WKA118" s="418"/>
      <c r="WKB118" s="418"/>
      <c r="WKC118" s="418"/>
      <c r="WKD118" s="418"/>
      <c r="WKE118" s="418"/>
      <c r="WKF118" s="418"/>
      <c r="WKG118" s="418"/>
      <c r="WKH118" s="418"/>
      <c r="WKI118" s="418"/>
      <c r="WKJ118" s="418"/>
      <c r="WKK118" s="418"/>
      <c r="WKL118" s="418"/>
      <c r="WKM118" s="418"/>
      <c r="WKN118" s="418"/>
      <c r="WKO118" s="418"/>
      <c r="WKP118" s="418"/>
      <c r="WKQ118" s="418"/>
      <c r="WKR118" s="418"/>
      <c r="WKS118" s="418"/>
      <c r="WKT118" s="418"/>
      <c r="WKU118" s="418"/>
      <c r="WKV118" s="418"/>
      <c r="WKW118" s="418"/>
      <c r="WKX118" s="418"/>
      <c r="WKY118" s="418"/>
      <c r="WKZ118" s="418"/>
      <c r="WLA118" s="418"/>
      <c r="WLB118" s="418"/>
      <c r="WLC118" s="418"/>
      <c r="WLD118" s="418"/>
      <c r="WLE118" s="418"/>
      <c r="WLF118" s="418"/>
      <c r="WLG118" s="418"/>
      <c r="WLH118" s="418"/>
      <c r="WLI118" s="418"/>
      <c r="WLJ118" s="418"/>
      <c r="WLK118" s="418"/>
      <c r="WLL118" s="418"/>
      <c r="WLM118" s="418"/>
      <c r="WLN118" s="418"/>
      <c r="WLO118" s="418"/>
      <c r="WLP118" s="418"/>
      <c r="WLQ118" s="418"/>
      <c r="WLR118" s="418"/>
      <c r="WLS118" s="418"/>
      <c r="WLT118" s="418"/>
      <c r="WLU118" s="418"/>
      <c r="WLV118" s="418"/>
      <c r="WLW118" s="418"/>
      <c r="WLX118" s="418"/>
      <c r="WLY118" s="418"/>
      <c r="WLZ118" s="418"/>
      <c r="WMA118" s="418"/>
      <c r="WMB118" s="418"/>
      <c r="WMC118" s="418"/>
      <c r="WMD118" s="418"/>
      <c r="WME118" s="418"/>
      <c r="WMF118" s="418"/>
      <c r="WMG118" s="418"/>
      <c r="WMH118" s="418"/>
      <c r="WMI118" s="418"/>
      <c r="WMJ118" s="418"/>
      <c r="WMK118" s="418"/>
      <c r="WML118" s="418"/>
      <c r="WMM118" s="418"/>
      <c r="WMN118" s="418"/>
      <c r="WMO118" s="418"/>
      <c r="WMP118" s="418"/>
      <c r="WMQ118" s="418"/>
      <c r="WMR118" s="418"/>
      <c r="WMS118" s="418"/>
      <c r="WMT118" s="418"/>
      <c r="WMU118" s="418"/>
      <c r="WMV118" s="418"/>
      <c r="WMW118" s="418"/>
      <c r="WMX118" s="418"/>
      <c r="WMY118" s="418"/>
      <c r="WMZ118" s="418"/>
      <c r="WNA118" s="418"/>
      <c r="WNB118" s="418"/>
      <c r="WNC118" s="418"/>
      <c r="WND118" s="418"/>
      <c r="WNE118" s="418"/>
      <c r="WNF118" s="418"/>
      <c r="WNG118" s="418"/>
      <c r="WNH118" s="418"/>
      <c r="WNI118" s="418"/>
      <c r="WNJ118" s="418"/>
      <c r="WNK118" s="418"/>
      <c r="WNL118" s="418"/>
      <c r="WNM118" s="418"/>
      <c r="WNN118" s="418"/>
      <c r="WNO118" s="418"/>
      <c r="WNP118" s="418"/>
      <c r="WNQ118" s="418"/>
      <c r="WNR118" s="418"/>
      <c r="WNS118" s="418"/>
      <c r="WNT118" s="418"/>
      <c r="WNU118" s="418"/>
      <c r="WNV118" s="418"/>
      <c r="WNW118" s="418"/>
      <c r="WNX118" s="418"/>
      <c r="WNY118" s="418"/>
      <c r="WNZ118" s="418"/>
      <c r="WOA118" s="418"/>
      <c r="WOB118" s="418"/>
      <c r="WOC118" s="418"/>
      <c r="WOD118" s="418"/>
      <c r="WOE118" s="418"/>
      <c r="WOF118" s="418"/>
      <c r="WOG118" s="418"/>
      <c r="WOH118" s="418"/>
      <c r="WOI118" s="418"/>
      <c r="WOJ118" s="418"/>
      <c r="WOK118" s="418"/>
      <c r="WOL118" s="418"/>
      <c r="WOM118" s="418"/>
      <c r="WON118" s="418"/>
      <c r="WOO118" s="418"/>
      <c r="WOP118" s="418"/>
      <c r="WOQ118" s="418"/>
      <c r="WOR118" s="418"/>
      <c r="WOS118" s="418"/>
      <c r="WOT118" s="418"/>
      <c r="WOU118" s="418"/>
      <c r="WOV118" s="418"/>
      <c r="WOW118" s="418"/>
      <c r="WOX118" s="418"/>
      <c r="WOY118" s="418"/>
      <c r="WOZ118" s="418"/>
      <c r="WPA118" s="418"/>
      <c r="WPB118" s="418"/>
      <c r="WPC118" s="418"/>
      <c r="WPD118" s="418"/>
      <c r="WPE118" s="418"/>
      <c r="WPF118" s="418"/>
      <c r="WPG118" s="418"/>
      <c r="WPH118" s="418"/>
      <c r="WPI118" s="418"/>
      <c r="WPJ118" s="418"/>
      <c r="WPK118" s="418"/>
      <c r="WPL118" s="418"/>
      <c r="WPM118" s="418"/>
      <c r="WPN118" s="418"/>
      <c r="WPO118" s="418"/>
      <c r="WPP118" s="418"/>
      <c r="WPQ118" s="418"/>
      <c r="WPR118" s="418"/>
      <c r="WPS118" s="418"/>
      <c r="WPT118" s="418"/>
      <c r="WPU118" s="418"/>
      <c r="WPV118" s="418"/>
      <c r="WPW118" s="418"/>
      <c r="WPX118" s="418"/>
      <c r="WPY118" s="418"/>
      <c r="WPZ118" s="418"/>
      <c r="WQA118" s="418"/>
      <c r="WQB118" s="418"/>
      <c r="WQC118" s="418"/>
      <c r="WQD118" s="418"/>
      <c r="WQE118" s="418"/>
      <c r="WQF118" s="418"/>
      <c r="WQG118" s="418"/>
      <c r="WQH118" s="418"/>
      <c r="WQI118" s="418"/>
      <c r="WQJ118" s="418"/>
      <c r="WQK118" s="418"/>
      <c r="WQL118" s="418"/>
      <c r="WQM118" s="418"/>
      <c r="WQN118" s="418"/>
      <c r="WQO118" s="418"/>
      <c r="WQP118" s="418"/>
      <c r="WQQ118" s="418"/>
      <c r="WQR118" s="418"/>
      <c r="WQS118" s="418"/>
      <c r="WQT118" s="418"/>
      <c r="WQU118" s="418"/>
      <c r="WQV118" s="418"/>
      <c r="WQW118" s="418"/>
      <c r="WQX118" s="418"/>
      <c r="WQY118" s="418"/>
      <c r="WQZ118" s="418"/>
      <c r="WRA118" s="418"/>
      <c r="WRB118" s="418"/>
      <c r="WRC118" s="418"/>
      <c r="WRD118" s="418"/>
      <c r="WRE118" s="418"/>
      <c r="WRF118" s="418"/>
      <c r="WRG118" s="418"/>
      <c r="WRH118" s="418"/>
      <c r="WRI118" s="418"/>
      <c r="WRJ118" s="418"/>
      <c r="WRK118" s="418"/>
      <c r="WRL118" s="418"/>
      <c r="WRM118" s="418"/>
      <c r="WRN118" s="418"/>
      <c r="WRO118" s="418"/>
      <c r="WRP118" s="418"/>
      <c r="WRQ118" s="418"/>
      <c r="WRR118" s="418"/>
      <c r="WRS118" s="418"/>
      <c r="WRT118" s="418"/>
      <c r="WRU118" s="418"/>
      <c r="WRV118" s="418"/>
      <c r="WRW118" s="418"/>
      <c r="WRX118" s="418"/>
      <c r="WRY118" s="418"/>
      <c r="WRZ118" s="418"/>
      <c r="WSA118" s="418"/>
      <c r="WSB118" s="418"/>
      <c r="WSC118" s="418"/>
      <c r="WSD118" s="418"/>
      <c r="WSE118" s="418"/>
      <c r="WSF118" s="418"/>
      <c r="WSG118" s="418"/>
      <c r="WSH118" s="418"/>
      <c r="WSI118" s="418"/>
      <c r="WSJ118" s="418"/>
      <c r="WSK118" s="418"/>
      <c r="WSL118" s="418"/>
      <c r="WSM118" s="418"/>
      <c r="WSN118" s="418"/>
      <c r="WSO118" s="418"/>
      <c r="WSP118" s="418"/>
      <c r="WSQ118" s="418"/>
      <c r="WSR118" s="418"/>
      <c r="WSS118" s="418"/>
      <c r="WST118" s="418"/>
      <c r="WSU118" s="418"/>
      <c r="WSV118" s="418"/>
      <c r="WSW118" s="418"/>
      <c r="WSX118" s="418"/>
      <c r="WSY118" s="418"/>
      <c r="WSZ118" s="418"/>
      <c r="WTA118" s="418"/>
      <c r="WTB118" s="418"/>
      <c r="WTC118" s="418"/>
      <c r="WTD118" s="418"/>
      <c r="WTE118" s="418"/>
      <c r="WTF118" s="418"/>
      <c r="WTG118" s="418"/>
      <c r="WTH118" s="418"/>
      <c r="WTI118" s="418"/>
      <c r="WTJ118" s="418"/>
      <c r="WTK118" s="418"/>
      <c r="WTL118" s="418"/>
      <c r="WTM118" s="418"/>
      <c r="WTN118" s="418"/>
      <c r="WTO118" s="418"/>
      <c r="WTP118" s="418"/>
      <c r="WTQ118" s="418"/>
      <c r="WTR118" s="418"/>
      <c r="WTS118" s="418"/>
      <c r="WTT118" s="418"/>
      <c r="WTU118" s="418"/>
      <c r="WTV118" s="418"/>
      <c r="WTW118" s="418"/>
      <c r="WTX118" s="418"/>
      <c r="WTY118" s="418"/>
      <c r="WTZ118" s="418"/>
      <c r="WUA118" s="418"/>
      <c r="WUB118" s="418"/>
      <c r="WUC118" s="418"/>
      <c r="WUD118" s="418"/>
      <c r="WUE118" s="418"/>
      <c r="WUF118" s="418"/>
      <c r="WUG118" s="418"/>
      <c r="WUH118" s="418"/>
      <c r="WUI118" s="418"/>
      <c r="WUJ118" s="418"/>
      <c r="WUK118" s="418"/>
      <c r="WUL118" s="418"/>
      <c r="WUM118" s="418"/>
      <c r="WUN118" s="418"/>
      <c r="WUO118" s="418"/>
      <c r="WUP118" s="418"/>
      <c r="WUQ118" s="418"/>
      <c r="WUR118" s="418"/>
      <c r="WUS118" s="418"/>
      <c r="WUT118" s="418"/>
      <c r="WUU118" s="418"/>
      <c r="WUV118" s="418"/>
      <c r="WUW118" s="418"/>
      <c r="WUX118" s="418"/>
      <c r="WUY118" s="418"/>
      <c r="WUZ118" s="418"/>
      <c r="WVA118" s="418"/>
      <c r="WVB118" s="418"/>
      <c r="WVC118" s="418"/>
      <c r="WVD118" s="418"/>
      <c r="WVE118" s="418"/>
      <c r="WVF118" s="418"/>
      <c r="WVG118" s="418"/>
      <c r="WVH118" s="418"/>
      <c r="WVI118" s="418"/>
      <c r="WVJ118" s="418"/>
      <c r="WVK118" s="418"/>
      <c r="WVL118" s="418"/>
      <c r="WVM118" s="418"/>
      <c r="WVN118" s="418"/>
      <c r="WVO118" s="418"/>
      <c r="WVP118" s="418"/>
      <c r="WVQ118" s="418"/>
      <c r="WVR118" s="418"/>
      <c r="WVS118" s="418"/>
      <c r="WVT118" s="418"/>
      <c r="WVU118" s="418"/>
      <c r="WVV118" s="418"/>
      <c r="WVW118" s="418"/>
      <c r="WVX118" s="418"/>
      <c r="WVY118" s="418"/>
      <c r="WVZ118" s="418"/>
      <c r="WWA118" s="418"/>
      <c r="WWB118" s="418"/>
      <c r="WWC118" s="418"/>
      <c r="WWD118" s="418"/>
      <c r="WWE118" s="418"/>
      <c r="WWF118" s="418"/>
      <c r="WWG118" s="418"/>
      <c r="WWH118" s="418"/>
      <c r="WWI118" s="418"/>
      <c r="WWJ118" s="418"/>
      <c r="WWK118" s="418"/>
      <c r="WWL118" s="418"/>
      <c r="WWM118" s="418"/>
      <c r="WWN118" s="418"/>
      <c r="WWO118" s="418"/>
      <c r="WWP118" s="418"/>
      <c r="WWQ118" s="418"/>
      <c r="WWR118" s="418"/>
      <c r="WWS118" s="418"/>
      <c r="WWT118" s="418"/>
      <c r="WWU118" s="418"/>
      <c r="WWV118" s="418"/>
      <c r="WWW118" s="418"/>
      <c r="WWX118" s="418"/>
      <c r="WWY118" s="418"/>
      <c r="WWZ118" s="418"/>
      <c r="WXA118" s="418"/>
      <c r="WXB118" s="418"/>
      <c r="WXC118" s="418"/>
      <c r="WXD118" s="418"/>
      <c r="WXE118" s="418"/>
      <c r="WXF118" s="418"/>
      <c r="WXG118" s="418"/>
      <c r="WXH118" s="418"/>
      <c r="WXI118" s="418"/>
      <c r="WXJ118" s="418"/>
      <c r="WXK118" s="418"/>
      <c r="WXL118" s="418"/>
      <c r="WXM118" s="418"/>
      <c r="WXN118" s="418"/>
      <c r="WXO118" s="418"/>
      <c r="WXP118" s="418"/>
      <c r="WXQ118" s="418"/>
      <c r="WXR118" s="418"/>
      <c r="WXS118" s="418"/>
      <c r="WXT118" s="418"/>
      <c r="WXU118" s="418"/>
      <c r="WXV118" s="418"/>
      <c r="WXW118" s="418"/>
      <c r="WXX118" s="418"/>
      <c r="WXY118" s="418"/>
      <c r="WXZ118" s="418"/>
      <c r="WYA118" s="418"/>
      <c r="WYB118" s="418"/>
      <c r="WYC118" s="418"/>
      <c r="WYD118" s="418"/>
      <c r="WYE118" s="418"/>
      <c r="WYF118" s="418"/>
      <c r="WYG118" s="418"/>
      <c r="WYH118" s="418"/>
      <c r="WYI118" s="418"/>
      <c r="WYJ118" s="418"/>
      <c r="WYK118" s="418"/>
      <c r="WYL118" s="418"/>
      <c r="WYM118" s="418"/>
      <c r="WYN118" s="418"/>
      <c r="WYO118" s="418"/>
      <c r="WYP118" s="418"/>
      <c r="WYQ118" s="418"/>
      <c r="WYR118" s="418"/>
      <c r="WYS118" s="418"/>
      <c r="WYT118" s="418"/>
      <c r="WYU118" s="418"/>
      <c r="WYV118" s="418"/>
      <c r="WYW118" s="418"/>
      <c r="WYX118" s="418"/>
      <c r="WYY118" s="418"/>
      <c r="WYZ118" s="418"/>
      <c r="WZA118" s="418"/>
      <c r="WZB118" s="418"/>
      <c r="WZC118" s="418"/>
      <c r="WZD118" s="418"/>
      <c r="WZE118" s="418"/>
      <c r="WZF118" s="418"/>
      <c r="WZG118" s="418"/>
      <c r="WZH118" s="418"/>
      <c r="WZI118" s="418"/>
      <c r="WZJ118" s="418"/>
      <c r="WZK118" s="418"/>
      <c r="WZL118" s="418"/>
      <c r="WZM118" s="418"/>
      <c r="WZN118" s="418"/>
      <c r="WZO118" s="418"/>
      <c r="WZP118" s="418"/>
      <c r="WZQ118" s="418"/>
      <c r="WZR118" s="418"/>
      <c r="WZS118" s="418"/>
      <c r="WZT118" s="418"/>
      <c r="WZU118" s="418"/>
      <c r="WZV118" s="418"/>
      <c r="WZW118" s="418"/>
      <c r="WZX118" s="418"/>
      <c r="WZY118" s="418"/>
      <c r="WZZ118" s="418"/>
      <c r="XAA118" s="418"/>
      <c r="XAB118" s="418"/>
      <c r="XAC118" s="418"/>
      <c r="XAD118" s="418"/>
      <c r="XAE118" s="418"/>
      <c r="XAF118" s="418"/>
      <c r="XAG118" s="418"/>
      <c r="XAH118" s="418"/>
      <c r="XAI118" s="418"/>
      <c r="XAJ118" s="418"/>
      <c r="XAK118" s="418"/>
      <c r="XAL118" s="418"/>
      <c r="XAM118" s="418"/>
      <c r="XAN118" s="418"/>
      <c r="XAO118" s="418"/>
      <c r="XAP118" s="418"/>
      <c r="XAQ118" s="418"/>
      <c r="XAR118" s="418"/>
      <c r="XAS118" s="418"/>
      <c r="XAT118" s="418"/>
      <c r="XAU118" s="418"/>
      <c r="XAV118" s="418"/>
      <c r="XAW118" s="418"/>
      <c r="XAX118" s="418"/>
      <c r="XAY118" s="418"/>
      <c r="XAZ118" s="418"/>
      <c r="XBA118" s="418"/>
      <c r="XBB118" s="418"/>
      <c r="XBC118" s="418"/>
      <c r="XBD118" s="418"/>
      <c r="XBE118" s="418"/>
      <c r="XBF118" s="418"/>
      <c r="XBG118" s="418"/>
      <c r="XBH118" s="418"/>
      <c r="XBI118" s="418"/>
      <c r="XBJ118" s="418"/>
      <c r="XBK118" s="418"/>
      <c r="XBL118" s="418"/>
      <c r="XBM118" s="418"/>
      <c r="XBN118" s="418"/>
      <c r="XBO118" s="418"/>
      <c r="XBP118" s="418"/>
      <c r="XBQ118" s="418"/>
      <c r="XBR118" s="418"/>
      <c r="XBS118" s="418"/>
      <c r="XBT118" s="418"/>
      <c r="XBU118" s="418"/>
      <c r="XBV118" s="418"/>
      <c r="XBW118" s="418"/>
      <c r="XBX118" s="418"/>
      <c r="XBY118" s="418"/>
      <c r="XBZ118" s="418"/>
      <c r="XCA118" s="418"/>
      <c r="XCB118" s="418"/>
      <c r="XCC118" s="418"/>
      <c r="XCD118" s="418"/>
      <c r="XCE118" s="418"/>
      <c r="XCF118" s="418"/>
      <c r="XCG118" s="418"/>
      <c r="XCH118" s="418"/>
      <c r="XCI118" s="418"/>
      <c r="XCJ118" s="418"/>
      <c r="XCK118" s="418"/>
      <c r="XCL118" s="418"/>
      <c r="XCM118" s="418"/>
      <c r="XCN118" s="418"/>
      <c r="XCO118" s="418"/>
      <c r="XCP118" s="418"/>
      <c r="XCQ118" s="418"/>
      <c r="XCR118" s="418"/>
      <c r="XCS118" s="418"/>
      <c r="XCT118" s="418"/>
      <c r="XCU118" s="418"/>
      <c r="XCV118" s="418"/>
      <c r="XCW118" s="418"/>
      <c r="XCX118" s="418"/>
      <c r="XCY118" s="418"/>
      <c r="XCZ118" s="418"/>
      <c r="XDA118" s="418"/>
      <c r="XDB118" s="418"/>
      <c r="XDC118" s="418"/>
      <c r="XDD118" s="418"/>
      <c r="XDE118" s="418"/>
      <c r="XDF118" s="418"/>
      <c r="XDG118" s="418"/>
      <c r="XDH118" s="418"/>
      <c r="XDI118" s="418"/>
      <c r="XDJ118" s="418"/>
      <c r="XDK118" s="418"/>
      <c r="XDL118" s="418"/>
      <c r="XDM118" s="418"/>
      <c r="XDN118" s="418"/>
      <c r="XDO118" s="418"/>
      <c r="XDP118" s="418"/>
      <c r="XDQ118" s="418"/>
      <c r="XDR118" s="418"/>
      <c r="XDS118" s="418"/>
      <c r="XDT118" s="418"/>
      <c r="XDU118" s="418"/>
      <c r="XDV118" s="418"/>
      <c r="XDW118" s="418"/>
      <c r="XDX118" s="418"/>
      <c r="XDY118" s="418"/>
      <c r="XDZ118" s="418"/>
      <c r="XEA118" s="418"/>
      <c r="XEB118" s="418"/>
      <c r="XEC118" s="418"/>
      <c r="XED118" s="418"/>
      <c r="XEE118" s="418"/>
      <c r="XEF118" s="418"/>
      <c r="XEG118" s="418"/>
      <c r="XEH118" s="418"/>
      <c r="XEI118" s="418"/>
      <c r="XEJ118" s="418"/>
      <c r="XEK118" s="418"/>
      <c r="XEL118" s="418"/>
      <c r="XEM118" s="418"/>
      <c r="XEN118" s="418"/>
      <c r="XEO118" s="418"/>
      <c r="XEP118" s="418"/>
      <c r="XEQ118" s="418"/>
      <c r="XER118" s="418"/>
      <c r="XES118" s="418"/>
      <c r="XET118" s="418"/>
      <c r="XEU118" s="418"/>
      <c r="XEV118" s="418"/>
      <c r="XEW118" s="418"/>
      <c r="XEX118" s="418"/>
      <c r="XEY118" s="418"/>
      <c r="XEZ118" s="418"/>
      <c r="XFA118" s="418"/>
      <c r="XFB118" s="418"/>
      <c r="XFC118" s="418"/>
      <c r="XFD118" s="448"/>
    </row>
    <row r="119" spans="1:16384" s="58" customFormat="1" ht="15" hidden="1" customHeight="1">
      <c r="A119" s="560" t="s">
        <v>363</v>
      </c>
      <c r="B119" s="114" t="s">
        <v>531</v>
      </c>
      <c r="C119" s="114"/>
      <c r="D119" s="119"/>
      <c r="E119" s="121">
        <v>3072.18</v>
      </c>
      <c r="F119" s="350">
        <v>46310</v>
      </c>
      <c r="G119" s="350">
        <v>46310</v>
      </c>
      <c r="H119" s="125" t="s">
        <v>19</v>
      </c>
      <c r="I119" s="70"/>
      <c r="J119" s="565"/>
      <c r="K119" s="566"/>
      <c r="L119" s="427"/>
      <c r="M119" s="126"/>
      <c r="N119" s="403"/>
      <c r="O119" s="403"/>
      <c r="P119" s="70"/>
      <c r="Q119" s="404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</row>
    <row r="120" spans="1:16384" s="58" customFormat="1" ht="15" hidden="1" customHeight="1">
      <c r="A120" s="560" t="s">
        <v>363</v>
      </c>
      <c r="B120" s="114" t="s">
        <v>532</v>
      </c>
      <c r="C120" s="114"/>
      <c r="D120" s="119"/>
      <c r="E120" s="121">
        <v>3629.13</v>
      </c>
      <c r="F120" s="350">
        <v>46311</v>
      </c>
      <c r="G120" s="350">
        <v>46311</v>
      </c>
      <c r="H120" s="125" t="s">
        <v>19</v>
      </c>
      <c r="I120" s="70"/>
      <c r="J120" s="565"/>
      <c r="K120" s="566"/>
      <c r="L120" s="427"/>
      <c r="M120" s="560"/>
      <c r="N120" s="403"/>
      <c r="O120" s="403"/>
      <c r="P120" s="70"/>
      <c r="Q120" s="404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</row>
    <row r="121" spans="1:16384" s="58" customFormat="1" ht="15" hidden="1" customHeight="1">
      <c r="A121" s="560" t="s">
        <v>363</v>
      </c>
      <c r="B121" s="114" t="s">
        <v>533</v>
      </c>
      <c r="C121" s="114"/>
      <c r="D121" s="119"/>
      <c r="E121" s="121">
        <v>3737.84</v>
      </c>
      <c r="F121" s="350">
        <v>46311</v>
      </c>
      <c r="G121" s="350">
        <v>46311</v>
      </c>
      <c r="H121" s="125" t="s">
        <v>19</v>
      </c>
      <c r="I121" s="70"/>
      <c r="J121" s="565" t="s">
        <v>534</v>
      </c>
      <c r="K121" s="566"/>
      <c r="L121" s="427"/>
      <c r="M121" s="113"/>
      <c r="N121" s="403"/>
      <c r="O121" s="403"/>
      <c r="P121" s="70"/>
      <c r="Q121" s="404"/>
      <c r="R121" s="404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</row>
    <row r="122" spans="1:16384" s="58" customFormat="1" ht="15" hidden="1" customHeight="1">
      <c r="A122" s="560" t="s">
        <v>363</v>
      </c>
      <c r="B122" s="114" t="s">
        <v>528</v>
      </c>
      <c r="C122" s="114"/>
      <c r="D122" s="119"/>
      <c r="E122" s="121">
        <v>2811.75</v>
      </c>
      <c r="F122" s="350">
        <v>46311</v>
      </c>
      <c r="G122" s="350">
        <v>46311</v>
      </c>
      <c r="H122" s="125" t="s">
        <v>19</v>
      </c>
      <c r="I122" s="70"/>
      <c r="J122" s="565"/>
      <c r="K122" s="566"/>
      <c r="L122" s="484"/>
      <c r="M122" s="108"/>
      <c r="N122" s="403"/>
      <c r="O122" s="70"/>
      <c r="P122" s="404"/>
      <c r="Q122" s="404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XFD122" s="448"/>
    </row>
    <row r="123" spans="1:16384" s="58" customFormat="1" ht="15" hidden="1" customHeight="1">
      <c r="A123" s="560" t="s">
        <v>363</v>
      </c>
      <c r="B123" s="114" t="s">
        <v>535</v>
      </c>
      <c r="C123" s="114"/>
      <c r="D123" s="119"/>
      <c r="E123" s="121">
        <v>3098.69</v>
      </c>
      <c r="F123" s="350">
        <v>46311</v>
      </c>
      <c r="G123" s="350">
        <v>46311</v>
      </c>
      <c r="H123" s="125" t="s">
        <v>19</v>
      </c>
      <c r="I123" s="70"/>
      <c r="J123" s="572"/>
      <c r="K123" s="564"/>
      <c r="L123" s="484"/>
      <c r="M123" s="108"/>
      <c r="N123" s="403"/>
      <c r="O123" s="70"/>
      <c r="P123" s="404"/>
      <c r="Q123" s="404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XFD123" s="448"/>
    </row>
    <row r="124" spans="1:16384" s="58" customFormat="1" ht="15" hidden="1" customHeight="1">
      <c r="A124" s="560" t="s">
        <v>363</v>
      </c>
      <c r="B124" s="111" t="s">
        <v>536</v>
      </c>
      <c r="C124" s="111"/>
      <c r="D124" s="119"/>
      <c r="E124" s="121">
        <v>1048.5</v>
      </c>
      <c r="F124" s="125">
        <v>46314</v>
      </c>
      <c r="G124" s="125">
        <v>46314</v>
      </c>
      <c r="H124" s="125" t="s">
        <v>19</v>
      </c>
      <c r="I124" s="70"/>
      <c r="J124" s="563"/>
      <c r="K124" s="564"/>
      <c r="L124" s="427"/>
      <c r="M124" s="113"/>
      <c r="N124" s="403"/>
      <c r="O124" s="403"/>
      <c r="P124" s="70"/>
      <c r="Q124" s="404"/>
      <c r="R124" s="404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</row>
    <row r="125" spans="1:16384" s="58" customFormat="1" ht="15" hidden="1" customHeight="1">
      <c r="A125" s="560" t="s">
        <v>363</v>
      </c>
      <c r="B125" s="111" t="s">
        <v>537</v>
      </c>
      <c r="C125" s="111"/>
      <c r="D125" s="119"/>
      <c r="E125" s="121">
        <v>1398</v>
      </c>
      <c r="F125" s="125">
        <v>46314</v>
      </c>
      <c r="G125" s="125">
        <v>46314</v>
      </c>
      <c r="H125" s="125" t="s">
        <v>19</v>
      </c>
      <c r="I125" s="487"/>
      <c r="J125" s="565" t="s">
        <v>538</v>
      </c>
      <c r="K125" s="566"/>
      <c r="L125" s="490"/>
      <c r="M125" s="126"/>
      <c r="N125" s="403"/>
      <c r="O125" s="70"/>
      <c r="P125" s="404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XFD125" s="448"/>
    </row>
    <row r="126" spans="1:16384" s="58" customFormat="1" ht="15" hidden="1" customHeight="1">
      <c r="A126" s="560" t="s">
        <v>363</v>
      </c>
      <c r="B126" s="111" t="s">
        <v>528</v>
      </c>
      <c r="C126" s="111"/>
      <c r="D126" s="119"/>
      <c r="E126" s="121">
        <v>68.430000000000007</v>
      </c>
      <c r="F126" s="125">
        <v>46314</v>
      </c>
      <c r="G126" s="125">
        <v>46314</v>
      </c>
      <c r="H126" s="125" t="s">
        <v>19</v>
      </c>
      <c r="I126" s="487"/>
      <c r="J126" s="565" t="s">
        <v>538</v>
      </c>
      <c r="K126" s="566"/>
      <c r="L126" s="490"/>
      <c r="M126" s="126"/>
      <c r="N126" s="403"/>
      <c r="O126" s="70"/>
      <c r="P126" s="404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XFD126" s="448"/>
    </row>
    <row r="127" spans="1:16384" s="58" customFormat="1" ht="15" hidden="1" customHeight="1">
      <c r="A127" s="560" t="s">
        <v>363</v>
      </c>
      <c r="B127" s="111" t="s">
        <v>527</v>
      </c>
      <c r="C127" s="111"/>
      <c r="D127" s="119"/>
      <c r="E127" s="121">
        <v>2796</v>
      </c>
      <c r="F127" s="125">
        <v>46314</v>
      </c>
      <c r="G127" s="125">
        <v>46314</v>
      </c>
      <c r="H127" s="125" t="s">
        <v>19</v>
      </c>
      <c r="I127" s="491"/>
      <c r="J127" s="563"/>
      <c r="K127" s="566"/>
      <c r="L127" s="490"/>
      <c r="M127" s="108" t="s">
        <v>539</v>
      </c>
      <c r="N127" s="70"/>
      <c r="O127" s="404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XFC127" s="448"/>
      <c r="XFD127" s="138"/>
    </row>
    <row r="128" spans="1:16384" s="58" customFormat="1" ht="15" hidden="1" customHeight="1">
      <c r="A128" s="560" t="s">
        <v>363</v>
      </c>
      <c r="B128" s="114" t="s">
        <v>540</v>
      </c>
      <c r="C128" s="439"/>
      <c r="D128" s="119"/>
      <c r="E128" s="121" t="s">
        <v>541</v>
      </c>
      <c r="F128" s="125">
        <v>46336</v>
      </c>
      <c r="G128" s="350"/>
      <c r="H128" s="125"/>
      <c r="I128" s="487"/>
      <c r="J128" s="563"/>
      <c r="K128" s="566"/>
      <c r="L128" s="490"/>
      <c r="M128" s="126" t="s">
        <v>539</v>
      </c>
      <c r="N128" s="403"/>
      <c r="O128" s="70"/>
      <c r="P128" s="404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XFD128" s="448"/>
    </row>
    <row r="129" spans="1:16384" s="58" customFormat="1" ht="15" hidden="1" customHeight="1">
      <c r="A129" s="560" t="s">
        <v>363</v>
      </c>
      <c r="B129" s="114" t="s">
        <v>529</v>
      </c>
      <c r="C129" s="439"/>
      <c r="D129" s="119"/>
      <c r="E129" s="121" t="s">
        <v>541</v>
      </c>
      <c r="F129" s="125">
        <v>46351</v>
      </c>
      <c r="G129" s="350"/>
      <c r="H129" s="125"/>
      <c r="I129" s="487"/>
      <c r="J129" s="563"/>
      <c r="K129" s="566"/>
      <c r="L129" s="490"/>
      <c r="M129" s="126" t="s">
        <v>542</v>
      </c>
      <c r="N129" s="403"/>
      <c r="O129" s="70"/>
      <c r="P129" s="404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XFD129" s="448"/>
    </row>
    <row r="130" spans="1:16384" s="58" customFormat="1" ht="15" hidden="1" customHeight="1">
      <c r="A130" s="560" t="s">
        <v>363</v>
      </c>
      <c r="B130" s="111" t="s">
        <v>543</v>
      </c>
      <c r="C130" s="111"/>
      <c r="D130" s="119"/>
      <c r="E130" s="121">
        <v>2933.62</v>
      </c>
      <c r="F130" s="125">
        <v>46315</v>
      </c>
      <c r="G130" s="125">
        <v>46315</v>
      </c>
      <c r="H130" s="125" t="s">
        <v>19</v>
      </c>
      <c r="I130" s="491"/>
      <c r="J130" s="565"/>
      <c r="K130" s="566"/>
      <c r="L130" s="490"/>
      <c r="M130" s="108" t="s">
        <v>539</v>
      </c>
      <c r="N130" s="70"/>
      <c r="O130" s="404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XFC130" s="448"/>
      <c r="XFD130" s="138"/>
    </row>
    <row r="131" spans="1:16384" s="58" customFormat="1" ht="15" hidden="1" customHeight="1">
      <c r="A131" s="560" t="s">
        <v>363</v>
      </c>
      <c r="B131" s="111" t="s">
        <v>506</v>
      </c>
      <c r="C131" s="111"/>
      <c r="D131" s="119"/>
      <c r="E131" s="121">
        <v>3716.84</v>
      </c>
      <c r="F131" s="125">
        <v>46315</v>
      </c>
      <c r="G131" s="125">
        <v>46315</v>
      </c>
      <c r="H131" s="125" t="s">
        <v>19</v>
      </c>
      <c r="I131" s="70"/>
      <c r="J131" s="563"/>
      <c r="K131" s="566"/>
      <c r="L131" s="419"/>
      <c r="M131" s="108"/>
      <c r="N131" s="404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XFB131" s="448"/>
      <c r="XFC131" s="138"/>
      <c r="XFD131" s="139"/>
    </row>
    <row r="132" spans="1:16384" s="58" customFormat="1" ht="15" hidden="1" customHeight="1">
      <c r="A132" s="560" t="s">
        <v>363</v>
      </c>
      <c r="B132" s="111" t="s">
        <v>544</v>
      </c>
      <c r="C132" s="111"/>
      <c r="D132" s="119"/>
      <c r="E132" s="121">
        <v>4092.82</v>
      </c>
      <c r="F132" s="125">
        <v>46315</v>
      </c>
      <c r="G132" s="125">
        <v>46315</v>
      </c>
      <c r="H132" s="125" t="s">
        <v>19</v>
      </c>
      <c r="I132" s="70"/>
      <c r="J132" s="532"/>
      <c r="K132" s="559"/>
      <c r="L132" s="419"/>
      <c r="M132" s="108"/>
      <c r="N132" s="404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XFC132" s="138"/>
      <c r="XFD132" s="139"/>
    </row>
    <row r="133" spans="1:16384" s="58" customFormat="1" ht="15" hidden="1" customHeight="1">
      <c r="A133" s="560" t="s">
        <v>363</v>
      </c>
      <c r="B133" s="111" t="s">
        <v>545</v>
      </c>
      <c r="C133" s="111"/>
      <c r="D133" s="119"/>
      <c r="E133" s="121">
        <v>977.83</v>
      </c>
      <c r="F133" s="125">
        <v>46315</v>
      </c>
      <c r="G133" s="125">
        <v>46315</v>
      </c>
      <c r="H133" s="125" t="s">
        <v>19</v>
      </c>
      <c r="I133" s="70"/>
      <c r="J133" s="532"/>
      <c r="K133" s="559"/>
      <c r="L133" s="419"/>
      <c r="M133" s="108"/>
      <c r="N133" s="404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XFC133" s="138"/>
      <c r="XFD133" s="139"/>
    </row>
    <row r="134" spans="1:16384" s="58" customFormat="1" ht="15" hidden="1" customHeight="1">
      <c r="A134" s="560" t="s">
        <v>363</v>
      </c>
      <c r="B134" s="111" t="s">
        <v>546</v>
      </c>
      <c r="C134" s="111"/>
      <c r="D134" s="119"/>
      <c r="E134" s="121">
        <v>5550.69</v>
      </c>
      <c r="F134" s="125">
        <v>46315</v>
      </c>
      <c r="G134" s="125">
        <v>46315</v>
      </c>
      <c r="H134" s="125" t="s">
        <v>19</v>
      </c>
      <c r="I134" s="70"/>
      <c r="J134" s="532"/>
      <c r="K134" s="559"/>
      <c r="L134" s="419"/>
      <c r="M134" s="108"/>
      <c r="N134" s="404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XFC134" s="138"/>
      <c r="XFD134" s="139"/>
    </row>
    <row r="135" spans="1:16384" s="58" customFormat="1" ht="15" hidden="1" customHeight="1">
      <c r="A135" s="560" t="s">
        <v>363</v>
      </c>
      <c r="B135" s="114" t="s">
        <v>547</v>
      </c>
      <c r="C135" s="114"/>
      <c r="D135" s="119"/>
      <c r="E135" s="121">
        <v>3620.13</v>
      </c>
      <c r="F135" s="125" t="s">
        <v>548</v>
      </c>
      <c r="G135" s="350" t="s">
        <v>548</v>
      </c>
      <c r="H135" s="125" t="s">
        <v>19</v>
      </c>
      <c r="I135" s="491"/>
      <c r="J135" s="563"/>
      <c r="K135" s="566"/>
      <c r="L135" s="490"/>
      <c r="M135" s="108"/>
      <c r="N135" s="70"/>
      <c r="O135" s="404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XFC135" s="448"/>
      <c r="XFD135" s="492"/>
    </row>
    <row r="136" spans="1:16384" s="422" customFormat="1" ht="15" hidden="1" customHeight="1">
      <c r="A136" s="560" t="s">
        <v>363</v>
      </c>
      <c r="B136" s="114" t="s">
        <v>549</v>
      </c>
      <c r="C136" s="114"/>
      <c r="D136" s="119"/>
      <c r="E136" s="121">
        <v>3258.95</v>
      </c>
      <c r="F136" s="125" t="s">
        <v>548</v>
      </c>
      <c r="G136" s="350" t="s">
        <v>548</v>
      </c>
      <c r="H136" s="125" t="s">
        <v>19</v>
      </c>
      <c r="I136" s="493"/>
      <c r="J136" s="563"/>
      <c r="K136" s="566"/>
      <c r="L136" s="490"/>
      <c r="M136" s="126"/>
      <c r="N136" s="420"/>
      <c r="O136" s="85"/>
      <c r="P136" s="421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XFD136" s="492"/>
    </row>
    <row r="137" spans="1:16384" s="58" customFormat="1" ht="15" hidden="1" customHeight="1">
      <c r="A137" s="560" t="s">
        <v>363</v>
      </c>
      <c r="B137" s="114" t="s">
        <v>550</v>
      </c>
      <c r="C137" s="114"/>
      <c r="D137" s="119"/>
      <c r="E137" s="121">
        <v>4160.04</v>
      </c>
      <c r="F137" s="125" t="s">
        <v>548</v>
      </c>
      <c r="G137" s="350" t="s">
        <v>548</v>
      </c>
      <c r="H137" s="125" t="s">
        <v>19</v>
      </c>
      <c r="I137" s="494"/>
      <c r="J137" s="563" t="s">
        <v>395</v>
      </c>
      <c r="K137" s="564"/>
      <c r="L137" s="490"/>
      <c r="M137" s="495"/>
      <c r="N137" s="85"/>
      <c r="O137" s="421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422"/>
      <c r="AL137" s="422"/>
      <c r="AM137" s="422"/>
      <c r="AN137" s="422"/>
      <c r="AO137" s="422"/>
      <c r="AP137" s="422"/>
      <c r="AQ137" s="422"/>
      <c r="AR137" s="422"/>
      <c r="AS137" s="422"/>
      <c r="AT137" s="422"/>
      <c r="AU137" s="422"/>
      <c r="AV137" s="422"/>
      <c r="AW137" s="422"/>
      <c r="AX137" s="422"/>
      <c r="AY137" s="422"/>
      <c r="AZ137" s="422"/>
      <c r="BA137" s="422"/>
      <c r="BB137" s="422"/>
      <c r="BC137" s="422"/>
      <c r="BD137" s="422"/>
      <c r="BE137" s="422"/>
      <c r="BF137" s="422"/>
      <c r="BG137" s="422"/>
      <c r="BH137" s="422"/>
      <c r="BI137" s="422"/>
      <c r="BJ137" s="422"/>
      <c r="BK137" s="422"/>
      <c r="BL137" s="422"/>
      <c r="BM137" s="422"/>
      <c r="BN137" s="422"/>
      <c r="BO137" s="422"/>
      <c r="BP137" s="422"/>
      <c r="BQ137" s="422"/>
      <c r="BR137" s="422"/>
      <c r="BS137" s="422"/>
      <c r="BT137" s="422"/>
      <c r="BU137" s="422"/>
      <c r="BV137" s="422"/>
      <c r="BW137" s="422"/>
      <c r="BX137" s="422"/>
      <c r="BY137" s="422"/>
      <c r="BZ137" s="422"/>
      <c r="CA137" s="422"/>
      <c r="CB137" s="422"/>
      <c r="CC137" s="422"/>
      <c r="CD137" s="422"/>
      <c r="CE137" s="422"/>
      <c r="CF137" s="422"/>
      <c r="CG137" s="422"/>
      <c r="CH137" s="422"/>
      <c r="CI137" s="422"/>
      <c r="CJ137" s="422"/>
      <c r="CK137" s="422"/>
      <c r="CL137" s="422"/>
      <c r="CM137" s="422"/>
      <c r="CN137" s="422"/>
      <c r="CO137" s="422"/>
      <c r="CP137" s="422"/>
      <c r="CQ137" s="422"/>
      <c r="CR137" s="422"/>
      <c r="CS137" s="422"/>
      <c r="CT137" s="422"/>
      <c r="CU137" s="422"/>
      <c r="CV137" s="422"/>
      <c r="CW137" s="422"/>
      <c r="CX137" s="422"/>
      <c r="CY137" s="422"/>
      <c r="CZ137" s="422"/>
      <c r="DA137" s="422"/>
      <c r="DB137" s="422"/>
      <c r="DC137" s="422"/>
      <c r="DD137" s="422"/>
      <c r="DE137" s="422"/>
      <c r="DF137" s="422"/>
      <c r="DG137" s="422"/>
      <c r="DH137" s="422"/>
      <c r="DI137" s="422"/>
      <c r="DJ137" s="422"/>
      <c r="DK137" s="422"/>
      <c r="DL137" s="422"/>
      <c r="DM137" s="422"/>
      <c r="DN137" s="422"/>
      <c r="DO137" s="422"/>
      <c r="DP137" s="422"/>
      <c r="DQ137" s="422"/>
      <c r="DR137" s="422"/>
      <c r="DS137" s="422"/>
      <c r="DT137" s="422"/>
      <c r="DU137" s="422"/>
      <c r="DV137" s="422"/>
      <c r="DW137" s="422"/>
      <c r="DX137" s="422"/>
      <c r="DY137" s="422"/>
      <c r="DZ137" s="422"/>
      <c r="EA137" s="422"/>
      <c r="EB137" s="422"/>
      <c r="EC137" s="422"/>
      <c r="ED137" s="422"/>
      <c r="EE137" s="422"/>
      <c r="EF137" s="422"/>
      <c r="EG137" s="422"/>
      <c r="EH137" s="422"/>
      <c r="EI137" s="422"/>
      <c r="EJ137" s="422"/>
      <c r="EK137" s="422"/>
      <c r="EL137" s="422"/>
      <c r="EM137" s="422"/>
      <c r="EN137" s="422"/>
      <c r="EO137" s="422"/>
      <c r="EP137" s="422"/>
      <c r="EQ137" s="422"/>
      <c r="ER137" s="422"/>
      <c r="ES137" s="422"/>
      <c r="ET137" s="422"/>
      <c r="EU137" s="422"/>
      <c r="EV137" s="422"/>
      <c r="EW137" s="422"/>
      <c r="EX137" s="422"/>
      <c r="EY137" s="422"/>
      <c r="EZ137" s="422"/>
      <c r="FA137" s="422"/>
      <c r="FB137" s="422"/>
      <c r="FC137" s="422"/>
      <c r="FD137" s="422"/>
      <c r="FE137" s="422"/>
      <c r="FF137" s="422"/>
      <c r="FG137" s="422"/>
      <c r="FH137" s="422"/>
      <c r="FI137" s="422"/>
      <c r="FJ137" s="422"/>
      <c r="FK137" s="422"/>
      <c r="FL137" s="422"/>
      <c r="FM137" s="422"/>
      <c r="FN137" s="422"/>
      <c r="FO137" s="422"/>
      <c r="FP137" s="422"/>
      <c r="FQ137" s="422"/>
      <c r="FR137" s="422"/>
      <c r="FS137" s="422"/>
      <c r="FT137" s="422"/>
      <c r="FU137" s="422"/>
      <c r="FV137" s="422"/>
      <c r="FW137" s="422"/>
      <c r="FX137" s="422"/>
      <c r="FY137" s="422"/>
      <c r="FZ137" s="422"/>
      <c r="GA137" s="422"/>
      <c r="GB137" s="422"/>
      <c r="GC137" s="422"/>
      <c r="GD137" s="422"/>
      <c r="GE137" s="422"/>
      <c r="GF137" s="422"/>
      <c r="GG137" s="422"/>
      <c r="GH137" s="422"/>
      <c r="GI137" s="422"/>
      <c r="GJ137" s="422"/>
      <c r="GK137" s="422"/>
      <c r="GL137" s="422"/>
      <c r="GM137" s="422"/>
      <c r="GN137" s="422"/>
      <c r="GO137" s="422"/>
      <c r="GP137" s="422"/>
      <c r="GQ137" s="422"/>
      <c r="GR137" s="422"/>
      <c r="GS137" s="422"/>
      <c r="GT137" s="422"/>
      <c r="GU137" s="422"/>
      <c r="GV137" s="422"/>
      <c r="GW137" s="422"/>
      <c r="GX137" s="422"/>
      <c r="GY137" s="422"/>
      <c r="GZ137" s="422"/>
      <c r="HA137" s="422"/>
      <c r="HB137" s="422"/>
      <c r="HC137" s="422"/>
      <c r="HD137" s="422"/>
      <c r="HE137" s="422"/>
      <c r="HF137" s="422"/>
      <c r="HG137" s="422"/>
      <c r="HH137" s="422"/>
      <c r="HI137" s="422"/>
      <c r="HJ137" s="422"/>
      <c r="HK137" s="422"/>
      <c r="HL137" s="422"/>
      <c r="HM137" s="422"/>
      <c r="HN137" s="422"/>
      <c r="HO137" s="422"/>
      <c r="HP137" s="422"/>
      <c r="HQ137" s="422"/>
      <c r="HR137" s="422"/>
      <c r="HS137" s="422"/>
      <c r="HT137" s="422"/>
      <c r="HU137" s="422"/>
      <c r="HV137" s="422"/>
      <c r="HW137" s="422"/>
      <c r="HX137" s="422"/>
      <c r="HY137" s="422"/>
      <c r="HZ137" s="422"/>
      <c r="IA137" s="422"/>
      <c r="IB137" s="422"/>
      <c r="IC137" s="422"/>
      <c r="ID137" s="422"/>
      <c r="IE137" s="422"/>
      <c r="IF137" s="422"/>
      <c r="IG137" s="422"/>
      <c r="IH137" s="422"/>
      <c r="II137" s="422"/>
      <c r="IJ137" s="422"/>
      <c r="IK137" s="422"/>
      <c r="IL137" s="422"/>
      <c r="IM137" s="422"/>
      <c r="IN137" s="422"/>
      <c r="IO137" s="422"/>
      <c r="IP137" s="422"/>
      <c r="IQ137" s="422"/>
      <c r="IR137" s="422"/>
      <c r="IS137" s="422"/>
      <c r="IT137" s="422"/>
      <c r="IU137" s="422"/>
      <c r="IV137" s="422"/>
      <c r="IW137" s="422"/>
      <c r="IX137" s="422"/>
      <c r="IY137" s="422"/>
      <c r="IZ137" s="422"/>
      <c r="JA137" s="422"/>
      <c r="JB137" s="422"/>
      <c r="JC137" s="422"/>
      <c r="JD137" s="422"/>
      <c r="JE137" s="422"/>
      <c r="JF137" s="422"/>
      <c r="JG137" s="422"/>
      <c r="JH137" s="422"/>
      <c r="JI137" s="422"/>
      <c r="JJ137" s="422"/>
      <c r="JK137" s="422"/>
      <c r="JL137" s="422"/>
      <c r="JM137" s="422"/>
      <c r="JN137" s="422"/>
      <c r="JO137" s="422"/>
      <c r="JP137" s="422"/>
      <c r="JQ137" s="422"/>
      <c r="JR137" s="422"/>
      <c r="JS137" s="422"/>
      <c r="JT137" s="422"/>
      <c r="JU137" s="422"/>
      <c r="JV137" s="422"/>
      <c r="JW137" s="422"/>
      <c r="JX137" s="422"/>
      <c r="JY137" s="422"/>
      <c r="JZ137" s="422"/>
      <c r="KA137" s="422"/>
      <c r="KB137" s="422"/>
      <c r="KC137" s="422"/>
      <c r="KD137" s="422"/>
      <c r="KE137" s="422"/>
      <c r="KF137" s="422"/>
      <c r="KG137" s="422"/>
      <c r="KH137" s="422"/>
      <c r="KI137" s="422"/>
      <c r="KJ137" s="422"/>
      <c r="KK137" s="422"/>
      <c r="KL137" s="422"/>
      <c r="KM137" s="422"/>
      <c r="KN137" s="422"/>
      <c r="KO137" s="422"/>
      <c r="KP137" s="422"/>
      <c r="KQ137" s="422"/>
      <c r="KR137" s="422"/>
      <c r="KS137" s="422"/>
      <c r="KT137" s="422"/>
      <c r="KU137" s="422"/>
      <c r="KV137" s="422"/>
      <c r="KW137" s="422"/>
      <c r="KX137" s="422"/>
      <c r="KY137" s="422"/>
      <c r="KZ137" s="422"/>
      <c r="LA137" s="422"/>
      <c r="LB137" s="422"/>
      <c r="LC137" s="422"/>
      <c r="LD137" s="422"/>
      <c r="LE137" s="422"/>
      <c r="LF137" s="422"/>
      <c r="LG137" s="422"/>
      <c r="LH137" s="422"/>
      <c r="LI137" s="422"/>
      <c r="LJ137" s="422"/>
      <c r="LK137" s="422"/>
      <c r="LL137" s="422"/>
      <c r="LM137" s="422"/>
      <c r="LN137" s="422"/>
      <c r="LO137" s="422"/>
      <c r="LP137" s="422"/>
      <c r="LQ137" s="422"/>
      <c r="LR137" s="422"/>
      <c r="LS137" s="422"/>
      <c r="LT137" s="422"/>
      <c r="LU137" s="422"/>
      <c r="LV137" s="422"/>
      <c r="LW137" s="422"/>
      <c r="LX137" s="422"/>
      <c r="LY137" s="422"/>
      <c r="LZ137" s="422"/>
      <c r="MA137" s="422"/>
      <c r="MB137" s="422"/>
      <c r="MC137" s="422"/>
      <c r="MD137" s="422"/>
      <c r="ME137" s="422"/>
      <c r="MF137" s="422"/>
      <c r="MG137" s="422"/>
      <c r="MH137" s="422"/>
      <c r="MI137" s="422"/>
      <c r="MJ137" s="422"/>
      <c r="MK137" s="422"/>
      <c r="ML137" s="422"/>
      <c r="MM137" s="422"/>
      <c r="MN137" s="422"/>
      <c r="MO137" s="422"/>
      <c r="MP137" s="422"/>
      <c r="MQ137" s="422"/>
      <c r="MR137" s="422"/>
      <c r="MS137" s="422"/>
      <c r="MT137" s="422"/>
      <c r="MU137" s="422"/>
      <c r="MV137" s="422"/>
      <c r="MW137" s="422"/>
      <c r="MX137" s="422"/>
      <c r="MY137" s="422"/>
      <c r="MZ137" s="422"/>
      <c r="NA137" s="422"/>
      <c r="NB137" s="422"/>
      <c r="NC137" s="422"/>
      <c r="ND137" s="422"/>
      <c r="NE137" s="422"/>
      <c r="NF137" s="422"/>
      <c r="NG137" s="422"/>
      <c r="NH137" s="422"/>
      <c r="NI137" s="422"/>
      <c r="NJ137" s="422"/>
      <c r="NK137" s="422"/>
      <c r="NL137" s="422"/>
      <c r="NM137" s="422"/>
      <c r="NN137" s="422"/>
      <c r="NO137" s="422"/>
      <c r="NP137" s="422"/>
      <c r="NQ137" s="422"/>
      <c r="NR137" s="422"/>
      <c r="NS137" s="422"/>
      <c r="NT137" s="422"/>
      <c r="NU137" s="422"/>
      <c r="NV137" s="422"/>
      <c r="NW137" s="422"/>
      <c r="NX137" s="422"/>
      <c r="NY137" s="422"/>
      <c r="NZ137" s="422"/>
      <c r="OA137" s="422"/>
      <c r="OB137" s="422"/>
      <c r="OC137" s="422"/>
      <c r="OD137" s="422"/>
      <c r="OE137" s="422"/>
      <c r="OF137" s="422"/>
      <c r="OG137" s="422"/>
      <c r="OH137" s="422"/>
      <c r="OI137" s="422"/>
      <c r="OJ137" s="422"/>
      <c r="OK137" s="422"/>
      <c r="OL137" s="422"/>
      <c r="OM137" s="422"/>
      <c r="ON137" s="422"/>
      <c r="OO137" s="422"/>
      <c r="OP137" s="422"/>
      <c r="OQ137" s="422"/>
      <c r="OR137" s="422"/>
      <c r="OS137" s="422"/>
      <c r="OT137" s="422"/>
      <c r="OU137" s="422"/>
      <c r="OV137" s="422"/>
      <c r="OW137" s="422"/>
      <c r="OX137" s="422"/>
      <c r="OY137" s="422"/>
      <c r="OZ137" s="422"/>
      <c r="PA137" s="422"/>
      <c r="PB137" s="422"/>
      <c r="PC137" s="422"/>
      <c r="PD137" s="422"/>
      <c r="PE137" s="422"/>
      <c r="PF137" s="422"/>
      <c r="PG137" s="422"/>
      <c r="PH137" s="422"/>
      <c r="PI137" s="422"/>
      <c r="PJ137" s="422"/>
      <c r="PK137" s="422"/>
      <c r="PL137" s="422"/>
      <c r="PM137" s="422"/>
      <c r="PN137" s="422"/>
      <c r="PO137" s="422"/>
      <c r="PP137" s="422"/>
      <c r="PQ137" s="422"/>
      <c r="PR137" s="422"/>
      <c r="PS137" s="422"/>
      <c r="PT137" s="422"/>
      <c r="PU137" s="422"/>
      <c r="PV137" s="422"/>
      <c r="PW137" s="422"/>
      <c r="PX137" s="422"/>
      <c r="PY137" s="422"/>
      <c r="PZ137" s="422"/>
      <c r="QA137" s="422"/>
      <c r="QB137" s="422"/>
      <c r="QC137" s="422"/>
      <c r="QD137" s="422"/>
      <c r="QE137" s="422"/>
      <c r="QF137" s="422"/>
      <c r="QG137" s="422"/>
      <c r="QH137" s="422"/>
      <c r="QI137" s="422"/>
      <c r="QJ137" s="422"/>
      <c r="QK137" s="422"/>
      <c r="QL137" s="422"/>
      <c r="QM137" s="422"/>
      <c r="QN137" s="422"/>
      <c r="QO137" s="422"/>
      <c r="QP137" s="422"/>
      <c r="QQ137" s="422"/>
      <c r="QR137" s="422"/>
      <c r="QS137" s="422"/>
      <c r="QT137" s="422"/>
      <c r="QU137" s="422"/>
      <c r="QV137" s="422"/>
      <c r="QW137" s="422"/>
      <c r="QX137" s="422"/>
      <c r="QY137" s="422"/>
      <c r="QZ137" s="422"/>
      <c r="RA137" s="422"/>
      <c r="RB137" s="422"/>
      <c r="RC137" s="422"/>
      <c r="RD137" s="422"/>
      <c r="RE137" s="422"/>
      <c r="RF137" s="422"/>
      <c r="RG137" s="422"/>
      <c r="RH137" s="422"/>
      <c r="RI137" s="422"/>
      <c r="RJ137" s="422"/>
      <c r="RK137" s="422"/>
      <c r="RL137" s="422"/>
      <c r="RM137" s="422"/>
      <c r="RN137" s="422"/>
      <c r="RO137" s="422"/>
      <c r="RP137" s="422"/>
      <c r="RQ137" s="422"/>
      <c r="RR137" s="422"/>
      <c r="RS137" s="422"/>
      <c r="RT137" s="422"/>
      <c r="RU137" s="422"/>
      <c r="RV137" s="422"/>
      <c r="RW137" s="422"/>
      <c r="RX137" s="422"/>
      <c r="RY137" s="422"/>
      <c r="RZ137" s="422"/>
      <c r="SA137" s="422"/>
      <c r="SB137" s="422"/>
      <c r="SC137" s="422"/>
      <c r="SD137" s="422"/>
      <c r="SE137" s="422"/>
      <c r="SF137" s="422"/>
      <c r="SG137" s="422"/>
      <c r="SH137" s="422"/>
      <c r="SI137" s="422"/>
      <c r="SJ137" s="422"/>
      <c r="SK137" s="422"/>
      <c r="SL137" s="422"/>
      <c r="SM137" s="422"/>
      <c r="SN137" s="422"/>
      <c r="SO137" s="422"/>
      <c r="SP137" s="422"/>
      <c r="SQ137" s="422"/>
      <c r="SR137" s="422"/>
      <c r="SS137" s="422"/>
      <c r="ST137" s="422"/>
      <c r="SU137" s="422"/>
      <c r="SV137" s="422"/>
      <c r="SW137" s="422"/>
      <c r="SX137" s="422"/>
      <c r="SY137" s="422"/>
      <c r="SZ137" s="422"/>
      <c r="TA137" s="422"/>
      <c r="TB137" s="422"/>
      <c r="TC137" s="422"/>
      <c r="TD137" s="422"/>
      <c r="TE137" s="422"/>
      <c r="TF137" s="422"/>
      <c r="TG137" s="422"/>
      <c r="TH137" s="422"/>
      <c r="TI137" s="422"/>
      <c r="TJ137" s="422"/>
      <c r="TK137" s="422"/>
      <c r="TL137" s="422"/>
      <c r="TM137" s="422"/>
      <c r="TN137" s="422"/>
      <c r="TO137" s="422"/>
      <c r="TP137" s="422"/>
      <c r="TQ137" s="422"/>
      <c r="TR137" s="422"/>
      <c r="TS137" s="422"/>
      <c r="TT137" s="422"/>
      <c r="TU137" s="422"/>
      <c r="TV137" s="422"/>
      <c r="TW137" s="422"/>
      <c r="TX137" s="422"/>
      <c r="TY137" s="422"/>
      <c r="TZ137" s="422"/>
      <c r="UA137" s="422"/>
      <c r="UB137" s="422"/>
      <c r="UC137" s="422"/>
      <c r="UD137" s="422"/>
      <c r="UE137" s="422"/>
      <c r="UF137" s="422"/>
      <c r="UG137" s="422"/>
      <c r="UH137" s="422"/>
      <c r="UI137" s="422"/>
      <c r="UJ137" s="422"/>
      <c r="UK137" s="422"/>
      <c r="UL137" s="422"/>
      <c r="UM137" s="422"/>
      <c r="UN137" s="422"/>
      <c r="UO137" s="422"/>
      <c r="UP137" s="422"/>
      <c r="UQ137" s="422"/>
      <c r="UR137" s="422"/>
      <c r="US137" s="422"/>
      <c r="UT137" s="422"/>
      <c r="UU137" s="422"/>
      <c r="UV137" s="422"/>
      <c r="UW137" s="422"/>
      <c r="UX137" s="422"/>
      <c r="UY137" s="422"/>
      <c r="UZ137" s="422"/>
      <c r="VA137" s="422"/>
      <c r="VB137" s="422"/>
      <c r="VC137" s="422"/>
      <c r="VD137" s="422"/>
      <c r="VE137" s="422"/>
      <c r="VF137" s="422"/>
      <c r="VG137" s="422"/>
      <c r="VH137" s="422"/>
      <c r="VI137" s="422"/>
      <c r="VJ137" s="422"/>
      <c r="VK137" s="422"/>
      <c r="VL137" s="422"/>
      <c r="VM137" s="422"/>
      <c r="VN137" s="422"/>
      <c r="VO137" s="422"/>
      <c r="VP137" s="422"/>
      <c r="VQ137" s="422"/>
      <c r="VR137" s="422"/>
      <c r="VS137" s="422"/>
      <c r="VT137" s="422"/>
      <c r="VU137" s="422"/>
      <c r="VV137" s="422"/>
      <c r="VW137" s="422"/>
      <c r="VX137" s="422"/>
      <c r="VY137" s="422"/>
      <c r="VZ137" s="422"/>
      <c r="WA137" s="422"/>
      <c r="WB137" s="422"/>
      <c r="WC137" s="422"/>
      <c r="WD137" s="422"/>
      <c r="WE137" s="422"/>
      <c r="WF137" s="422"/>
      <c r="WG137" s="422"/>
      <c r="WH137" s="422"/>
      <c r="WI137" s="422"/>
      <c r="WJ137" s="422"/>
      <c r="WK137" s="422"/>
      <c r="WL137" s="422"/>
      <c r="WM137" s="422"/>
      <c r="WN137" s="422"/>
      <c r="WO137" s="422"/>
      <c r="WP137" s="422"/>
      <c r="WQ137" s="422"/>
      <c r="WR137" s="422"/>
      <c r="WS137" s="422"/>
      <c r="WT137" s="422"/>
      <c r="WU137" s="422"/>
      <c r="WV137" s="422"/>
      <c r="WW137" s="422"/>
      <c r="WX137" s="422"/>
      <c r="WY137" s="422"/>
      <c r="WZ137" s="422"/>
      <c r="XA137" s="422"/>
      <c r="XB137" s="422"/>
      <c r="XC137" s="422"/>
      <c r="XD137" s="422"/>
      <c r="XE137" s="422"/>
      <c r="XF137" s="422"/>
      <c r="XG137" s="422"/>
      <c r="XH137" s="422"/>
      <c r="XI137" s="422"/>
      <c r="XJ137" s="422"/>
      <c r="XK137" s="422"/>
      <c r="XL137" s="422"/>
      <c r="XM137" s="422"/>
      <c r="XN137" s="422"/>
      <c r="XO137" s="422"/>
      <c r="XP137" s="422"/>
      <c r="XQ137" s="422"/>
      <c r="XR137" s="422"/>
      <c r="XS137" s="422"/>
      <c r="XT137" s="422"/>
      <c r="XU137" s="422"/>
      <c r="XV137" s="422"/>
      <c r="XW137" s="422"/>
      <c r="XX137" s="422"/>
      <c r="XY137" s="422"/>
      <c r="XZ137" s="422"/>
      <c r="YA137" s="422"/>
      <c r="YB137" s="422"/>
      <c r="YC137" s="422"/>
      <c r="YD137" s="422"/>
      <c r="YE137" s="422"/>
      <c r="YF137" s="422"/>
      <c r="YG137" s="422"/>
      <c r="YH137" s="422"/>
      <c r="YI137" s="422"/>
      <c r="YJ137" s="422"/>
      <c r="YK137" s="422"/>
      <c r="YL137" s="422"/>
      <c r="YM137" s="422"/>
      <c r="YN137" s="422"/>
      <c r="YO137" s="422"/>
      <c r="YP137" s="422"/>
      <c r="YQ137" s="422"/>
      <c r="YR137" s="422"/>
      <c r="YS137" s="422"/>
      <c r="YT137" s="422"/>
      <c r="YU137" s="422"/>
      <c r="YV137" s="422"/>
      <c r="YW137" s="422"/>
      <c r="YX137" s="422"/>
      <c r="YY137" s="422"/>
      <c r="YZ137" s="422"/>
      <c r="ZA137" s="422"/>
      <c r="ZB137" s="422"/>
      <c r="ZC137" s="422"/>
      <c r="ZD137" s="422"/>
      <c r="ZE137" s="422"/>
      <c r="ZF137" s="422"/>
      <c r="ZG137" s="422"/>
      <c r="ZH137" s="422"/>
      <c r="ZI137" s="422"/>
      <c r="ZJ137" s="422"/>
      <c r="ZK137" s="422"/>
      <c r="ZL137" s="422"/>
      <c r="ZM137" s="422"/>
      <c r="ZN137" s="422"/>
      <c r="ZO137" s="422"/>
      <c r="ZP137" s="422"/>
      <c r="ZQ137" s="422"/>
      <c r="ZR137" s="422"/>
      <c r="ZS137" s="422"/>
      <c r="ZT137" s="422"/>
      <c r="ZU137" s="422"/>
      <c r="ZV137" s="422"/>
      <c r="ZW137" s="422"/>
      <c r="ZX137" s="422"/>
      <c r="ZY137" s="422"/>
      <c r="ZZ137" s="422"/>
      <c r="AAA137" s="422"/>
      <c r="AAB137" s="422"/>
      <c r="AAC137" s="422"/>
      <c r="AAD137" s="422"/>
      <c r="AAE137" s="422"/>
      <c r="AAF137" s="422"/>
      <c r="AAG137" s="422"/>
      <c r="AAH137" s="422"/>
      <c r="AAI137" s="422"/>
      <c r="AAJ137" s="422"/>
      <c r="AAK137" s="422"/>
      <c r="AAL137" s="422"/>
      <c r="AAM137" s="422"/>
      <c r="AAN137" s="422"/>
      <c r="AAO137" s="422"/>
      <c r="AAP137" s="422"/>
      <c r="AAQ137" s="422"/>
      <c r="AAR137" s="422"/>
      <c r="AAS137" s="422"/>
      <c r="AAT137" s="422"/>
      <c r="AAU137" s="422"/>
      <c r="AAV137" s="422"/>
      <c r="AAW137" s="422"/>
      <c r="AAX137" s="422"/>
      <c r="AAY137" s="422"/>
      <c r="AAZ137" s="422"/>
      <c r="ABA137" s="422"/>
      <c r="ABB137" s="422"/>
      <c r="ABC137" s="422"/>
      <c r="ABD137" s="422"/>
      <c r="ABE137" s="422"/>
      <c r="ABF137" s="422"/>
      <c r="ABG137" s="422"/>
      <c r="ABH137" s="422"/>
      <c r="ABI137" s="422"/>
      <c r="ABJ137" s="422"/>
      <c r="ABK137" s="422"/>
      <c r="ABL137" s="422"/>
      <c r="ABM137" s="422"/>
      <c r="ABN137" s="422"/>
      <c r="ABO137" s="422"/>
      <c r="ABP137" s="422"/>
      <c r="ABQ137" s="422"/>
      <c r="ABR137" s="422"/>
      <c r="ABS137" s="422"/>
      <c r="ABT137" s="422"/>
      <c r="ABU137" s="422"/>
      <c r="ABV137" s="422"/>
      <c r="ABW137" s="422"/>
      <c r="ABX137" s="422"/>
      <c r="ABY137" s="422"/>
      <c r="ABZ137" s="422"/>
      <c r="ACA137" s="422"/>
      <c r="ACB137" s="422"/>
      <c r="ACC137" s="422"/>
      <c r="ACD137" s="422"/>
      <c r="ACE137" s="422"/>
      <c r="ACF137" s="422"/>
      <c r="ACG137" s="422"/>
      <c r="ACH137" s="422"/>
      <c r="ACI137" s="422"/>
      <c r="ACJ137" s="422"/>
      <c r="ACK137" s="422"/>
      <c r="ACL137" s="422"/>
      <c r="ACM137" s="422"/>
      <c r="ACN137" s="422"/>
      <c r="ACO137" s="422"/>
      <c r="ACP137" s="422"/>
      <c r="ACQ137" s="422"/>
      <c r="ACR137" s="422"/>
      <c r="ACS137" s="422"/>
      <c r="ACT137" s="422"/>
      <c r="ACU137" s="422"/>
      <c r="ACV137" s="422"/>
      <c r="ACW137" s="422"/>
      <c r="ACX137" s="422"/>
      <c r="ACY137" s="422"/>
      <c r="ACZ137" s="422"/>
      <c r="ADA137" s="422"/>
      <c r="ADB137" s="422"/>
      <c r="ADC137" s="422"/>
      <c r="ADD137" s="422"/>
      <c r="ADE137" s="422"/>
      <c r="ADF137" s="422"/>
      <c r="ADG137" s="422"/>
      <c r="ADH137" s="422"/>
      <c r="ADI137" s="422"/>
      <c r="ADJ137" s="422"/>
      <c r="ADK137" s="422"/>
      <c r="ADL137" s="422"/>
      <c r="ADM137" s="422"/>
      <c r="ADN137" s="422"/>
      <c r="ADO137" s="422"/>
      <c r="ADP137" s="422"/>
      <c r="ADQ137" s="422"/>
      <c r="ADR137" s="422"/>
      <c r="ADS137" s="422"/>
      <c r="ADT137" s="422"/>
      <c r="ADU137" s="422"/>
      <c r="ADV137" s="422"/>
      <c r="ADW137" s="422"/>
      <c r="ADX137" s="422"/>
      <c r="ADY137" s="422"/>
      <c r="ADZ137" s="422"/>
      <c r="AEA137" s="422"/>
      <c r="AEB137" s="422"/>
      <c r="AEC137" s="422"/>
      <c r="AED137" s="422"/>
      <c r="AEE137" s="422"/>
      <c r="AEF137" s="422"/>
      <c r="AEG137" s="422"/>
      <c r="AEH137" s="422"/>
      <c r="AEI137" s="422"/>
      <c r="AEJ137" s="422"/>
      <c r="AEK137" s="422"/>
      <c r="AEL137" s="422"/>
      <c r="AEM137" s="422"/>
      <c r="AEN137" s="422"/>
      <c r="AEO137" s="422"/>
      <c r="AEP137" s="422"/>
      <c r="AEQ137" s="422"/>
      <c r="AER137" s="422"/>
      <c r="AES137" s="422"/>
      <c r="AET137" s="422"/>
      <c r="AEU137" s="422"/>
      <c r="AEV137" s="422"/>
      <c r="AEW137" s="422"/>
      <c r="AEX137" s="422"/>
      <c r="AEY137" s="422"/>
      <c r="AEZ137" s="422"/>
      <c r="AFA137" s="422"/>
      <c r="AFB137" s="422"/>
      <c r="AFC137" s="422"/>
      <c r="AFD137" s="422"/>
      <c r="AFE137" s="422"/>
      <c r="AFF137" s="422"/>
      <c r="AFG137" s="422"/>
      <c r="AFH137" s="422"/>
      <c r="AFI137" s="422"/>
      <c r="AFJ137" s="422"/>
      <c r="AFK137" s="422"/>
      <c r="AFL137" s="422"/>
      <c r="AFM137" s="422"/>
      <c r="AFN137" s="422"/>
      <c r="AFO137" s="422"/>
      <c r="AFP137" s="422"/>
      <c r="AFQ137" s="422"/>
      <c r="AFR137" s="422"/>
      <c r="AFS137" s="422"/>
      <c r="AFT137" s="422"/>
      <c r="AFU137" s="422"/>
      <c r="AFV137" s="422"/>
      <c r="AFW137" s="422"/>
      <c r="AFX137" s="422"/>
      <c r="AFY137" s="422"/>
      <c r="AFZ137" s="422"/>
      <c r="AGA137" s="422"/>
      <c r="AGB137" s="422"/>
      <c r="AGC137" s="422"/>
      <c r="AGD137" s="422"/>
      <c r="AGE137" s="422"/>
      <c r="AGF137" s="422"/>
      <c r="AGG137" s="422"/>
      <c r="AGH137" s="422"/>
      <c r="AGI137" s="422"/>
      <c r="AGJ137" s="422"/>
      <c r="AGK137" s="422"/>
      <c r="AGL137" s="422"/>
      <c r="AGM137" s="422"/>
      <c r="AGN137" s="422"/>
      <c r="AGO137" s="422"/>
      <c r="AGP137" s="422"/>
      <c r="AGQ137" s="422"/>
      <c r="AGR137" s="422"/>
      <c r="AGS137" s="422"/>
      <c r="AGT137" s="422"/>
      <c r="AGU137" s="422"/>
      <c r="AGV137" s="422"/>
      <c r="AGW137" s="422"/>
      <c r="AGX137" s="422"/>
      <c r="AGY137" s="422"/>
      <c r="AGZ137" s="422"/>
      <c r="AHA137" s="422"/>
      <c r="AHB137" s="422"/>
      <c r="AHC137" s="422"/>
      <c r="AHD137" s="422"/>
      <c r="AHE137" s="422"/>
      <c r="AHF137" s="422"/>
      <c r="AHG137" s="422"/>
      <c r="AHH137" s="422"/>
      <c r="AHI137" s="422"/>
      <c r="AHJ137" s="422"/>
      <c r="AHK137" s="422"/>
      <c r="AHL137" s="422"/>
      <c r="AHM137" s="422"/>
      <c r="AHN137" s="422"/>
      <c r="AHO137" s="422"/>
      <c r="AHP137" s="422"/>
      <c r="AHQ137" s="422"/>
      <c r="AHR137" s="422"/>
      <c r="AHS137" s="422"/>
      <c r="AHT137" s="422"/>
      <c r="AHU137" s="422"/>
      <c r="AHV137" s="422"/>
      <c r="AHW137" s="422"/>
      <c r="AHX137" s="422"/>
      <c r="AHY137" s="422"/>
      <c r="AHZ137" s="422"/>
      <c r="AIA137" s="422"/>
      <c r="AIB137" s="422"/>
      <c r="AIC137" s="422"/>
      <c r="AID137" s="422"/>
      <c r="AIE137" s="422"/>
      <c r="AIF137" s="422"/>
      <c r="AIG137" s="422"/>
      <c r="AIH137" s="422"/>
      <c r="AII137" s="422"/>
      <c r="AIJ137" s="422"/>
      <c r="AIK137" s="422"/>
      <c r="AIL137" s="422"/>
      <c r="AIM137" s="422"/>
      <c r="AIN137" s="422"/>
      <c r="AIO137" s="422"/>
      <c r="AIP137" s="422"/>
      <c r="AIQ137" s="422"/>
      <c r="AIR137" s="422"/>
      <c r="AIS137" s="422"/>
      <c r="AIT137" s="422"/>
      <c r="AIU137" s="422"/>
      <c r="AIV137" s="422"/>
      <c r="AIW137" s="422"/>
      <c r="AIX137" s="422"/>
      <c r="AIY137" s="422"/>
      <c r="AIZ137" s="422"/>
      <c r="AJA137" s="422"/>
      <c r="AJB137" s="422"/>
      <c r="AJC137" s="422"/>
      <c r="AJD137" s="422"/>
      <c r="AJE137" s="422"/>
      <c r="AJF137" s="422"/>
      <c r="AJG137" s="422"/>
      <c r="AJH137" s="422"/>
      <c r="AJI137" s="422"/>
      <c r="AJJ137" s="422"/>
      <c r="AJK137" s="422"/>
      <c r="AJL137" s="422"/>
      <c r="AJM137" s="422"/>
      <c r="AJN137" s="422"/>
      <c r="AJO137" s="422"/>
      <c r="AJP137" s="422"/>
      <c r="AJQ137" s="422"/>
      <c r="AJR137" s="422"/>
      <c r="AJS137" s="422"/>
      <c r="AJT137" s="422"/>
      <c r="AJU137" s="422"/>
      <c r="AJV137" s="422"/>
      <c r="AJW137" s="422"/>
      <c r="AJX137" s="422"/>
      <c r="AJY137" s="422"/>
      <c r="AJZ137" s="422"/>
      <c r="AKA137" s="422"/>
      <c r="AKB137" s="422"/>
      <c r="AKC137" s="422"/>
      <c r="AKD137" s="422"/>
      <c r="AKE137" s="422"/>
      <c r="AKF137" s="422"/>
      <c r="AKG137" s="422"/>
      <c r="AKH137" s="422"/>
      <c r="AKI137" s="422"/>
      <c r="AKJ137" s="422"/>
      <c r="AKK137" s="422"/>
      <c r="AKL137" s="422"/>
      <c r="AKM137" s="422"/>
      <c r="AKN137" s="422"/>
      <c r="AKO137" s="422"/>
      <c r="AKP137" s="422"/>
      <c r="AKQ137" s="422"/>
      <c r="AKR137" s="422"/>
      <c r="AKS137" s="422"/>
      <c r="AKT137" s="422"/>
      <c r="AKU137" s="422"/>
      <c r="AKV137" s="422"/>
      <c r="AKW137" s="422"/>
      <c r="AKX137" s="422"/>
      <c r="AKY137" s="422"/>
      <c r="AKZ137" s="422"/>
      <c r="ALA137" s="422"/>
      <c r="ALB137" s="422"/>
      <c r="ALC137" s="422"/>
      <c r="ALD137" s="422"/>
      <c r="ALE137" s="422"/>
      <c r="ALF137" s="422"/>
      <c r="ALG137" s="422"/>
      <c r="ALH137" s="422"/>
      <c r="ALI137" s="422"/>
      <c r="ALJ137" s="422"/>
      <c r="ALK137" s="422"/>
      <c r="ALL137" s="422"/>
      <c r="ALM137" s="422"/>
      <c r="ALN137" s="422"/>
      <c r="ALO137" s="422"/>
      <c r="ALP137" s="422"/>
      <c r="ALQ137" s="422"/>
      <c r="ALR137" s="422"/>
      <c r="ALS137" s="422"/>
      <c r="ALT137" s="422"/>
      <c r="ALU137" s="422"/>
      <c r="ALV137" s="422"/>
      <c r="ALW137" s="422"/>
      <c r="ALX137" s="422"/>
      <c r="ALY137" s="422"/>
      <c r="ALZ137" s="422"/>
      <c r="AMA137" s="422"/>
      <c r="AMB137" s="422"/>
      <c r="AMC137" s="422"/>
      <c r="AMD137" s="422"/>
      <c r="AME137" s="422"/>
      <c r="AMF137" s="422"/>
      <c r="AMG137" s="422"/>
      <c r="AMH137" s="422"/>
      <c r="AMI137" s="422"/>
      <c r="AMJ137" s="422"/>
      <c r="AMK137" s="422"/>
      <c r="AML137" s="422"/>
      <c r="AMM137" s="422"/>
      <c r="AMN137" s="422"/>
      <c r="AMO137" s="422"/>
      <c r="AMP137" s="422"/>
      <c r="AMQ137" s="422"/>
      <c r="AMR137" s="422"/>
      <c r="AMS137" s="422"/>
      <c r="AMT137" s="422"/>
      <c r="AMU137" s="422"/>
      <c r="AMV137" s="422"/>
      <c r="AMW137" s="422"/>
      <c r="AMX137" s="422"/>
      <c r="AMY137" s="422"/>
      <c r="AMZ137" s="422"/>
      <c r="ANA137" s="422"/>
      <c r="ANB137" s="422"/>
      <c r="ANC137" s="422"/>
      <c r="AND137" s="422"/>
      <c r="ANE137" s="422"/>
      <c r="ANF137" s="422"/>
      <c r="ANG137" s="422"/>
      <c r="ANH137" s="422"/>
      <c r="ANI137" s="422"/>
      <c r="ANJ137" s="422"/>
      <c r="ANK137" s="422"/>
      <c r="ANL137" s="422"/>
      <c r="ANM137" s="422"/>
      <c r="ANN137" s="422"/>
      <c r="ANO137" s="422"/>
      <c r="ANP137" s="422"/>
      <c r="ANQ137" s="422"/>
      <c r="ANR137" s="422"/>
      <c r="ANS137" s="422"/>
      <c r="ANT137" s="422"/>
      <c r="ANU137" s="422"/>
      <c r="ANV137" s="422"/>
      <c r="ANW137" s="422"/>
      <c r="ANX137" s="422"/>
      <c r="ANY137" s="422"/>
      <c r="ANZ137" s="422"/>
      <c r="AOA137" s="422"/>
      <c r="AOB137" s="422"/>
      <c r="AOC137" s="422"/>
      <c r="AOD137" s="422"/>
      <c r="AOE137" s="422"/>
      <c r="AOF137" s="422"/>
      <c r="AOG137" s="422"/>
      <c r="AOH137" s="422"/>
      <c r="AOI137" s="422"/>
      <c r="AOJ137" s="422"/>
      <c r="AOK137" s="422"/>
      <c r="AOL137" s="422"/>
      <c r="AOM137" s="422"/>
      <c r="AON137" s="422"/>
      <c r="AOO137" s="422"/>
      <c r="AOP137" s="422"/>
      <c r="AOQ137" s="422"/>
      <c r="AOR137" s="422"/>
      <c r="AOS137" s="422"/>
      <c r="AOT137" s="422"/>
      <c r="AOU137" s="422"/>
      <c r="AOV137" s="422"/>
      <c r="AOW137" s="422"/>
      <c r="AOX137" s="422"/>
      <c r="AOY137" s="422"/>
      <c r="AOZ137" s="422"/>
      <c r="APA137" s="422"/>
      <c r="APB137" s="422"/>
      <c r="APC137" s="422"/>
      <c r="APD137" s="422"/>
      <c r="APE137" s="422"/>
      <c r="APF137" s="422"/>
      <c r="APG137" s="422"/>
      <c r="APH137" s="422"/>
      <c r="API137" s="422"/>
      <c r="APJ137" s="422"/>
      <c r="APK137" s="422"/>
      <c r="APL137" s="422"/>
      <c r="APM137" s="422"/>
      <c r="APN137" s="422"/>
      <c r="APO137" s="422"/>
      <c r="APP137" s="422"/>
      <c r="APQ137" s="422"/>
      <c r="APR137" s="422"/>
      <c r="APS137" s="422"/>
      <c r="APT137" s="422"/>
      <c r="APU137" s="422"/>
      <c r="APV137" s="422"/>
      <c r="APW137" s="422"/>
      <c r="APX137" s="422"/>
      <c r="APY137" s="422"/>
      <c r="APZ137" s="422"/>
      <c r="AQA137" s="422"/>
      <c r="AQB137" s="422"/>
      <c r="AQC137" s="422"/>
      <c r="AQD137" s="422"/>
      <c r="AQE137" s="422"/>
      <c r="AQF137" s="422"/>
      <c r="AQG137" s="422"/>
      <c r="AQH137" s="422"/>
      <c r="AQI137" s="422"/>
      <c r="AQJ137" s="422"/>
      <c r="AQK137" s="422"/>
      <c r="AQL137" s="422"/>
      <c r="AQM137" s="422"/>
      <c r="AQN137" s="422"/>
      <c r="AQO137" s="422"/>
      <c r="AQP137" s="422"/>
      <c r="AQQ137" s="422"/>
      <c r="AQR137" s="422"/>
      <c r="AQS137" s="422"/>
      <c r="AQT137" s="422"/>
      <c r="AQU137" s="422"/>
      <c r="AQV137" s="422"/>
      <c r="AQW137" s="422"/>
      <c r="AQX137" s="422"/>
      <c r="AQY137" s="422"/>
      <c r="AQZ137" s="422"/>
      <c r="ARA137" s="422"/>
      <c r="ARB137" s="422"/>
      <c r="ARC137" s="422"/>
      <c r="ARD137" s="422"/>
      <c r="ARE137" s="422"/>
      <c r="ARF137" s="422"/>
      <c r="ARG137" s="422"/>
      <c r="ARH137" s="422"/>
      <c r="ARI137" s="422"/>
      <c r="ARJ137" s="422"/>
      <c r="ARK137" s="422"/>
      <c r="ARL137" s="422"/>
      <c r="ARM137" s="422"/>
      <c r="ARN137" s="422"/>
      <c r="ARO137" s="422"/>
      <c r="ARP137" s="422"/>
      <c r="ARQ137" s="422"/>
      <c r="ARR137" s="422"/>
      <c r="ARS137" s="422"/>
      <c r="ART137" s="422"/>
      <c r="ARU137" s="422"/>
      <c r="ARV137" s="422"/>
      <c r="ARW137" s="422"/>
      <c r="ARX137" s="422"/>
      <c r="ARY137" s="422"/>
      <c r="ARZ137" s="422"/>
      <c r="ASA137" s="422"/>
      <c r="ASB137" s="422"/>
      <c r="ASC137" s="422"/>
      <c r="ASD137" s="422"/>
      <c r="ASE137" s="422"/>
      <c r="ASF137" s="422"/>
      <c r="ASG137" s="422"/>
      <c r="ASH137" s="422"/>
      <c r="ASI137" s="422"/>
      <c r="ASJ137" s="422"/>
      <c r="ASK137" s="422"/>
      <c r="ASL137" s="422"/>
      <c r="ASM137" s="422"/>
      <c r="ASN137" s="422"/>
      <c r="ASO137" s="422"/>
      <c r="ASP137" s="422"/>
      <c r="ASQ137" s="422"/>
      <c r="ASR137" s="422"/>
      <c r="ASS137" s="422"/>
      <c r="AST137" s="422"/>
      <c r="ASU137" s="422"/>
      <c r="ASV137" s="422"/>
      <c r="ASW137" s="422"/>
      <c r="ASX137" s="422"/>
      <c r="ASY137" s="422"/>
      <c r="ASZ137" s="422"/>
      <c r="ATA137" s="422"/>
      <c r="ATB137" s="422"/>
      <c r="ATC137" s="422"/>
      <c r="ATD137" s="422"/>
      <c r="ATE137" s="422"/>
      <c r="ATF137" s="422"/>
      <c r="ATG137" s="422"/>
      <c r="ATH137" s="422"/>
      <c r="ATI137" s="422"/>
      <c r="ATJ137" s="422"/>
      <c r="ATK137" s="422"/>
      <c r="ATL137" s="422"/>
      <c r="ATM137" s="422"/>
      <c r="ATN137" s="422"/>
      <c r="ATO137" s="422"/>
      <c r="ATP137" s="422"/>
      <c r="ATQ137" s="422"/>
      <c r="ATR137" s="422"/>
      <c r="ATS137" s="422"/>
      <c r="ATT137" s="422"/>
      <c r="ATU137" s="422"/>
      <c r="ATV137" s="422"/>
      <c r="ATW137" s="422"/>
      <c r="ATX137" s="422"/>
      <c r="ATY137" s="422"/>
      <c r="ATZ137" s="422"/>
      <c r="AUA137" s="422"/>
      <c r="AUB137" s="422"/>
      <c r="AUC137" s="422"/>
      <c r="AUD137" s="422"/>
      <c r="AUE137" s="422"/>
      <c r="AUF137" s="422"/>
      <c r="AUG137" s="422"/>
      <c r="AUH137" s="422"/>
      <c r="AUI137" s="422"/>
      <c r="AUJ137" s="422"/>
      <c r="AUK137" s="422"/>
      <c r="AUL137" s="422"/>
      <c r="AUM137" s="422"/>
      <c r="AUN137" s="422"/>
      <c r="AUO137" s="422"/>
      <c r="AUP137" s="422"/>
      <c r="AUQ137" s="422"/>
      <c r="AUR137" s="422"/>
      <c r="AUS137" s="422"/>
      <c r="AUT137" s="422"/>
      <c r="AUU137" s="422"/>
      <c r="AUV137" s="422"/>
      <c r="AUW137" s="422"/>
      <c r="AUX137" s="422"/>
      <c r="AUY137" s="422"/>
      <c r="AUZ137" s="422"/>
      <c r="AVA137" s="422"/>
      <c r="AVB137" s="422"/>
      <c r="AVC137" s="422"/>
      <c r="AVD137" s="422"/>
      <c r="AVE137" s="422"/>
      <c r="AVF137" s="422"/>
      <c r="AVG137" s="422"/>
      <c r="AVH137" s="422"/>
      <c r="AVI137" s="422"/>
      <c r="AVJ137" s="422"/>
      <c r="AVK137" s="422"/>
      <c r="AVL137" s="422"/>
      <c r="AVM137" s="422"/>
      <c r="AVN137" s="422"/>
      <c r="AVO137" s="422"/>
      <c r="AVP137" s="422"/>
      <c r="AVQ137" s="422"/>
      <c r="AVR137" s="422"/>
      <c r="AVS137" s="422"/>
      <c r="AVT137" s="422"/>
      <c r="AVU137" s="422"/>
      <c r="AVV137" s="422"/>
      <c r="AVW137" s="422"/>
      <c r="AVX137" s="422"/>
      <c r="AVY137" s="422"/>
      <c r="AVZ137" s="422"/>
      <c r="AWA137" s="422"/>
      <c r="AWB137" s="422"/>
      <c r="AWC137" s="422"/>
      <c r="AWD137" s="422"/>
      <c r="AWE137" s="422"/>
      <c r="AWF137" s="422"/>
      <c r="AWG137" s="422"/>
      <c r="AWH137" s="422"/>
      <c r="AWI137" s="422"/>
      <c r="AWJ137" s="422"/>
      <c r="AWK137" s="422"/>
      <c r="AWL137" s="422"/>
      <c r="AWM137" s="422"/>
      <c r="AWN137" s="422"/>
      <c r="AWO137" s="422"/>
      <c r="AWP137" s="422"/>
      <c r="AWQ137" s="422"/>
      <c r="AWR137" s="422"/>
      <c r="AWS137" s="422"/>
      <c r="AWT137" s="422"/>
      <c r="AWU137" s="422"/>
      <c r="AWV137" s="422"/>
      <c r="AWW137" s="422"/>
      <c r="AWX137" s="422"/>
      <c r="AWY137" s="422"/>
      <c r="AWZ137" s="422"/>
      <c r="AXA137" s="422"/>
      <c r="AXB137" s="422"/>
      <c r="AXC137" s="422"/>
      <c r="AXD137" s="422"/>
      <c r="AXE137" s="422"/>
      <c r="AXF137" s="422"/>
      <c r="AXG137" s="422"/>
      <c r="AXH137" s="422"/>
      <c r="AXI137" s="422"/>
      <c r="AXJ137" s="422"/>
      <c r="AXK137" s="422"/>
      <c r="AXL137" s="422"/>
      <c r="AXM137" s="422"/>
      <c r="AXN137" s="422"/>
      <c r="AXO137" s="422"/>
      <c r="AXP137" s="422"/>
      <c r="AXQ137" s="422"/>
      <c r="AXR137" s="422"/>
      <c r="AXS137" s="422"/>
      <c r="AXT137" s="422"/>
      <c r="AXU137" s="422"/>
      <c r="AXV137" s="422"/>
      <c r="AXW137" s="422"/>
      <c r="AXX137" s="422"/>
      <c r="AXY137" s="422"/>
      <c r="AXZ137" s="422"/>
      <c r="AYA137" s="422"/>
      <c r="AYB137" s="422"/>
      <c r="AYC137" s="422"/>
      <c r="AYD137" s="422"/>
      <c r="AYE137" s="422"/>
      <c r="AYF137" s="422"/>
      <c r="AYG137" s="422"/>
      <c r="AYH137" s="422"/>
      <c r="AYI137" s="422"/>
      <c r="AYJ137" s="422"/>
      <c r="AYK137" s="422"/>
      <c r="AYL137" s="422"/>
      <c r="AYM137" s="422"/>
      <c r="AYN137" s="422"/>
      <c r="AYO137" s="422"/>
      <c r="AYP137" s="422"/>
      <c r="AYQ137" s="422"/>
      <c r="AYR137" s="422"/>
      <c r="AYS137" s="422"/>
      <c r="AYT137" s="422"/>
      <c r="AYU137" s="422"/>
      <c r="AYV137" s="422"/>
      <c r="AYW137" s="422"/>
      <c r="AYX137" s="422"/>
      <c r="AYY137" s="422"/>
      <c r="AYZ137" s="422"/>
      <c r="AZA137" s="422"/>
      <c r="AZB137" s="422"/>
      <c r="AZC137" s="422"/>
      <c r="AZD137" s="422"/>
      <c r="AZE137" s="422"/>
      <c r="AZF137" s="422"/>
      <c r="AZG137" s="422"/>
      <c r="AZH137" s="422"/>
      <c r="AZI137" s="422"/>
      <c r="AZJ137" s="422"/>
      <c r="AZK137" s="422"/>
      <c r="AZL137" s="422"/>
      <c r="AZM137" s="422"/>
      <c r="AZN137" s="422"/>
      <c r="AZO137" s="422"/>
      <c r="AZP137" s="422"/>
      <c r="AZQ137" s="422"/>
      <c r="AZR137" s="422"/>
      <c r="AZS137" s="422"/>
      <c r="AZT137" s="422"/>
      <c r="AZU137" s="422"/>
      <c r="AZV137" s="422"/>
      <c r="AZW137" s="422"/>
      <c r="AZX137" s="422"/>
      <c r="AZY137" s="422"/>
      <c r="AZZ137" s="422"/>
      <c r="BAA137" s="422"/>
      <c r="BAB137" s="422"/>
      <c r="BAC137" s="422"/>
      <c r="BAD137" s="422"/>
      <c r="BAE137" s="422"/>
      <c r="BAF137" s="422"/>
      <c r="BAG137" s="422"/>
      <c r="BAH137" s="422"/>
      <c r="BAI137" s="422"/>
      <c r="BAJ137" s="422"/>
      <c r="BAK137" s="422"/>
      <c r="BAL137" s="422"/>
      <c r="BAM137" s="422"/>
      <c r="BAN137" s="422"/>
      <c r="BAO137" s="422"/>
      <c r="BAP137" s="422"/>
      <c r="BAQ137" s="422"/>
      <c r="BAR137" s="422"/>
      <c r="BAS137" s="422"/>
      <c r="BAT137" s="422"/>
      <c r="BAU137" s="422"/>
      <c r="BAV137" s="422"/>
      <c r="BAW137" s="422"/>
      <c r="BAX137" s="422"/>
      <c r="BAY137" s="422"/>
      <c r="BAZ137" s="422"/>
      <c r="BBA137" s="422"/>
      <c r="BBB137" s="422"/>
      <c r="BBC137" s="422"/>
      <c r="BBD137" s="422"/>
      <c r="BBE137" s="422"/>
      <c r="BBF137" s="422"/>
      <c r="BBG137" s="422"/>
      <c r="BBH137" s="422"/>
      <c r="BBI137" s="422"/>
      <c r="BBJ137" s="422"/>
      <c r="BBK137" s="422"/>
      <c r="BBL137" s="422"/>
      <c r="BBM137" s="422"/>
      <c r="BBN137" s="422"/>
      <c r="BBO137" s="422"/>
      <c r="BBP137" s="422"/>
      <c r="BBQ137" s="422"/>
      <c r="BBR137" s="422"/>
      <c r="BBS137" s="422"/>
      <c r="BBT137" s="422"/>
      <c r="BBU137" s="422"/>
      <c r="BBV137" s="422"/>
      <c r="BBW137" s="422"/>
      <c r="BBX137" s="422"/>
      <c r="BBY137" s="422"/>
      <c r="BBZ137" s="422"/>
      <c r="BCA137" s="422"/>
      <c r="BCB137" s="422"/>
      <c r="BCC137" s="422"/>
      <c r="BCD137" s="422"/>
      <c r="BCE137" s="422"/>
      <c r="BCF137" s="422"/>
      <c r="BCG137" s="422"/>
      <c r="BCH137" s="422"/>
      <c r="BCI137" s="422"/>
      <c r="BCJ137" s="422"/>
      <c r="BCK137" s="422"/>
      <c r="BCL137" s="422"/>
      <c r="BCM137" s="422"/>
      <c r="BCN137" s="422"/>
      <c r="BCO137" s="422"/>
      <c r="BCP137" s="422"/>
      <c r="BCQ137" s="422"/>
      <c r="BCR137" s="422"/>
      <c r="BCS137" s="422"/>
      <c r="BCT137" s="422"/>
      <c r="BCU137" s="422"/>
      <c r="BCV137" s="422"/>
      <c r="BCW137" s="422"/>
      <c r="BCX137" s="422"/>
      <c r="BCY137" s="422"/>
      <c r="BCZ137" s="422"/>
      <c r="BDA137" s="422"/>
      <c r="BDB137" s="422"/>
      <c r="BDC137" s="422"/>
      <c r="BDD137" s="422"/>
      <c r="BDE137" s="422"/>
      <c r="BDF137" s="422"/>
      <c r="BDG137" s="422"/>
      <c r="BDH137" s="422"/>
      <c r="BDI137" s="422"/>
      <c r="BDJ137" s="422"/>
      <c r="BDK137" s="422"/>
      <c r="BDL137" s="422"/>
      <c r="BDM137" s="422"/>
      <c r="BDN137" s="422"/>
      <c r="BDO137" s="422"/>
      <c r="BDP137" s="422"/>
      <c r="BDQ137" s="422"/>
      <c r="BDR137" s="422"/>
      <c r="BDS137" s="422"/>
      <c r="BDT137" s="422"/>
      <c r="BDU137" s="422"/>
      <c r="BDV137" s="422"/>
      <c r="BDW137" s="422"/>
      <c r="BDX137" s="422"/>
      <c r="BDY137" s="422"/>
      <c r="BDZ137" s="422"/>
      <c r="BEA137" s="422"/>
      <c r="BEB137" s="422"/>
      <c r="BEC137" s="422"/>
      <c r="BED137" s="422"/>
      <c r="BEE137" s="422"/>
      <c r="BEF137" s="422"/>
      <c r="BEG137" s="422"/>
      <c r="BEH137" s="422"/>
      <c r="BEI137" s="422"/>
      <c r="BEJ137" s="422"/>
      <c r="BEK137" s="422"/>
      <c r="BEL137" s="422"/>
      <c r="BEM137" s="422"/>
      <c r="BEN137" s="422"/>
      <c r="BEO137" s="422"/>
      <c r="BEP137" s="422"/>
      <c r="BEQ137" s="422"/>
      <c r="BER137" s="422"/>
      <c r="BES137" s="422"/>
      <c r="BET137" s="422"/>
      <c r="BEU137" s="422"/>
      <c r="BEV137" s="422"/>
      <c r="BEW137" s="422"/>
      <c r="BEX137" s="422"/>
      <c r="BEY137" s="422"/>
      <c r="BEZ137" s="422"/>
      <c r="BFA137" s="422"/>
      <c r="BFB137" s="422"/>
      <c r="BFC137" s="422"/>
      <c r="BFD137" s="422"/>
      <c r="BFE137" s="422"/>
      <c r="BFF137" s="422"/>
      <c r="BFG137" s="422"/>
      <c r="BFH137" s="422"/>
      <c r="BFI137" s="422"/>
      <c r="BFJ137" s="422"/>
      <c r="BFK137" s="422"/>
      <c r="BFL137" s="422"/>
      <c r="BFM137" s="422"/>
      <c r="BFN137" s="422"/>
      <c r="BFO137" s="422"/>
      <c r="BFP137" s="422"/>
      <c r="BFQ137" s="422"/>
      <c r="BFR137" s="422"/>
      <c r="BFS137" s="422"/>
      <c r="BFT137" s="422"/>
      <c r="BFU137" s="422"/>
      <c r="BFV137" s="422"/>
      <c r="BFW137" s="422"/>
      <c r="BFX137" s="422"/>
      <c r="BFY137" s="422"/>
      <c r="BFZ137" s="422"/>
      <c r="BGA137" s="422"/>
      <c r="BGB137" s="422"/>
      <c r="BGC137" s="422"/>
      <c r="BGD137" s="422"/>
      <c r="BGE137" s="422"/>
      <c r="BGF137" s="422"/>
      <c r="BGG137" s="422"/>
      <c r="BGH137" s="422"/>
      <c r="BGI137" s="422"/>
      <c r="BGJ137" s="422"/>
      <c r="BGK137" s="422"/>
      <c r="BGL137" s="422"/>
      <c r="BGM137" s="422"/>
      <c r="BGN137" s="422"/>
      <c r="BGO137" s="422"/>
      <c r="BGP137" s="422"/>
      <c r="BGQ137" s="422"/>
      <c r="BGR137" s="422"/>
      <c r="BGS137" s="422"/>
      <c r="BGT137" s="422"/>
      <c r="BGU137" s="422"/>
      <c r="BGV137" s="422"/>
      <c r="BGW137" s="422"/>
      <c r="BGX137" s="422"/>
      <c r="BGY137" s="422"/>
      <c r="BGZ137" s="422"/>
      <c r="BHA137" s="422"/>
      <c r="BHB137" s="422"/>
      <c r="BHC137" s="422"/>
      <c r="BHD137" s="422"/>
      <c r="BHE137" s="422"/>
      <c r="BHF137" s="422"/>
      <c r="BHG137" s="422"/>
      <c r="BHH137" s="422"/>
      <c r="BHI137" s="422"/>
      <c r="BHJ137" s="422"/>
      <c r="BHK137" s="422"/>
      <c r="BHL137" s="422"/>
      <c r="BHM137" s="422"/>
      <c r="BHN137" s="422"/>
      <c r="BHO137" s="422"/>
      <c r="BHP137" s="422"/>
      <c r="BHQ137" s="422"/>
      <c r="BHR137" s="422"/>
      <c r="BHS137" s="422"/>
      <c r="BHT137" s="422"/>
      <c r="BHU137" s="422"/>
      <c r="BHV137" s="422"/>
      <c r="BHW137" s="422"/>
      <c r="BHX137" s="422"/>
      <c r="BHY137" s="422"/>
      <c r="BHZ137" s="422"/>
      <c r="BIA137" s="422"/>
      <c r="BIB137" s="422"/>
      <c r="BIC137" s="422"/>
      <c r="BID137" s="422"/>
      <c r="BIE137" s="422"/>
      <c r="BIF137" s="422"/>
      <c r="BIG137" s="422"/>
      <c r="BIH137" s="422"/>
      <c r="BII137" s="422"/>
      <c r="BIJ137" s="422"/>
      <c r="BIK137" s="422"/>
      <c r="BIL137" s="422"/>
      <c r="BIM137" s="422"/>
      <c r="BIN137" s="422"/>
      <c r="BIO137" s="422"/>
      <c r="BIP137" s="422"/>
      <c r="BIQ137" s="422"/>
      <c r="BIR137" s="422"/>
      <c r="BIS137" s="422"/>
      <c r="BIT137" s="422"/>
      <c r="BIU137" s="422"/>
      <c r="BIV137" s="422"/>
      <c r="BIW137" s="422"/>
      <c r="BIX137" s="422"/>
      <c r="BIY137" s="422"/>
      <c r="BIZ137" s="422"/>
      <c r="BJA137" s="422"/>
      <c r="BJB137" s="422"/>
      <c r="BJC137" s="422"/>
      <c r="BJD137" s="422"/>
      <c r="BJE137" s="422"/>
      <c r="BJF137" s="422"/>
      <c r="BJG137" s="422"/>
      <c r="BJH137" s="422"/>
      <c r="BJI137" s="422"/>
      <c r="BJJ137" s="422"/>
      <c r="BJK137" s="422"/>
      <c r="BJL137" s="422"/>
      <c r="BJM137" s="422"/>
      <c r="BJN137" s="422"/>
      <c r="BJO137" s="422"/>
      <c r="BJP137" s="422"/>
      <c r="BJQ137" s="422"/>
      <c r="BJR137" s="422"/>
      <c r="BJS137" s="422"/>
      <c r="BJT137" s="422"/>
      <c r="BJU137" s="422"/>
      <c r="BJV137" s="422"/>
      <c r="BJW137" s="422"/>
      <c r="BJX137" s="422"/>
      <c r="BJY137" s="422"/>
      <c r="BJZ137" s="422"/>
      <c r="BKA137" s="422"/>
      <c r="BKB137" s="422"/>
      <c r="BKC137" s="422"/>
      <c r="BKD137" s="422"/>
      <c r="BKE137" s="422"/>
      <c r="BKF137" s="422"/>
      <c r="BKG137" s="422"/>
      <c r="BKH137" s="422"/>
      <c r="BKI137" s="422"/>
      <c r="BKJ137" s="422"/>
      <c r="BKK137" s="422"/>
      <c r="BKL137" s="422"/>
      <c r="BKM137" s="422"/>
      <c r="BKN137" s="422"/>
      <c r="BKO137" s="422"/>
      <c r="BKP137" s="422"/>
      <c r="BKQ137" s="422"/>
      <c r="BKR137" s="422"/>
      <c r="BKS137" s="422"/>
      <c r="BKT137" s="422"/>
      <c r="BKU137" s="422"/>
      <c r="BKV137" s="422"/>
      <c r="BKW137" s="422"/>
      <c r="BKX137" s="422"/>
      <c r="BKY137" s="422"/>
      <c r="BKZ137" s="422"/>
      <c r="BLA137" s="422"/>
      <c r="BLB137" s="422"/>
      <c r="BLC137" s="422"/>
      <c r="BLD137" s="422"/>
      <c r="BLE137" s="422"/>
      <c r="BLF137" s="422"/>
      <c r="BLG137" s="422"/>
      <c r="BLH137" s="422"/>
      <c r="BLI137" s="422"/>
      <c r="BLJ137" s="422"/>
      <c r="BLK137" s="422"/>
      <c r="BLL137" s="422"/>
      <c r="BLM137" s="422"/>
      <c r="BLN137" s="422"/>
      <c r="BLO137" s="422"/>
      <c r="BLP137" s="422"/>
      <c r="BLQ137" s="422"/>
      <c r="BLR137" s="422"/>
      <c r="BLS137" s="422"/>
      <c r="BLT137" s="422"/>
      <c r="BLU137" s="422"/>
      <c r="BLV137" s="422"/>
      <c r="BLW137" s="422"/>
      <c r="BLX137" s="422"/>
      <c r="BLY137" s="422"/>
      <c r="BLZ137" s="422"/>
      <c r="BMA137" s="422"/>
      <c r="BMB137" s="422"/>
      <c r="BMC137" s="422"/>
      <c r="BMD137" s="422"/>
      <c r="BME137" s="422"/>
      <c r="BMF137" s="422"/>
      <c r="BMG137" s="422"/>
      <c r="BMH137" s="422"/>
      <c r="BMI137" s="422"/>
      <c r="BMJ137" s="422"/>
      <c r="BMK137" s="422"/>
      <c r="BML137" s="422"/>
      <c r="BMM137" s="422"/>
      <c r="BMN137" s="422"/>
      <c r="BMO137" s="422"/>
      <c r="BMP137" s="422"/>
      <c r="BMQ137" s="422"/>
      <c r="BMR137" s="422"/>
      <c r="BMS137" s="422"/>
      <c r="BMT137" s="422"/>
      <c r="BMU137" s="422"/>
      <c r="BMV137" s="422"/>
      <c r="BMW137" s="422"/>
      <c r="BMX137" s="422"/>
      <c r="BMY137" s="422"/>
      <c r="BMZ137" s="422"/>
      <c r="BNA137" s="422"/>
      <c r="BNB137" s="422"/>
      <c r="BNC137" s="422"/>
      <c r="BND137" s="422"/>
      <c r="BNE137" s="422"/>
      <c r="BNF137" s="422"/>
      <c r="BNG137" s="422"/>
      <c r="BNH137" s="422"/>
      <c r="BNI137" s="422"/>
      <c r="BNJ137" s="422"/>
      <c r="BNK137" s="422"/>
      <c r="BNL137" s="422"/>
      <c r="BNM137" s="422"/>
      <c r="BNN137" s="422"/>
      <c r="BNO137" s="422"/>
      <c r="BNP137" s="422"/>
      <c r="BNQ137" s="422"/>
      <c r="BNR137" s="422"/>
      <c r="BNS137" s="422"/>
      <c r="BNT137" s="422"/>
      <c r="BNU137" s="422"/>
      <c r="BNV137" s="422"/>
      <c r="BNW137" s="422"/>
      <c r="BNX137" s="422"/>
      <c r="BNY137" s="422"/>
      <c r="BNZ137" s="422"/>
      <c r="BOA137" s="422"/>
      <c r="BOB137" s="422"/>
      <c r="BOC137" s="422"/>
      <c r="BOD137" s="422"/>
      <c r="BOE137" s="422"/>
      <c r="BOF137" s="422"/>
      <c r="BOG137" s="422"/>
      <c r="BOH137" s="422"/>
      <c r="BOI137" s="422"/>
      <c r="BOJ137" s="422"/>
      <c r="BOK137" s="422"/>
      <c r="BOL137" s="422"/>
      <c r="BOM137" s="422"/>
      <c r="BON137" s="422"/>
      <c r="BOO137" s="422"/>
      <c r="BOP137" s="422"/>
      <c r="BOQ137" s="422"/>
      <c r="BOR137" s="422"/>
      <c r="BOS137" s="422"/>
      <c r="BOT137" s="422"/>
      <c r="BOU137" s="422"/>
      <c r="BOV137" s="422"/>
      <c r="BOW137" s="422"/>
      <c r="BOX137" s="422"/>
      <c r="BOY137" s="422"/>
      <c r="BOZ137" s="422"/>
      <c r="BPA137" s="422"/>
      <c r="BPB137" s="422"/>
      <c r="BPC137" s="422"/>
      <c r="BPD137" s="422"/>
      <c r="BPE137" s="422"/>
      <c r="BPF137" s="422"/>
      <c r="BPG137" s="422"/>
      <c r="BPH137" s="422"/>
      <c r="BPI137" s="422"/>
      <c r="BPJ137" s="422"/>
      <c r="BPK137" s="422"/>
      <c r="BPL137" s="422"/>
      <c r="BPM137" s="422"/>
      <c r="BPN137" s="422"/>
      <c r="BPO137" s="422"/>
      <c r="BPP137" s="422"/>
      <c r="BPQ137" s="422"/>
      <c r="BPR137" s="422"/>
      <c r="BPS137" s="422"/>
      <c r="BPT137" s="422"/>
      <c r="BPU137" s="422"/>
      <c r="BPV137" s="422"/>
      <c r="BPW137" s="422"/>
      <c r="BPX137" s="422"/>
      <c r="BPY137" s="422"/>
      <c r="BPZ137" s="422"/>
      <c r="BQA137" s="422"/>
      <c r="BQB137" s="422"/>
      <c r="BQC137" s="422"/>
      <c r="BQD137" s="422"/>
      <c r="BQE137" s="422"/>
      <c r="BQF137" s="422"/>
      <c r="BQG137" s="422"/>
      <c r="BQH137" s="422"/>
      <c r="BQI137" s="422"/>
      <c r="BQJ137" s="422"/>
      <c r="BQK137" s="422"/>
      <c r="BQL137" s="422"/>
      <c r="BQM137" s="422"/>
      <c r="BQN137" s="422"/>
      <c r="BQO137" s="422"/>
      <c r="BQP137" s="422"/>
      <c r="BQQ137" s="422"/>
      <c r="BQR137" s="422"/>
      <c r="BQS137" s="422"/>
      <c r="BQT137" s="422"/>
      <c r="BQU137" s="422"/>
      <c r="BQV137" s="422"/>
      <c r="BQW137" s="422"/>
      <c r="BQX137" s="422"/>
      <c r="BQY137" s="422"/>
      <c r="BQZ137" s="422"/>
      <c r="BRA137" s="422"/>
      <c r="BRB137" s="422"/>
      <c r="BRC137" s="422"/>
      <c r="BRD137" s="422"/>
      <c r="BRE137" s="422"/>
      <c r="BRF137" s="422"/>
      <c r="BRG137" s="422"/>
      <c r="BRH137" s="422"/>
      <c r="BRI137" s="422"/>
      <c r="BRJ137" s="422"/>
      <c r="BRK137" s="422"/>
      <c r="BRL137" s="422"/>
      <c r="BRM137" s="422"/>
      <c r="BRN137" s="422"/>
      <c r="BRO137" s="422"/>
      <c r="BRP137" s="422"/>
      <c r="BRQ137" s="422"/>
      <c r="BRR137" s="422"/>
      <c r="BRS137" s="422"/>
      <c r="BRT137" s="422"/>
      <c r="BRU137" s="422"/>
      <c r="BRV137" s="422"/>
      <c r="BRW137" s="422"/>
      <c r="BRX137" s="422"/>
      <c r="BRY137" s="422"/>
      <c r="BRZ137" s="422"/>
      <c r="BSA137" s="422"/>
      <c r="BSB137" s="422"/>
      <c r="BSC137" s="422"/>
      <c r="BSD137" s="422"/>
      <c r="BSE137" s="422"/>
      <c r="BSF137" s="422"/>
      <c r="BSG137" s="422"/>
      <c r="BSH137" s="422"/>
      <c r="BSI137" s="422"/>
      <c r="BSJ137" s="422"/>
      <c r="BSK137" s="422"/>
      <c r="BSL137" s="422"/>
      <c r="BSM137" s="422"/>
      <c r="BSN137" s="422"/>
      <c r="BSO137" s="422"/>
      <c r="BSP137" s="422"/>
      <c r="BSQ137" s="422"/>
      <c r="BSR137" s="422"/>
      <c r="BSS137" s="422"/>
      <c r="BST137" s="422"/>
      <c r="BSU137" s="422"/>
      <c r="BSV137" s="422"/>
      <c r="BSW137" s="422"/>
      <c r="BSX137" s="422"/>
      <c r="BSY137" s="422"/>
      <c r="BSZ137" s="422"/>
      <c r="BTA137" s="422"/>
      <c r="BTB137" s="422"/>
      <c r="BTC137" s="422"/>
      <c r="BTD137" s="422"/>
      <c r="BTE137" s="422"/>
      <c r="BTF137" s="422"/>
      <c r="BTG137" s="422"/>
      <c r="BTH137" s="422"/>
      <c r="BTI137" s="422"/>
      <c r="BTJ137" s="422"/>
      <c r="BTK137" s="422"/>
      <c r="BTL137" s="422"/>
      <c r="BTM137" s="422"/>
      <c r="BTN137" s="422"/>
      <c r="BTO137" s="422"/>
      <c r="BTP137" s="422"/>
      <c r="BTQ137" s="422"/>
      <c r="BTR137" s="422"/>
      <c r="BTS137" s="422"/>
      <c r="BTT137" s="422"/>
      <c r="BTU137" s="422"/>
      <c r="BTV137" s="422"/>
      <c r="BTW137" s="422"/>
      <c r="BTX137" s="422"/>
      <c r="BTY137" s="422"/>
      <c r="BTZ137" s="422"/>
      <c r="BUA137" s="422"/>
      <c r="BUB137" s="422"/>
      <c r="BUC137" s="422"/>
      <c r="BUD137" s="422"/>
      <c r="BUE137" s="422"/>
      <c r="BUF137" s="422"/>
      <c r="BUG137" s="422"/>
      <c r="BUH137" s="422"/>
      <c r="BUI137" s="422"/>
      <c r="BUJ137" s="422"/>
      <c r="BUK137" s="422"/>
      <c r="BUL137" s="422"/>
      <c r="BUM137" s="422"/>
      <c r="BUN137" s="422"/>
      <c r="BUO137" s="422"/>
      <c r="BUP137" s="422"/>
      <c r="BUQ137" s="422"/>
      <c r="BUR137" s="422"/>
      <c r="BUS137" s="422"/>
      <c r="BUT137" s="422"/>
      <c r="BUU137" s="422"/>
      <c r="BUV137" s="422"/>
      <c r="BUW137" s="422"/>
      <c r="BUX137" s="422"/>
      <c r="BUY137" s="422"/>
      <c r="BUZ137" s="422"/>
      <c r="BVA137" s="422"/>
      <c r="BVB137" s="422"/>
      <c r="BVC137" s="422"/>
      <c r="BVD137" s="422"/>
      <c r="BVE137" s="422"/>
      <c r="BVF137" s="422"/>
      <c r="BVG137" s="422"/>
      <c r="BVH137" s="422"/>
      <c r="BVI137" s="422"/>
      <c r="BVJ137" s="422"/>
      <c r="BVK137" s="422"/>
      <c r="BVL137" s="422"/>
      <c r="BVM137" s="422"/>
      <c r="BVN137" s="422"/>
      <c r="BVO137" s="422"/>
      <c r="BVP137" s="422"/>
      <c r="BVQ137" s="422"/>
      <c r="BVR137" s="422"/>
      <c r="BVS137" s="422"/>
      <c r="BVT137" s="422"/>
      <c r="BVU137" s="422"/>
      <c r="BVV137" s="422"/>
      <c r="BVW137" s="422"/>
      <c r="BVX137" s="422"/>
      <c r="BVY137" s="422"/>
      <c r="BVZ137" s="422"/>
      <c r="BWA137" s="422"/>
      <c r="BWB137" s="422"/>
      <c r="BWC137" s="422"/>
      <c r="BWD137" s="422"/>
      <c r="BWE137" s="422"/>
      <c r="BWF137" s="422"/>
      <c r="BWG137" s="422"/>
      <c r="BWH137" s="422"/>
      <c r="BWI137" s="422"/>
      <c r="BWJ137" s="422"/>
      <c r="BWK137" s="422"/>
      <c r="BWL137" s="422"/>
      <c r="BWM137" s="422"/>
      <c r="BWN137" s="422"/>
      <c r="BWO137" s="422"/>
      <c r="BWP137" s="422"/>
      <c r="BWQ137" s="422"/>
      <c r="BWR137" s="422"/>
      <c r="BWS137" s="422"/>
      <c r="BWT137" s="422"/>
      <c r="BWU137" s="422"/>
      <c r="BWV137" s="422"/>
      <c r="BWW137" s="422"/>
      <c r="BWX137" s="422"/>
      <c r="BWY137" s="422"/>
      <c r="BWZ137" s="422"/>
      <c r="BXA137" s="422"/>
      <c r="BXB137" s="422"/>
      <c r="BXC137" s="422"/>
      <c r="BXD137" s="422"/>
      <c r="BXE137" s="422"/>
      <c r="BXF137" s="422"/>
      <c r="BXG137" s="422"/>
      <c r="BXH137" s="422"/>
      <c r="BXI137" s="422"/>
      <c r="BXJ137" s="422"/>
      <c r="BXK137" s="422"/>
      <c r="BXL137" s="422"/>
      <c r="BXM137" s="422"/>
      <c r="BXN137" s="422"/>
      <c r="BXO137" s="422"/>
      <c r="BXP137" s="422"/>
      <c r="BXQ137" s="422"/>
      <c r="BXR137" s="422"/>
      <c r="BXS137" s="422"/>
      <c r="BXT137" s="422"/>
      <c r="BXU137" s="422"/>
      <c r="BXV137" s="422"/>
      <c r="BXW137" s="422"/>
      <c r="BXX137" s="422"/>
      <c r="BXY137" s="422"/>
      <c r="BXZ137" s="422"/>
      <c r="BYA137" s="422"/>
      <c r="BYB137" s="422"/>
      <c r="BYC137" s="422"/>
      <c r="BYD137" s="422"/>
      <c r="BYE137" s="422"/>
      <c r="BYF137" s="422"/>
      <c r="BYG137" s="422"/>
      <c r="BYH137" s="422"/>
      <c r="BYI137" s="422"/>
      <c r="BYJ137" s="422"/>
      <c r="BYK137" s="422"/>
      <c r="BYL137" s="422"/>
      <c r="BYM137" s="422"/>
      <c r="BYN137" s="422"/>
      <c r="BYO137" s="422"/>
      <c r="BYP137" s="422"/>
      <c r="BYQ137" s="422"/>
      <c r="BYR137" s="422"/>
      <c r="BYS137" s="422"/>
      <c r="BYT137" s="422"/>
      <c r="BYU137" s="422"/>
      <c r="BYV137" s="422"/>
      <c r="BYW137" s="422"/>
      <c r="BYX137" s="422"/>
      <c r="BYY137" s="422"/>
      <c r="BYZ137" s="422"/>
      <c r="BZA137" s="422"/>
      <c r="BZB137" s="422"/>
      <c r="BZC137" s="422"/>
      <c r="BZD137" s="422"/>
      <c r="BZE137" s="422"/>
      <c r="BZF137" s="422"/>
      <c r="BZG137" s="422"/>
      <c r="BZH137" s="422"/>
      <c r="BZI137" s="422"/>
      <c r="BZJ137" s="422"/>
      <c r="BZK137" s="422"/>
      <c r="BZL137" s="422"/>
      <c r="BZM137" s="422"/>
      <c r="BZN137" s="422"/>
      <c r="BZO137" s="422"/>
      <c r="BZP137" s="422"/>
      <c r="BZQ137" s="422"/>
      <c r="BZR137" s="422"/>
      <c r="BZS137" s="422"/>
      <c r="BZT137" s="422"/>
      <c r="BZU137" s="422"/>
      <c r="BZV137" s="422"/>
      <c r="BZW137" s="422"/>
      <c r="BZX137" s="422"/>
      <c r="BZY137" s="422"/>
      <c r="BZZ137" s="422"/>
      <c r="CAA137" s="422"/>
      <c r="CAB137" s="422"/>
      <c r="CAC137" s="422"/>
      <c r="CAD137" s="422"/>
      <c r="CAE137" s="422"/>
      <c r="CAF137" s="422"/>
      <c r="CAG137" s="422"/>
      <c r="CAH137" s="422"/>
      <c r="CAI137" s="422"/>
      <c r="CAJ137" s="422"/>
      <c r="CAK137" s="422"/>
      <c r="CAL137" s="422"/>
      <c r="CAM137" s="422"/>
      <c r="CAN137" s="422"/>
      <c r="CAO137" s="422"/>
      <c r="CAP137" s="422"/>
      <c r="CAQ137" s="422"/>
      <c r="CAR137" s="422"/>
      <c r="CAS137" s="422"/>
      <c r="CAT137" s="422"/>
      <c r="CAU137" s="422"/>
      <c r="CAV137" s="422"/>
      <c r="CAW137" s="422"/>
      <c r="CAX137" s="422"/>
      <c r="CAY137" s="422"/>
      <c r="CAZ137" s="422"/>
      <c r="CBA137" s="422"/>
      <c r="CBB137" s="422"/>
      <c r="CBC137" s="422"/>
      <c r="CBD137" s="422"/>
      <c r="CBE137" s="422"/>
      <c r="CBF137" s="422"/>
      <c r="CBG137" s="422"/>
      <c r="CBH137" s="422"/>
      <c r="CBI137" s="422"/>
      <c r="CBJ137" s="422"/>
      <c r="CBK137" s="422"/>
      <c r="CBL137" s="422"/>
      <c r="CBM137" s="422"/>
      <c r="CBN137" s="422"/>
      <c r="CBO137" s="422"/>
      <c r="CBP137" s="422"/>
      <c r="CBQ137" s="422"/>
      <c r="CBR137" s="422"/>
      <c r="CBS137" s="422"/>
      <c r="CBT137" s="422"/>
      <c r="CBU137" s="422"/>
      <c r="CBV137" s="422"/>
      <c r="CBW137" s="422"/>
      <c r="CBX137" s="422"/>
      <c r="CBY137" s="422"/>
      <c r="CBZ137" s="422"/>
      <c r="CCA137" s="422"/>
      <c r="CCB137" s="422"/>
      <c r="CCC137" s="422"/>
      <c r="CCD137" s="422"/>
      <c r="CCE137" s="422"/>
      <c r="CCF137" s="422"/>
      <c r="CCG137" s="422"/>
      <c r="CCH137" s="422"/>
      <c r="CCI137" s="422"/>
      <c r="CCJ137" s="422"/>
      <c r="CCK137" s="422"/>
      <c r="CCL137" s="422"/>
      <c r="CCM137" s="422"/>
      <c r="CCN137" s="422"/>
      <c r="CCO137" s="422"/>
      <c r="CCP137" s="422"/>
      <c r="CCQ137" s="422"/>
      <c r="CCR137" s="422"/>
      <c r="CCS137" s="422"/>
      <c r="CCT137" s="422"/>
      <c r="CCU137" s="422"/>
      <c r="CCV137" s="422"/>
      <c r="CCW137" s="422"/>
      <c r="CCX137" s="422"/>
      <c r="CCY137" s="422"/>
      <c r="CCZ137" s="422"/>
      <c r="CDA137" s="422"/>
      <c r="CDB137" s="422"/>
      <c r="CDC137" s="422"/>
      <c r="CDD137" s="422"/>
      <c r="CDE137" s="422"/>
      <c r="CDF137" s="422"/>
      <c r="CDG137" s="422"/>
      <c r="CDH137" s="422"/>
      <c r="CDI137" s="422"/>
      <c r="CDJ137" s="422"/>
      <c r="CDK137" s="422"/>
      <c r="CDL137" s="422"/>
      <c r="CDM137" s="422"/>
      <c r="CDN137" s="422"/>
      <c r="CDO137" s="422"/>
      <c r="CDP137" s="422"/>
      <c r="CDQ137" s="422"/>
      <c r="CDR137" s="422"/>
      <c r="CDS137" s="422"/>
      <c r="CDT137" s="422"/>
      <c r="CDU137" s="422"/>
      <c r="CDV137" s="422"/>
      <c r="CDW137" s="422"/>
      <c r="CDX137" s="422"/>
      <c r="CDY137" s="422"/>
      <c r="CDZ137" s="422"/>
      <c r="CEA137" s="422"/>
      <c r="CEB137" s="422"/>
      <c r="CEC137" s="422"/>
      <c r="CED137" s="422"/>
      <c r="CEE137" s="422"/>
      <c r="CEF137" s="422"/>
      <c r="CEG137" s="422"/>
      <c r="CEH137" s="422"/>
      <c r="CEI137" s="422"/>
      <c r="CEJ137" s="422"/>
      <c r="CEK137" s="422"/>
      <c r="CEL137" s="422"/>
      <c r="CEM137" s="422"/>
      <c r="CEN137" s="422"/>
      <c r="CEO137" s="422"/>
      <c r="CEP137" s="422"/>
      <c r="CEQ137" s="422"/>
      <c r="CER137" s="422"/>
      <c r="CES137" s="422"/>
      <c r="CET137" s="422"/>
      <c r="CEU137" s="422"/>
      <c r="CEV137" s="422"/>
      <c r="CEW137" s="422"/>
      <c r="CEX137" s="422"/>
      <c r="CEY137" s="422"/>
      <c r="CEZ137" s="422"/>
      <c r="CFA137" s="422"/>
      <c r="CFB137" s="422"/>
      <c r="CFC137" s="422"/>
      <c r="CFD137" s="422"/>
      <c r="CFE137" s="422"/>
      <c r="CFF137" s="422"/>
      <c r="CFG137" s="422"/>
      <c r="CFH137" s="422"/>
      <c r="CFI137" s="422"/>
      <c r="CFJ137" s="422"/>
      <c r="CFK137" s="422"/>
      <c r="CFL137" s="422"/>
      <c r="CFM137" s="422"/>
      <c r="CFN137" s="422"/>
      <c r="CFO137" s="422"/>
      <c r="CFP137" s="422"/>
      <c r="CFQ137" s="422"/>
      <c r="CFR137" s="422"/>
      <c r="CFS137" s="422"/>
      <c r="CFT137" s="422"/>
      <c r="CFU137" s="422"/>
      <c r="CFV137" s="422"/>
      <c r="CFW137" s="422"/>
      <c r="CFX137" s="422"/>
      <c r="CFY137" s="422"/>
      <c r="CFZ137" s="422"/>
      <c r="CGA137" s="422"/>
      <c r="CGB137" s="422"/>
      <c r="CGC137" s="422"/>
      <c r="CGD137" s="422"/>
      <c r="CGE137" s="422"/>
      <c r="CGF137" s="422"/>
      <c r="CGG137" s="422"/>
      <c r="CGH137" s="422"/>
      <c r="CGI137" s="422"/>
      <c r="CGJ137" s="422"/>
      <c r="CGK137" s="422"/>
      <c r="CGL137" s="422"/>
      <c r="CGM137" s="422"/>
      <c r="CGN137" s="422"/>
      <c r="CGO137" s="422"/>
      <c r="CGP137" s="422"/>
      <c r="CGQ137" s="422"/>
      <c r="CGR137" s="422"/>
      <c r="CGS137" s="422"/>
      <c r="CGT137" s="422"/>
      <c r="CGU137" s="422"/>
      <c r="CGV137" s="422"/>
      <c r="CGW137" s="422"/>
      <c r="CGX137" s="422"/>
      <c r="CGY137" s="422"/>
      <c r="CGZ137" s="422"/>
      <c r="CHA137" s="422"/>
      <c r="CHB137" s="422"/>
      <c r="CHC137" s="422"/>
      <c r="CHD137" s="422"/>
      <c r="CHE137" s="422"/>
      <c r="CHF137" s="422"/>
      <c r="CHG137" s="422"/>
      <c r="CHH137" s="422"/>
      <c r="CHI137" s="422"/>
      <c r="CHJ137" s="422"/>
      <c r="CHK137" s="422"/>
      <c r="CHL137" s="422"/>
      <c r="CHM137" s="422"/>
      <c r="CHN137" s="422"/>
      <c r="CHO137" s="422"/>
      <c r="CHP137" s="422"/>
      <c r="CHQ137" s="422"/>
      <c r="CHR137" s="422"/>
      <c r="CHS137" s="422"/>
      <c r="CHT137" s="422"/>
      <c r="CHU137" s="422"/>
      <c r="CHV137" s="422"/>
      <c r="CHW137" s="422"/>
      <c r="CHX137" s="422"/>
      <c r="CHY137" s="422"/>
      <c r="CHZ137" s="422"/>
      <c r="CIA137" s="422"/>
      <c r="CIB137" s="422"/>
      <c r="CIC137" s="422"/>
      <c r="CID137" s="422"/>
      <c r="CIE137" s="422"/>
      <c r="CIF137" s="422"/>
      <c r="CIG137" s="422"/>
      <c r="CIH137" s="422"/>
      <c r="CII137" s="422"/>
      <c r="CIJ137" s="422"/>
      <c r="CIK137" s="422"/>
      <c r="CIL137" s="422"/>
      <c r="CIM137" s="422"/>
      <c r="CIN137" s="422"/>
      <c r="CIO137" s="422"/>
      <c r="CIP137" s="422"/>
      <c r="CIQ137" s="422"/>
      <c r="CIR137" s="422"/>
      <c r="CIS137" s="422"/>
      <c r="CIT137" s="422"/>
      <c r="CIU137" s="422"/>
      <c r="CIV137" s="422"/>
      <c r="CIW137" s="422"/>
      <c r="CIX137" s="422"/>
      <c r="CIY137" s="422"/>
      <c r="CIZ137" s="422"/>
      <c r="CJA137" s="422"/>
      <c r="CJB137" s="422"/>
      <c r="CJC137" s="422"/>
      <c r="CJD137" s="422"/>
      <c r="CJE137" s="422"/>
      <c r="CJF137" s="422"/>
      <c r="CJG137" s="422"/>
      <c r="CJH137" s="422"/>
      <c r="CJI137" s="422"/>
      <c r="CJJ137" s="422"/>
      <c r="CJK137" s="422"/>
      <c r="CJL137" s="422"/>
      <c r="CJM137" s="422"/>
      <c r="CJN137" s="422"/>
      <c r="CJO137" s="422"/>
      <c r="CJP137" s="422"/>
      <c r="CJQ137" s="422"/>
      <c r="CJR137" s="422"/>
      <c r="CJS137" s="422"/>
      <c r="CJT137" s="422"/>
      <c r="CJU137" s="422"/>
      <c r="CJV137" s="422"/>
      <c r="CJW137" s="422"/>
      <c r="CJX137" s="422"/>
      <c r="CJY137" s="422"/>
      <c r="CJZ137" s="422"/>
      <c r="CKA137" s="422"/>
      <c r="CKB137" s="422"/>
      <c r="CKC137" s="422"/>
      <c r="CKD137" s="422"/>
      <c r="CKE137" s="422"/>
      <c r="CKF137" s="422"/>
      <c r="CKG137" s="422"/>
      <c r="CKH137" s="422"/>
      <c r="CKI137" s="422"/>
      <c r="CKJ137" s="422"/>
      <c r="CKK137" s="422"/>
      <c r="CKL137" s="422"/>
      <c r="CKM137" s="422"/>
      <c r="CKN137" s="422"/>
      <c r="CKO137" s="422"/>
      <c r="CKP137" s="422"/>
      <c r="CKQ137" s="422"/>
      <c r="CKR137" s="422"/>
      <c r="CKS137" s="422"/>
      <c r="CKT137" s="422"/>
      <c r="CKU137" s="422"/>
      <c r="CKV137" s="422"/>
      <c r="CKW137" s="422"/>
      <c r="CKX137" s="422"/>
      <c r="CKY137" s="422"/>
      <c r="CKZ137" s="422"/>
      <c r="CLA137" s="422"/>
      <c r="CLB137" s="422"/>
      <c r="CLC137" s="422"/>
      <c r="CLD137" s="422"/>
      <c r="CLE137" s="422"/>
      <c r="CLF137" s="422"/>
      <c r="CLG137" s="422"/>
      <c r="CLH137" s="422"/>
      <c r="CLI137" s="422"/>
      <c r="CLJ137" s="422"/>
      <c r="CLK137" s="422"/>
      <c r="CLL137" s="422"/>
      <c r="CLM137" s="422"/>
      <c r="CLN137" s="422"/>
      <c r="CLO137" s="422"/>
      <c r="CLP137" s="422"/>
      <c r="CLQ137" s="422"/>
      <c r="CLR137" s="422"/>
      <c r="CLS137" s="422"/>
      <c r="CLT137" s="422"/>
      <c r="CLU137" s="422"/>
      <c r="CLV137" s="422"/>
      <c r="CLW137" s="422"/>
      <c r="CLX137" s="422"/>
      <c r="CLY137" s="422"/>
      <c r="CLZ137" s="422"/>
      <c r="CMA137" s="422"/>
      <c r="CMB137" s="422"/>
      <c r="CMC137" s="422"/>
      <c r="CMD137" s="422"/>
      <c r="CME137" s="422"/>
      <c r="CMF137" s="422"/>
      <c r="CMG137" s="422"/>
      <c r="CMH137" s="422"/>
      <c r="CMI137" s="422"/>
      <c r="CMJ137" s="422"/>
      <c r="CMK137" s="422"/>
      <c r="CML137" s="422"/>
      <c r="CMM137" s="422"/>
      <c r="CMN137" s="422"/>
      <c r="CMO137" s="422"/>
      <c r="CMP137" s="422"/>
      <c r="CMQ137" s="422"/>
      <c r="CMR137" s="422"/>
      <c r="CMS137" s="422"/>
      <c r="CMT137" s="422"/>
      <c r="CMU137" s="422"/>
      <c r="CMV137" s="422"/>
      <c r="CMW137" s="422"/>
      <c r="CMX137" s="422"/>
      <c r="CMY137" s="422"/>
      <c r="CMZ137" s="422"/>
      <c r="CNA137" s="422"/>
      <c r="CNB137" s="422"/>
      <c r="CNC137" s="422"/>
      <c r="CND137" s="422"/>
      <c r="CNE137" s="422"/>
      <c r="CNF137" s="422"/>
      <c r="CNG137" s="422"/>
      <c r="CNH137" s="422"/>
      <c r="CNI137" s="422"/>
      <c r="CNJ137" s="422"/>
      <c r="CNK137" s="422"/>
      <c r="CNL137" s="422"/>
      <c r="CNM137" s="422"/>
      <c r="CNN137" s="422"/>
      <c r="CNO137" s="422"/>
      <c r="CNP137" s="422"/>
      <c r="CNQ137" s="422"/>
      <c r="CNR137" s="422"/>
      <c r="CNS137" s="422"/>
      <c r="CNT137" s="422"/>
      <c r="CNU137" s="422"/>
      <c r="CNV137" s="422"/>
      <c r="CNW137" s="422"/>
      <c r="CNX137" s="422"/>
      <c r="CNY137" s="422"/>
      <c r="CNZ137" s="422"/>
      <c r="COA137" s="422"/>
      <c r="COB137" s="422"/>
      <c r="COC137" s="422"/>
      <c r="COD137" s="422"/>
      <c r="COE137" s="422"/>
      <c r="COF137" s="422"/>
      <c r="COG137" s="422"/>
      <c r="COH137" s="422"/>
      <c r="COI137" s="422"/>
      <c r="COJ137" s="422"/>
      <c r="COK137" s="422"/>
      <c r="COL137" s="422"/>
      <c r="COM137" s="422"/>
      <c r="CON137" s="422"/>
      <c r="COO137" s="422"/>
      <c r="COP137" s="422"/>
      <c r="COQ137" s="422"/>
      <c r="COR137" s="422"/>
      <c r="COS137" s="422"/>
      <c r="COT137" s="422"/>
      <c r="COU137" s="422"/>
      <c r="COV137" s="422"/>
      <c r="COW137" s="422"/>
      <c r="COX137" s="422"/>
      <c r="COY137" s="422"/>
      <c r="COZ137" s="422"/>
      <c r="CPA137" s="422"/>
      <c r="CPB137" s="422"/>
      <c r="CPC137" s="422"/>
      <c r="CPD137" s="422"/>
      <c r="CPE137" s="422"/>
      <c r="CPF137" s="422"/>
      <c r="CPG137" s="422"/>
      <c r="CPH137" s="422"/>
      <c r="CPI137" s="422"/>
      <c r="CPJ137" s="422"/>
      <c r="CPK137" s="422"/>
      <c r="CPL137" s="422"/>
      <c r="CPM137" s="422"/>
      <c r="CPN137" s="422"/>
      <c r="CPO137" s="422"/>
      <c r="CPP137" s="422"/>
      <c r="CPQ137" s="422"/>
      <c r="CPR137" s="422"/>
      <c r="CPS137" s="422"/>
      <c r="CPT137" s="422"/>
      <c r="CPU137" s="422"/>
      <c r="CPV137" s="422"/>
      <c r="CPW137" s="422"/>
      <c r="CPX137" s="422"/>
      <c r="CPY137" s="422"/>
      <c r="CPZ137" s="422"/>
      <c r="CQA137" s="422"/>
      <c r="CQB137" s="422"/>
      <c r="CQC137" s="422"/>
      <c r="CQD137" s="422"/>
      <c r="CQE137" s="422"/>
      <c r="CQF137" s="422"/>
      <c r="CQG137" s="422"/>
      <c r="CQH137" s="422"/>
      <c r="CQI137" s="422"/>
      <c r="CQJ137" s="422"/>
      <c r="CQK137" s="422"/>
      <c r="CQL137" s="422"/>
      <c r="CQM137" s="422"/>
      <c r="CQN137" s="422"/>
      <c r="CQO137" s="422"/>
      <c r="CQP137" s="422"/>
      <c r="CQQ137" s="422"/>
      <c r="CQR137" s="422"/>
      <c r="CQS137" s="422"/>
      <c r="CQT137" s="422"/>
      <c r="CQU137" s="422"/>
      <c r="CQV137" s="422"/>
      <c r="CQW137" s="422"/>
      <c r="CQX137" s="422"/>
      <c r="CQY137" s="422"/>
      <c r="CQZ137" s="422"/>
      <c r="CRA137" s="422"/>
      <c r="CRB137" s="422"/>
      <c r="CRC137" s="422"/>
      <c r="CRD137" s="422"/>
      <c r="CRE137" s="422"/>
      <c r="CRF137" s="422"/>
      <c r="CRG137" s="422"/>
      <c r="CRH137" s="422"/>
      <c r="CRI137" s="422"/>
      <c r="CRJ137" s="422"/>
      <c r="CRK137" s="422"/>
      <c r="CRL137" s="422"/>
      <c r="CRM137" s="422"/>
      <c r="CRN137" s="422"/>
      <c r="CRO137" s="422"/>
      <c r="CRP137" s="422"/>
      <c r="CRQ137" s="422"/>
      <c r="CRR137" s="422"/>
      <c r="CRS137" s="422"/>
      <c r="CRT137" s="422"/>
      <c r="CRU137" s="422"/>
      <c r="CRV137" s="422"/>
      <c r="CRW137" s="422"/>
      <c r="CRX137" s="422"/>
      <c r="CRY137" s="422"/>
      <c r="CRZ137" s="422"/>
      <c r="CSA137" s="422"/>
      <c r="CSB137" s="422"/>
      <c r="CSC137" s="422"/>
      <c r="CSD137" s="422"/>
      <c r="CSE137" s="422"/>
      <c r="CSF137" s="422"/>
      <c r="CSG137" s="422"/>
      <c r="CSH137" s="422"/>
      <c r="CSI137" s="422"/>
      <c r="CSJ137" s="422"/>
      <c r="CSK137" s="422"/>
      <c r="CSL137" s="422"/>
      <c r="CSM137" s="422"/>
      <c r="CSN137" s="422"/>
      <c r="CSO137" s="422"/>
      <c r="CSP137" s="422"/>
      <c r="CSQ137" s="422"/>
      <c r="CSR137" s="422"/>
      <c r="CSS137" s="422"/>
      <c r="CST137" s="422"/>
      <c r="CSU137" s="422"/>
      <c r="CSV137" s="422"/>
      <c r="CSW137" s="422"/>
      <c r="CSX137" s="422"/>
      <c r="CSY137" s="422"/>
      <c r="CSZ137" s="422"/>
      <c r="CTA137" s="422"/>
      <c r="CTB137" s="422"/>
      <c r="CTC137" s="422"/>
      <c r="CTD137" s="422"/>
      <c r="CTE137" s="422"/>
      <c r="CTF137" s="422"/>
      <c r="CTG137" s="422"/>
      <c r="CTH137" s="422"/>
      <c r="CTI137" s="422"/>
      <c r="CTJ137" s="422"/>
      <c r="CTK137" s="422"/>
      <c r="CTL137" s="422"/>
      <c r="CTM137" s="422"/>
      <c r="CTN137" s="422"/>
      <c r="CTO137" s="422"/>
      <c r="CTP137" s="422"/>
      <c r="CTQ137" s="422"/>
      <c r="CTR137" s="422"/>
      <c r="CTS137" s="422"/>
      <c r="CTT137" s="422"/>
      <c r="CTU137" s="422"/>
      <c r="CTV137" s="422"/>
      <c r="CTW137" s="422"/>
      <c r="CTX137" s="422"/>
      <c r="CTY137" s="422"/>
      <c r="CTZ137" s="422"/>
      <c r="CUA137" s="422"/>
      <c r="CUB137" s="422"/>
      <c r="CUC137" s="422"/>
      <c r="CUD137" s="422"/>
      <c r="CUE137" s="422"/>
      <c r="CUF137" s="422"/>
      <c r="CUG137" s="422"/>
      <c r="CUH137" s="422"/>
      <c r="CUI137" s="422"/>
      <c r="CUJ137" s="422"/>
      <c r="CUK137" s="422"/>
      <c r="CUL137" s="422"/>
      <c r="CUM137" s="422"/>
      <c r="CUN137" s="422"/>
      <c r="CUO137" s="422"/>
      <c r="CUP137" s="422"/>
      <c r="CUQ137" s="422"/>
      <c r="CUR137" s="422"/>
      <c r="CUS137" s="422"/>
      <c r="CUT137" s="422"/>
      <c r="CUU137" s="422"/>
      <c r="CUV137" s="422"/>
      <c r="CUW137" s="422"/>
      <c r="CUX137" s="422"/>
      <c r="CUY137" s="422"/>
      <c r="CUZ137" s="422"/>
      <c r="CVA137" s="422"/>
      <c r="CVB137" s="422"/>
      <c r="CVC137" s="422"/>
      <c r="CVD137" s="422"/>
      <c r="CVE137" s="422"/>
      <c r="CVF137" s="422"/>
      <c r="CVG137" s="422"/>
      <c r="CVH137" s="422"/>
      <c r="CVI137" s="422"/>
      <c r="CVJ137" s="422"/>
      <c r="CVK137" s="422"/>
      <c r="CVL137" s="422"/>
      <c r="CVM137" s="422"/>
      <c r="CVN137" s="422"/>
      <c r="CVO137" s="422"/>
      <c r="CVP137" s="422"/>
      <c r="CVQ137" s="422"/>
      <c r="CVR137" s="422"/>
      <c r="CVS137" s="422"/>
      <c r="CVT137" s="422"/>
      <c r="CVU137" s="422"/>
      <c r="CVV137" s="422"/>
      <c r="CVW137" s="422"/>
      <c r="CVX137" s="422"/>
      <c r="CVY137" s="422"/>
      <c r="CVZ137" s="422"/>
      <c r="CWA137" s="422"/>
      <c r="CWB137" s="422"/>
      <c r="CWC137" s="422"/>
      <c r="CWD137" s="422"/>
      <c r="CWE137" s="422"/>
      <c r="CWF137" s="422"/>
      <c r="CWG137" s="422"/>
      <c r="CWH137" s="422"/>
      <c r="CWI137" s="422"/>
      <c r="CWJ137" s="422"/>
      <c r="CWK137" s="422"/>
      <c r="CWL137" s="422"/>
      <c r="CWM137" s="422"/>
      <c r="CWN137" s="422"/>
      <c r="CWO137" s="422"/>
      <c r="CWP137" s="422"/>
      <c r="CWQ137" s="422"/>
      <c r="CWR137" s="422"/>
      <c r="CWS137" s="422"/>
      <c r="CWT137" s="422"/>
      <c r="CWU137" s="422"/>
      <c r="CWV137" s="422"/>
      <c r="CWW137" s="422"/>
      <c r="CWX137" s="422"/>
      <c r="CWY137" s="422"/>
      <c r="CWZ137" s="422"/>
      <c r="CXA137" s="422"/>
      <c r="CXB137" s="422"/>
      <c r="CXC137" s="422"/>
      <c r="CXD137" s="422"/>
      <c r="CXE137" s="422"/>
      <c r="CXF137" s="422"/>
      <c r="CXG137" s="422"/>
      <c r="CXH137" s="422"/>
      <c r="CXI137" s="422"/>
      <c r="CXJ137" s="422"/>
      <c r="CXK137" s="422"/>
      <c r="CXL137" s="422"/>
      <c r="CXM137" s="422"/>
      <c r="CXN137" s="422"/>
      <c r="CXO137" s="422"/>
      <c r="CXP137" s="422"/>
      <c r="CXQ137" s="422"/>
      <c r="CXR137" s="422"/>
      <c r="CXS137" s="422"/>
      <c r="CXT137" s="422"/>
      <c r="CXU137" s="422"/>
      <c r="CXV137" s="422"/>
      <c r="CXW137" s="422"/>
      <c r="CXX137" s="422"/>
      <c r="CXY137" s="422"/>
      <c r="CXZ137" s="422"/>
      <c r="CYA137" s="422"/>
      <c r="CYB137" s="422"/>
      <c r="CYC137" s="422"/>
      <c r="CYD137" s="422"/>
      <c r="CYE137" s="422"/>
      <c r="CYF137" s="422"/>
      <c r="CYG137" s="422"/>
      <c r="CYH137" s="422"/>
      <c r="CYI137" s="422"/>
      <c r="CYJ137" s="422"/>
      <c r="CYK137" s="422"/>
      <c r="CYL137" s="422"/>
      <c r="CYM137" s="422"/>
      <c r="CYN137" s="422"/>
      <c r="CYO137" s="422"/>
      <c r="CYP137" s="422"/>
      <c r="CYQ137" s="422"/>
      <c r="CYR137" s="422"/>
      <c r="CYS137" s="422"/>
      <c r="CYT137" s="422"/>
      <c r="CYU137" s="422"/>
      <c r="CYV137" s="422"/>
      <c r="CYW137" s="422"/>
      <c r="CYX137" s="422"/>
      <c r="CYY137" s="422"/>
      <c r="CYZ137" s="422"/>
      <c r="CZA137" s="422"/>
      <c r="CZB137" s="422"/>
      <c r="CZC137" s="422"/>
      <c r="CZD137" s="422"/>
      <c r="CZE137" s="422"/>
      <c r="CZF137" s="422"/>
      <c r="CZG137" s="422"/>
      <c r="CZH137" s="422"/>
      <c r="CZI137" s="422"/>
      <c r="CZJ137" s="422"/>
      <c r="CZK137" s="422"/>
      <c r="CZL137" s="422"/>
      <c r="CZM137" s="422"/>
      <c r="CZN137" s="422"/>
      <c r="CZO137" s="422"/>
      <c r="CZP137" s="422"/>
      <c r="CZQ137" s="422"/>
      <c r="CZR137" s="422"/>
      <c r="CZS137" s="422"/>
      <c r="CZT137" s="422"/>
      <c r="CZU137" s="422"/>
      <c r="CZV137" s="422"/>
      <c r="CZW137" s="422"/>
      <c r="CZX137" s="422"/>
      <c r="CZY137" s="422"/>
      <c r="CZZ137" s="422"/>
      <c r="DAA137" s="422"/>
      <c r="DAB137" s="422"/>
      <c r="DAC137" s="422"/>
      <c r="DAD137" s="422"/>
      <c r="DAE137" s="422"/>
      <c r="DAF137" s="422"/>
      <c r="DAG137" s="422"/>
      <c r="DAH137" s="422"/>
      <c r="DAI137" s="422"/>
      <c r="DAJ137" s="422"/>
      <c r="DAK137" s="422"/>
      <c r="DAL137" s="422"/>
      <c r="DAM137" s="422"/>
      <c r="DAN137" s="422"/>
      <c r="DAO137" s="422"/>
      <c r="DAP137" s="422"/>
      <c r="DAQ137" s="422"/>
      <c r="DAR137" s="422"/>
      <c r="DAS137" s="422"/>
      <c r="DAT137" s="422"/>
      <c r="DAU137" s="422"/>
      <c r="DAV137" s="422"/>
      <c r="DAW137" s="422"/>
      <c r="DAX137" s="422"/>
      <c r="DAY137" s="422"/>
      <c r="DAZ137" s="422"/>
      <c r="DBA137" s="422"/>
      <c r="DBB137" s="422"/>
      <c r="DBC137" s="422"/>
      <c r="DBD137" s="422"/>
      <c r="DBE137" s="422"/>
      <c r="DBF137" s="422"/>
      <c r="DBG137" s="422"/>
      <c r="DBH137" s="422"/>
      <c r="DBI137" s="422"/>
      <c r="DBJ137" s="422"/>
      <c r="DBK137" s="422"/>
      <c r="DBL137" s="422"/>
      <c r="DBM137" s="422"/>
      <c r="DBN137" s="422"/>
      <c r="DBO137" s="422"/>
      <c r="DBP137" s="422"/>
      <c r="DBQ137" s="422"/>
      <c r="DBR137" s="422"/>
      <c r="DBS137" s="422"/>
      <c r="DBT137" s="422"/>
      <c r="DBU137" s="422"/>
      <c r="DBV137" s="422"/>
      <c r="DBW137" s="422"/>
      <c r="DBX137" s="422"/>
      <c r="DBY137" s="422"/>
      <c r="DBZ137" s="422"/>
      <c r="DCA137" s="422"/>
      <c r="DCB137" s="422"/>
      <c r="DCC137" s="422"/>
      <c r="DCD137" s="422"/>
      <c r="DCE137" s="422"/>
      <c r="DCF137" s="422"/>
      <c r="DCG137" s="422"/>
      <c r="DCH137" s="422"/>
      <c r="DCI137" s="422"/>
      <c r="DCJ137" s="422"/>
      <c r="DCK137" s="422"/>
      <c r="DCL137" s="422"/>
      <c r="DCM137" s="422"/>
      <c r="DCN137" s="422"/>
      <c r="DCO137" s="422"/>
      <c r="DCP137" s="422"/>
      <c r="DCQ137" s="422"/>
      <c r="DCR137" s="422"/>
      <c r="DCS137" s="422"/>
      <c r="DCT137" s="422"/>
      <c r="DCU137" s="422"/>
      <c r="DCV137" s="422"/>
      <c r="DCW137" s="422"/>
      <c r="DCX137" s="422"/>
      <c r="DCY137" s="422"/>
      <c r="DCZ137" s="422"/>
      <c r="DDA137" s="422"/>
      <c r="DDB137" s="422"/>
      <c r="DDC137" s="422"/>
      <c r="DDD137" s="422"/>
      <c r="DDE137" s="422"/>
      <c r="DDF137" s="422"/>
      <c r="DDG137" s="422"/>
      <c r="DDH137" s="422"/>
      <c r="DDI137" s="422"/>
      <c r="DDJ137" s="422"/>
      <c r="DDK137" s="422"/>
      <c r="DDL137" s="422"/>
      <c r="DDM137" s="422"/>
      <c r="DDN137" s="422"/>
      <c r="DDO137" s="422"/>
      <c r="DDP137" s="422"/>
      <c r="DDQ137" s="422"/>
      <c r="DDR137" s="422"/>
      <c r="DDS137" s="422"/>
      <c r="DDT137" s="422"/>
      <c r="DDU137" s="422"/>
      <c r="DDV137" s="422"/>
      <c r="DDW137" s="422"/>
      <c r="DDX137" s="422"/>
      <c r="DDY137" s="422"/>
      <c r="DDZ137" s="422"/>
      <c r="DEA137" s="422"/>
      <c r="DEB137" s="422"/>
      <c r="DEC137" s="422"/>
      <c r="DED137" s="422"/>
      <c r="DEE137" s="422"/>
      <c r="DEF137" s="422"/>
      <c r="DEG137" s="422"/>
      <c r="DEH137" s="422"/>
      <c r="DEI137" s="422"/>
      <c r="DEJ137" s="422"/>
      <c r="DEK137" s="422"/>
      <c r="DEL137" s="422"/>
      <c r="DEM137" s="422"/>
      <c r="DEN137" s="422"/>
      <c r="DEO137" s="422"/>
      <c r="DEP137" s="422"/>
      <c r="DEQ137" s="422"/>
      <c r="DER137" s="422"/>
      <c r="DES137" s="422"/>
      <c r="DET137" s="422"/>
      <c r="DEU137" s="422"/>
      <c r="DEV137" s="422"/>
      <c r="DEW137" s="422"/>
      <c r="DEX137" s="422"/>
      <c r="DEY137" s="422"/>
      <c r="DEZ137" s="422"/>
      <c r="DFA137" s="422"/>
      <c r="DFB137" s="422"/>
      <c r="DFC137" s="422"/>
      <c r="DFD137" s="422"/>
      <c r="DFE137" s="422"/>
      <c r="DFF137" s="422"/>
      <c r="DFG137" s="422"/>
      <c r="DFH137" s="422"/>
      <c r="DFI137" s="422"/>
      <c r="DFJ137" s="422"/>
      <c r="DFK137" s="422"/>
      <c r="DFL137" s="422"/>
      <c r="DFM137" s="422"/>
      <c r="DFN137" s="422"/>
      <c r="DFO137" s="422"/>
      <c r="DFP137" s="422"/>
      <c r="DFQ137" s="422"/>
      <c r="DFR137" s="422"/>
      <c r="DFS137" s="422"/>
      <c r="DFT137" s="422"/>
      <c r="DFU137" s="422"/>
      <c r="DFV137" s="422"/>
      <c r="DFW137" s="422"/>
      <c r="DFX137" s="422"/>
      <c r="DFY137" s="422"/>
      <c r="DFZ137" s="422"/>
      <c r="DGA137" s="422"/>
      <c r="DGB137" s="422"/>
      <c r="DGC137" s="422"/>
      <c r="DGD137" s="422"/>
      <c r="DGE137" s="422"/>
      <c r="DGF137" s="422"/>
      <c r="DGG137" s="422"/>
      <c r="DGH137" s="422"/>
      <c r="DGI137" s="422"/>
      <c r="DGJ137" s="422"/>
      <c r="DGK137" s="422"/>
      <c r="DGL137" s="422"/>
      <c r="DGM137" s="422"/>
      <c r="DGN137" s="422"/>
      <c r="DGO137" s="422"/>
      <c r="DGP137" s="422"/>
      <c r="DGQ137" s="422"/>
      <c r="DGR137" s="422"/>
      <c r="DGS137" s="422"/>
      <c r="DGT137" s="422"/>
      <c r="DGU137" s="422"/>
      <c r="DGV137" s="422"/>
      <c r="DGW137" s="422"/>
      <c r="DGX137" s="422"/>
      <c r="DGY137" s="422"/>
      <c r="DGZ137" s="422"/>
      <c r="DHA137" s="422"/>
      <c r="DHB137" s="422"/>
      <c r="DHC137" s="422"/>
      <c r="DHD137" s="422"/>
      <c r="DHE137" s="422"/>
      <c r="DHF137" s="422"/>
      <c r="DHG137" s="422"/>
      <c r="DHH137" s="422"/>
      <c r="DHI137" s="422"/>
      <c r="DHJ137" s="422"/>
      <c r="DHK137" s="422"/>
      <c r="DHL137" s="422"/>
      <c r="DHM137" s="422"/>
      <c r="DHN137" s="422"/>
      <c r="DHO137" s="422"/>
      <c r="DHP137" s="422"/>
      <c r="DHQ137" s="422"/>
      <c r="DHR137" s="422"/>
      <c r="DHS137" s="422"/>
      <c r="DHT137" s="422"/>
      <c r="DHU137" s="422"/>
      <c r="DHV137" s="422"/>
      <c r="DHW137" s="422"/>
      <c r="DHX137" s="422"/>
      <c r="DHY137" s="422"/>
      <c r="DHZ137" s="422"/>
      <c r="DIA137" s="422"/>
      <c r="DIB137" s="422"/>
      <c r="DIC137" s="422"/>
      <c r="DID137" s="422"/>
      <c r="DIE137" s="422"/>
      <c r="DIF137" s="422"/>
      <c r="DIG137" s="422"/>
      <c r="DIH137" s="422"/>
      <c r="DII137" s="422"/>
      <c r="DIJ137" s="422"/>
      <c r="DIK137" s="422"/>
      <c r="DIL137" s="422"/>
      <c r="DIM137" s="422"/>
      <c r="DIN137" s="422"/>
      <c r="DIO137" s="422"/>
      <c r="DIP137" s="422"/>
      <c r="DIQ137" s="422"/>
      <c r="DIR137" s="422"/>
      <c r="DIS137" s="422"/>
      <c r="DIT137" s="422"/>
      <c r="DIU137" s="422"/>
      <c r="DIV137" s="422"/>
      <c r="DIW137" s="422"/>
      <c r="DIX137" s="422"/>
      <c r="DIY137" s="422"/>
      <c r="DIZ137" s="422"/>
      <c r="DJA137" s="422"/>
      <c r="DJB137" s="422"/>
      <c r="DJC137" s="422"/>
      <c r="DJD137" s="422"/>
      <c r="DJE137" s="422"/>
      <c r="DJF137" s="422"/>
      <c r="DJG137" s="422"/>
      <c r="DJH137" s="422"/>
      <c r="DJI137" s="422"/>
      <c r="DJJ137" s="422"/>
      <c r="DJK137" s="422"/>
      <c r="DJL137" s="422"/>
      <c r="DJM137" s="422"/>
      <c r="DJN137" s="422"/>
      <c r="DJO137" s="422"/>
      <c r="DJP137" s="422"/>
      <c r="DJQ137" s="422"/>
      <c r="DJR137" s="422"/>
      <c r="DJS137" s="422"/>
      <c r="DJT137" s="422"/>
      <c r="DJU137" s="422"/>
      <c r="DJV137" s="422"/>
      <c r="DJW137" s="422"/>
      <c r="DJX137" s="422"/>
      <c r="DJY137" s="422"/>
      <c r="DJZ137" s="422"/>
      <c r="DKA137" s="422"/>
      <c r="DKB137" s="422"/>
      <c r="DKC137" s="422"/>
      <c r="DKD137" s="422"/>
      <c r="DKE137" s="422"/>
      <c r="DKF137" s="422"/>
      <c r="DKG137" s="422"/>
      <c r="DKH137" s="422"/>
      <c r="DKI137" s="422"/>
      <c r="DKJ137" s="422"/>
      <c r="DKK137" s="422"/>
      <c r="DKL137" s="422"/>
      <c r="DKM137" s="422"/>
      <c r="DKN137" s="422"/>
      <c r="DKO137" s="422"/>
      <c r="DKP137" s="422"/>
      <c r="DKQ137" s="422"/>
      <c r="DKR137" s="422"/>
      <c r="DKS137" s="422"/>
      <c r="DKT137" s="422"/>
      <c r="DKU137" s="422"/>
      <c r="DKV137" s="422"/>
      <c r="DKW137" s="422"/>
      <c r="DKX137" s="422"/>
      <c r="DKY137" s="422"/>
      <c r="DKZ137" s="422"/>
      <c r="DLA137" s="422"/>
      <c r="DLB137" s="422"/>
      <c r="DLC137" s="422"/>
      <c r="DLD137" s="422"/>
      <c r="DLE137" s="422"/>
      <c r="DLF137" s="422"/>
      <c r="DLG137" s="422"/>
      <c r="DLH137" s="422"/>
      <c r="DLI137" s="422"/>
      <c r="DLJ137" s="422"/>
      <c r="DLK137" s="422"/>
      <c r="DLL137" s="422"/>
      <c r="DLM137" s="422"/>
      <c r="DLN137" s="422"/>
      <c r="DLO137" s="422"/>
      <c r="DLP137" s="422"/>
      <c r="DLQ137" s="422"/>
      <c r="DLR137" s="422"/>
      <c r="DLS137" s="422"/>
      <c r="DLT137" s="422"/>
      <c r="DLU137" s="422"/>
      <c r="DLV137" s="422"/>
      <c r="DLW137" s="422"/>
      <c r="DLX137" s="422"/>
      <c r="DLY137" s="422"/>
      <c r="DLZ137" s="422"/>
      <c r="DMA137" s="422"/>
      <c r="DMB137" s="422"/>
      <c r="DMC137" s="422"/>
      <c r="DMD137" s="422"/>
      <c r="DME137" s="422"/>
      <c r="DMF137" s="422"/>
      <c r="DMG137" s="422"/>
      <c r="DMH137" s="422"/>
      <c r="DMI137" s="422"/>
      <c r="DMJ137" s="422"/>
      <c r="DMK137" s="422"/>
      <c r="DML137" s="422"/>
      <c r="DMM137" s="422"/>
      <c r="DMN137" s="422"/>
      <c r="DMO137" s="422"/>
      <c r="DMP137" s="422"/>
      <c r="DMQ137" s="422"/>
      <c r="DMR137" s="422"/>
      <c r="DMS137" s="422"/>
      <c r="DMT137" s="422"/>
      <c r="DMU137" s="422"/>
      <c r="DMV137" s="422"/>
      <c r="DMW137" s="422"/>
      <c r="DMX137" s="422"/>
      <c r="DMY137" s="422"/>
      <c r="DMZ137" s="422"/>
      <c r="DNA137" s="422"/>
      <c r="DNB137" s="422"/>
      <c r="DNC137" s="422"/>
      <c r="DND137" s="422"/>
      <c r="DNE137" s="422"/>
      <c r="DNF137" s="422"/>
      <c r="DNG137" s="422"/>
      <c r="DNH137" s="422"/>
      <c r="DNI137" s="422"/>
      <c r="DNJ137" s="422"/>
      <c r="DNK137" s="422"/>
      <c r="DNL137" s="422"/>
      <c r="DNM137" s="422"/>
      <c r="DNN137" s="422"/>
      <c r="DNO137" s="422"/>
      <c r="DNP137" s="422"/>
      <c r="DNQ137" s="422"/>
      <c r="DNR137" s="422"/>
      <c r="DNS137" s="422"/>
      <c r="DNT137" s="422"/>
      <c r="DNU137" s="422"/>
      <c r="DNV137" s="422"/>
      <c r="DNW137" s="422"/>
      <c r="DNX137" s="422"/>
      <c r="DNY137" s="422"/>
      <c r="DNZ137" s="422"/>
      <c r="DOA137" s="422"/>
      <c r="DOB137" s="422"/>
      <c r="DOC137" s="422"/>
      <c r="DOD137" s="422"/>
      <c r="DOE137" s="422"/>
      <c r="DOF137" s="422"/>
      <c r="DOG137" s="422"/>
      <c r="DOH137" s="422"/>
      <c r="DOI137" s="422"/>
      <c r="DOJ137" s="422"/>
      <c r="DOK137" s="422"/>
      <c r="DOL137" s="422"/>
      <c r="DOM137" s="422"/>
      <c r="DON137" s="422"/>
      <c r="DOO137" s="422"/>
      <c r="DOP137" s="422"/>
      <c r="DOQ137" s="422"/>
      <c r="DOR137" s="422"/>
      <c r="DOS137" s="422"/>
      <c r="DOT137" s="422"/>
      <c r="DOU137" s="422"/>
      <c r="DOV137" s="422"/>
      <c r="DOW137" s="422"/>
      <c r="DOX137" s="422"/>
      <c r="DOY137" s="422"/>
      <c r="DOZ137" s="422"/>
      <c r="DPA137" s="422"/>
      <c r="DPB137" s="422"/>
      <c r="DPC137" s="422"/>
      <c r="DPD137" s="422"/>
      <c r="DPE137" s="422"/>
      <c r="DPF137" s="422"/>
      <c r="DPG137" s="422"/>
      <c r="DPH137" s="422"/>
      <c r="DPI137" s="422"/>
      <c r="DPJ137" s="422"/>
      <c r="DPK137" s="422"/>
      <c r="DPL137" s="422"/>
      <c r="DPM137" s="422"/>
      <c r="DPN137" s="422"/>
      <c r="DPO137" s="422"/>
      <c r="DPP137" s="422"/>
      <c r="DPQ137" s="422"/>
      <c r="DPR137" s="422"/>
      <c r="DPS137" s="422"/>
      <c r="DPT137" s="422"/>
      <c r="DPU137" s="422"/>
      <c r="DPV137" s="422"/>
      <c r="DPW137" s="422"/>
      <c r="DPX137" s="422"/>
      <c r="DPY137" s="422"/>
      <c r="DPZ137" s="422"/>
      <c r="DQA137" s="422"/>
      <c r="DQB137" s="422"/>
      <c r="DQC137" s="422"/>
      <c r="DQD137" s="422"/>
      <c r="DQE137" s="422"/>
      <c r="DQF137" s="422"/>
      <c r="DQG137" s="422"/>
      <c r="DQH137" s="422"/>
      <c r="DQI137" s="422"/>
      <c r="DQJ137" s="422"/>
      <c r="DQK137" s="422"/>
      <c r="DQL137" s="422"/>
      <c r="DQM137" s="422"/>
      <c r="DQN137" s="422"/>
      <c r="DQO137" s="422"/>
      <c r="DQP137" s="422"/>
      <c r="DQQ137" s="422"/>
      <c r="DQR137" s="422"/>
      <c r="DQS137" s="422"/>
      <c r="DQT137" s="422"/>
      <c r="DQU137" s="422"/>
      <c r="DQV137" s="422"/>
      <c r="DQW137" s="422"/>
      <c r="DQX137" s="422"/>
      <c r="DQY137" s="422"/>
      <c r="DQZ137" s="422"/>
      <c r="DRA137" s="422"/>
      <c r="DRB137" s="422"/>
      <c r="DRC137" s="422"/>
      <c r="DRD137" s="422"/>
      <c r="DRE137" s="422"/>
      <c r="DRF137" s="422"/>
      <c r="DRG137" s="422"/>
      <c r="DRH137" s="422"/>
      <c r="DRI137" s="422"/>
      <c r="DRJ137" s="422"/>
      <c r="DRK137" s="422"/>
      <c r="DRL137" s="422"/>
      <c r="DRM137" s="422"/>
      <c r="DRN137" s="422"/>
      <c r="DRO137" s="422"/>
      <c r="DRP137" s="422"/>
      <c r="DRQ137" s="422"/>
      <c r="DRR137" s="422"/>
      <c r="DRS137" s="422"/>
      <c r="DRT137" s="422"/>
      <c r="DRU137" s="422"/>
      <c r="DRV137" s="422"/>
      <c r="DRW137" s="422"/>
      <c r="DRX137" s="422"/>
      <c r="DRY137" s="422"/>
      <c r="DRZ137" s="422"/>
      <c r="DSA137" s="422"/>
      <c r="DSB137" s="422"/>
      <c r="DSC137" s="422"/>
      <c r="DSD137" s="422"/>
      <c r="DSE137" s="422"/>
      <c r="DSF137" s="422"/>
      <c r="DSG137" s="422"/>
      <c r="DSH137" s="422"/>
      <c r="DSI137" s="422"/>
      <c r="DSJ137" s="422"/>
      <c r="DSK137" s="422"/>
      <c r="DSL137" s="422"/>
      <c r="DSM137" s="422"/>
      <c r="DSN137" s="422"/>
      <c r="DSO137" s="422"/>
      <c r="DSP137" s="422"/>
      <c r="DSQ137" s="422"/>
      <c r="DSR137" s="422"/>
      <c r="DSS137" s="422"/>
      <c r="DST137" s="422"/>
      <c r="DSU137" s="422"/>
      <c r="DSV137" s="422"/>
      <c r="DSW137" s="422"/>
      <c r="DSX137" s="422"/>
      <c r="DSY137" s="422"/>
      <c r="DSZ137" s="422"/>
      <c r="DTA137" s="422"/>
      <c r="DTB137" s="422"/>
      <c r="DTC137" s="422"/>
      <c r="DTD137" s="422"/>
      <c r="DTE137" s="422"/>
      <c r="DTF137" s="422"/>
      <c r="DTG137" s="422"/>
      <c r="DTH137" s="422"/>
      <c r="DTI137" s="422"/>
      <c r="DTJ137" s="422"/>
      <c r="DTK137" s="422"/>
      <c r="DTL137" s="422"/>
      <c r="DTM137" s="422"/>
      <c r="DTN137" s="422"/>
      <c r="DTO137" s="422"/>
      <c r="DTP137" s="422"/>
      <c r="DTQ137" s="422"/>
      <c r="DTR137" s="422"/>
      <c r="DTS137" s="422"/>
      <c r="DTT137" s="422"/>
      <c r="DTU137" s="422"/>
      <c r="DTV137" s="422"/>
      <c r="DTW137" s="422"/>
      <c r="DTX137" s="422"/>
      <c r="DTY137" s="422"/>
      <c r="DTZ137" s="422"/>
      <c r="DUA137" s="422"/>
      <c r="DUB137" s="422"/>
      <c r="DUC137" s="422"/>
      <c r="DUD137" s="422"/>
      <c r="DUE137" s="422"/>
      <c r="DUF137" s="422"/>
      <c r="DUG137" s="422"/>
      <c r="DUH137" s="422"/>
      <c r="DUI137" s="422"/>
      <c r="DUJ137" s="422"/>
      <c r="DUK137" s="422"/>
      <c r="DUL137" s="422"/>
      <c r="DUM137" s="422"/>
      <c r="DUN137" s="422"/>
      <c r="DUO137" s="422"/>
      <c r="DUP137" s="422"/>
      <c r="DUQ137" s="422"/>
      <c r="DUR137" s="422"/>
      <c r="DUS137" s="422"/>
      <c r="DUT137" s="422"/>
      <c r="DUU137" s="422"/>
      <c r="DUV137" s="422"/>
      <c r="DUW137" s="422"/>
      <c r="DUX137" s="422"/>
      <c r="DUY137" s="422"/>
      <c r="DUZ137" s="422"/>
      <c r="DVA137" s="422"/>
      <c r="DVB137" s="422"/>
      <c r="DVC137" s="422"/>
      <c r="DVD137" s="422"/>
      <c r="DVE137" s="422"/>
      <c r="DVF137" s="422"/>
      <c r="DVG137" s="422"/>
      <c r="DVH137" s="422"/>
      <c r="DVI137" s="422"/>
      <c r="DVJ137" s="422"/>
      <c r="DVK137" s="422"/>
      <c r="DVL137" s="422"/>
      <c r="DVM137" s="422"/>
      <c r="DVN137" s="422"/>
      <c r="DVO137" s="422"/>
      <c r="DVP137" s="422"/>
      <c r="DVQ137" s="422"/>
      <c r="DVR137" s="422"/>
      <c r="DVS137" s="422"/>
      <c r="DVT137" s="422"/>
      <c r="DVU137" s="422"/>
      <c r="DVV137" s="422"/>
      <c r="DVW137" s="422"/>
      <c r="DVX137" s="422"/>
      <c r="DVY137" s="422"/>
      <c r="DVZ137" s="422"/>
      <c r="DWA137" s="422"/>
      <c r="DWB137" s="422"/>
      <c r="DWC137" s="422"/>
      <c r="DWD137" s="422"/>
      <c r="DWE137" s="422"/>
      <c r="DWF137" s="422"/>
      <c r="DWG137" s="422"/>
      <c r="DWH137" s="422"/>
      <c r="DWI137" s="422"/>
      <c r="DWJ137" s="422"/>
      <c r="DWK137" s="422"/>
      <c r="DWL137" s="422"/>
      <c r="DWM137" s="422"/>
      <c r="DWN137" s="422"/>
      <c r="DWO137" s="422"/>
      <c r="DWP137" s="422"/>
      <c r="DWQ137" s="422"/>
      <c r="DWR137" s="422"/>
      <c r="DWS137" s="422"/>
      <c r="DWT137" s="422"/>
      <c r="DWU137" s="422"/>
      <c r="DWV137" s="422"/>
      <c r="DWW137" s="422"/>
      <c r="DWX137" s="422"/>
      <c r="DWY137" s="422"/>
      <c r="DWZ137" s="422"/>
      <c r="DXA137" s="422"/>
      <c r="DXB137" s="422"/>
      <c r="DXC137" s="422"/>
      <c r="DXD137" s="422"/>
      <c r="DXE137" s="422"/>
      <c r="DXF137" s="422"/>
      <c r="DXG137" s="422"/>
      <c r="DXH137" s="422"/>
      <c r="DXI137" s="422"/>
      <c r="DXJ137" s="422"/>
      <c r="DXK137" s="422"/>
      <c r="DXL137" s="422"/>
      <c r="DXM137" s="422"/>
      <c r="DXN137" s="422"/>
      <c r="DXO137" s="422"/>
      <c r="DXP137" s="422"/>
      <c r="DXQ137" s="422"/>
      <c r="DXR137" s="422"/>
      <c r="DXS137" s="422"/>
      <c r="DXT137" s="422"/>
      <c r="DXU137" s="422"/>
      <c r="DXV137" s="422"/>
      <c r="DXW137" s="422"/>
      <c r="DXX137" s="422"/>
      <c r="DXY137" s="422"/>
      <c r="DXZ137" s="422"/>
      <c r="DYA137" s="422"/>
      <c r="DYB137" s="422"/>
      <c r="DYC137" s="422"/>
      <c r="DYD137" s="422"/>
      <c r="DYE137" s="422"/>
      <c r="DYF137" s="422"/>
      <c r="DYG137" s="422"/>
      <c r="DYH137" s="422"/>
      <c r="DYI137" s="422"/>
      <c r="DYJ137" s="422"/>
      <c r="DYK137" s="422"/>
      <c r="DYL137" s="422"/>
      <c r="DYM137" s="422"/>
      <c r="DYN137" s="422"/>
      <c r="DYO137" s="422"/>
      <c r="DYP137" s="422"/>
      <c r="DYQ137" s="422"/>
      <c r="DYR137" s="422"/>
      <c r="DYS137" s="422"/>
      <c r="DYT137" s="422"/>
      <c r="DYU137" s="422"/>
      <c r="DYV137" s="422"/>
      <c r="DYW137" s="422"/>
      <c r="DYX137" s="422"/>
      <c r="DYY137" s="422"/>
      <c r="DYZ137" s="422"/>
      <c r="DZA137" s="422"/>
      <c r="DZB137" s="422"/>
      <c r="DZC137" s="422"/>
      <c r="DZD137" s="422"/>
      <c r="DZE137" s="422"/>
      <c r="DZF137" s="422"/>
      <c r="DZG137" s="422"/>
      <c r="DZH137" s="422"/>
      <c r="DZI137" s="422"/>
      <c r="DZJ137" s="422"/>
      <c r="DZK137" s="422"/>
      <c r="DZL137" s="422"/>
      <c r="DZM137" s="422"/>
      <c r="DZN137" s="422"/>
      <c r="DZO137" s="422"/>
      <c r="DZP137" s="422"/>
      <c r="DZQ137" s="422"/>
      <c r="DZR137" s="422"/>
      <c r="DZS137" s="422"/>
      <c r="DZT137" s="422"/>
      <c r="DZU137" s="422"/>
      <c r="DZV137" s="422"/>
      <c r="DZW137" s="422"/>
      <c r="DZX137" s="422"/>
      <c r="DZY137" s="422"/>
      <c r="DZZ137" s="422"/>
      <c r="EAA137" s="422"/>
      <c r="EAB137" s="422"/>
      <c r="EAC137" s="422"/>
      <c r="EAD137" s="422"/>
      <c r="EAE137" s="422"/>
      <c r="EAF137" s="422"/>
      <c r="EAG137" s="422"/>
      <c r="EAH137" s="422"/>
      <c r="EAI137" s="422"/>
      <c r="EAJ137" s="422"/>
      <c r="EAK137" s="422"/>
      <c r="EAL137" s="422"/>
      <c r="EAM137" s="422"/>
      <c r="EAN137" s="422"/>
      <c r="EAO137" s="422"/>
      <c r="EAP137" s="422"/>
      <c r="EAQ137" s="422"/>
      <c r="EAR137" s="422"/>
      <c r="EAS137" s="422"/>
      <c r="EAT137" s="422"/>
      <c r="EAU137" s="422"/>
      <c r="EAV137" s="422"/>
      <c r="EAW137" s="422"/>
      <c r="EAX137" s="422"/>
      <c r="EAY137" s="422"/>
      <c r="EAZ137" s="422"/>
      <c r="EBA137" s="422"/>
      <c r="EBB137" s="422"/>
      <c r="EBC137" s="422"/>
      <c r="EBD137" s="422"/>
      <c r="EBE137" s="422"/>
      <c r="EBF137" s="422"/>
      <c r="EBG137" s="422"/>
      <c r="EBH137" s="422"/>
      <c r="EBI137" s="422"/>
      <c r="EBJ137" s="422"/>
      <c r="EBK137" s="422"/>
      <c r="EBL137" s="422"/>
      <c r="EBM137" s="422"/>
      <c r="EBN137" s="422"/>
      <c r="EBO137" s="422"/>
      <c r="EBP137" s="422"/>
      <c r="EBQ137" s="422"/>
      <c r="EBR137" s="422"/>
      <c r="EBS137" s="422"/>
      <c r="EBT137" s="422"/>
      <c r="EBU137" s="422"/>
      <c r="EBV137" s="422"/>
      <c r="EBW137" s="422"/>
      <c r="EBX137" s="422"/>
      <c r="EBY137" s="422"/>
      <c r="EBZ137" s="422"/>
      <c r="ECA137" s="422"/>
      <c r="ECB137" s="422"/>
      <c r="ECC137" s="422"/>
      <c r="ECD137" s="422"/>
      <c r="ECE137" s="422"/>
      <c r="ECF137" s="422"/>
      <c r="ECG137" s="422"/>
      <c r="ECH137" s="422"/>
      <c r="ECI137" s="422"/>
      <c r="ECJ137" s="422"/>
      <c r="ECK137" s="422"/>
      <c r="ECL137" s="422"/>
      <c r="ECM137" s="422"/>
      <c r="ECN137" s="422"/>
      <c r="ECO137" s="422"/>
      <c r="ECP137" s="422"/>
      <c r="ECQ137" s="422"/>
      <c r="ECR137" s="422"/>
      <c r="ECS137" s="422"/>
      <c r="ECT137" s="422"/>
      <c r="ECU137" s="422"/>
      <c r="ECV137" s="422"/>
      <c r="ECW137" s="422"/>
      <c r="ECX137" s="422"/>
      <c r="ECY137" s="422"/>
      <c r="ECZ137" s="422"/>
      <c r="EDA137" s="422"/>
      <c r="EDB137" s="422"/>
      <c r="EDC137" s="422"/>
      <c r="EDD137" s="422"/>
      <c r="EDE137" s="422"/>
      <c r="EDF137" s="422"/>
      <c r="EDG137" s="422"/>
      <c r="EDH137" s="422"/>
      <c r="EDI137" s="422"/>
      <c r="EDJ137" s="422"/>
      <c r="EDK137" s="422"/>
      <c r="EDL137" s="422"/>
      <c r="EDM137" s="422"/>
      <c r="EDN137" s="422"/>
      <c r="EDO137" s="422"/>
      <c r="EDP137" s="422"/>
      <c r="EDQ137" s="422"/>
      <c r="EDR137" s="422"/>
      <c r="EDS137" s="422"/>
      <c r="EDT137" s="422"/>
      <c r="EDU137" s="422"/>
      <c r="EDV137" s="422"/>
      <c r="EDW137" s="422"/>
      <c r="EDX137" s="422"/>
      <c r="EDY137" s="422"/>
      <c r="EDZ137" s="422"/>
      <c r="EEA137" s="422"/>
      <c r="EEB137" s="422"/>
      <c r="EEC137" s="422"/>
      <c r="EED137" s="422"/>
      <c r="EEE137" s="422"/>
      <c r="EEF137" s="422"/>
      <c r="EEG137" s="422"/>
      <c r="EEH137" s="422"/>
      <c r="EEI137" s="422"/>
      <c r="EEJ137" s="422"/>
      <c r="EEK137" s="422"/>
      <c r="EEL137" s="422"/>
      <c r="EEM137" s="422"/>
      <c r="EEN137" s="422"/>
      <c r="EEO137" s="422"/>
      <c r="EEP137" s="422"/>
      <c r="EEQ137" s="422"/>
      <c r="EER137" s="422"/>
      <c r="EES137" s="422"/>
      <c r="EET137" s="422"/>
      <c r="EEU137" s="422"/>
      <c r="EEV137" s="422"/>
      <c r="EEW137" s="422"/>
      <c r="EEX137" s="422"/>
      <c r="EEY137" s="422"/>
      <c r="EEZ137" s="422"/>
      <c r="EFA137" s="422"/>
      <c r="EFB137" s="422"/>
      <c r="EFC137" s="422"/>
      <c r="EFD137" s="422"/>
      <c r="EFE137" s="422"/>
      <c r="EFF137" s="422"/>
      <c r="EFG137" s="422"/>
      <c r="EFH137" s="422"/>
      <c r="EFI137" s="422"/>
      <c r="EFJ137" s="422"/>
      <c r="EFK137" s="422"/>
      <c r="EFL137" s="422"/>
      <c r="EFM137" s="422"/>
      <c r="EFN137" s="422"/>
      <c r="EFO137" s="422"/>
      <c r="EFP137" s="422"/>
      <c r="EFQ137" s="422"/>
      <c r="EFR137" s="422"/>
      <c r="EFS137" s="422"/>
      <c r="EFT137" s="422"/>
      <c r="EFU137" s="422"/>
      <c r="EFV137" s="422"/>
      <c r="EFW137" s="422"/>
      <c r="EFX137" s="422"/>
      <c r="EFY137" s="422"/>
      <c r="EFZ137" s="422"/>
      <c r="EGA137" s="422"/>
      <c r="EGB137" s="422"/>
      <c r="EGC137" s="422"/>
      <c r="EGD137" s="422"/>
      <c r="EGE137" s="422"/>
      <c r="EGF137" s="422"/>
      <c r="EGG137" s="422"/>
      <c r="EGH137" s="422"/>
      <c r="EGI137" s="422"/>
      <c r="EGJ137" s="422"/>
      <c r="EGK137" s="422"/>
      <c r="EGL137" s="422"/>
      <c r="EGM137" s="422"/>
      <c r="EGN137" s="422"/>
      <c r="EGO137" s="422"/>
      <c r="EGP137" s="422"/>
      <c r="EGQ137" s="422"/>
      <c r="EGR137" s="422"/>
      <c r="EGS137" s="422"/>
      <c r="EGT137" s="422"/>
      <c r="EGU137" s="422"/>
      <c r="EGV137" s="422"/>
      <c r="EGW137" s="422"/>
      <c r="EGX137" s="422"/>
      <c r="EGY137" s="422"/>
      <c r="EGZ137" s="422"/>
      <c r="EHA137" s="422"/>
      <c r="EHB137" s="422"/>
      <c r="EHC137" s="422"/>
      <c r="EHD137" s="422"/>
      <c r="EHE137" s="422"/>
      <c r="EHF137" s="422"/>
      <c r="EHG137" s="422"/>
      <c r="EHH137" s="422"/>
      <c r="EHI137" s="422"/>
      <c r="EHJ137" s="422"/>
      <c r="EHK137" s="422"/>
      <c r="EHL137" s="422"/>
      <c r="EHM137" s="422"/>
      <c r="EHN137" s="422"/>
      <c r="EHO137" s="422"/>
      <c r="EHP137" s="422"/>
      <c r="EHQ137" s="422"/>
      <c r="EHR137" s="422"/>
      <c r="EHS137" s="422"/>
      <c r="EHT137" s="422"/>
      <c r="EHU137" s="422"/>
      <c r="EHV137" s="422"/>
      <c r="EHW137" s="422"/>
      <c r="EHX137" s="422"/>
      <c r="EHY137" s="422"/>
      <c r="EHZ137" s="422"/>
      <c r="EIA137" s="422"/>
      <c r="EIB137" s="422"/>
      <c r="EIC137" s="422"/>
      <c r="EID137" s="422"/>
      <c r="EIE137" s="422"/>
      <c r="EIF137" s="422"/>
      <c r="EIG137" s="422"/>
      <c r="EIH137" s="422"/>
      <c r="EII137" s="422"/>
      <c r="EIJ137" s="422"/>
      <c r="EIK137" s="422"/>
      <c r="EIL137" s="422"/>
      <c r="EIM137" s="422"/>
      <c r="EIN137" s="422"/>
      <c r="EIO137" s="422"/>
      <c r="EIP137" s="422"/>
      <c r="EIQ137" s="422"/>
      <c r="EIR137" s="422"/>
      <c r="EIS137" s="422"/>
      <c r="EIT137" s="422"/>
      <c r="EIU137" s="422"/>
      <c r="EIV137" s="422"/>
      <c r="EIW137" s="422"/>
      <c r="EIX137" s="422"/>
      <c r="EIY137" s="422"/>
      <c r="EIZ137" s="422"/>
      <c r="EJA137" s="422"/>
      <c r="EJB137" s="422"/>
      <c r="EJC137" s="422"/>
      <c r="EJD137" s="422"/>
      <c r="EJE137" s="422"/>
      <c r="EJF137" s="422"/>
      <c r="EJG137" s="422"/>
      <c r="EJH137" s="422"/>
      <c r="EJI137" s="422"/>
      <c r="EJJ137" s="422"/>
      <c r="EJK137" s="422"/>
      <c r="EJL137" s="422"/>
      <c r="EJM137" s="422"/>
      <c r="EJN137" s="422"/>
      <c r="EJO137" s="422"/>
      <c r="EJP137" s="422"/>
      <c r="EJQ137" s="422"/>
      <c r="EJR137" s="422"/>
      <c r="EJS137" s="422"/>
      <c r="EJT137" s="422"/>
      <c r="EJU137" s="422"/>
      <c r="EJV137" s="422"/>
      <c r="EJW137" s="422"/>
      <c r="EJX137" s="422"/>
      <c r="EJY137" s="422"/>
      <c r="EJZ137" s="422"/>
      <c r="EKA137" s="422"/>
      <c r="EKB137" s="422"/>
      <c r="EKC137" s="422"/>
      <c r="EKD137" s="422"/>
      <c r="EKE137" s="422"/>
      <c r="EKF137" s="422"/>
      <c r="EKG137" s="422"/>
      <c r="EKH137" s="422"/>
      <c r="EKI137" s="422"/>
      <c r="EKJ137" s="422"/>
      <c r="EKK137" s="422"/>
      <c r="EKL137" s="422"/>
      <c r="EKM137" s="422"/>
      <c r="EKN137" s="422"/>
      <c r="EKO137" s="422"/>
      <c r="EKP137" s="422"/>
      <c r="EKQ137" s="422"/>
      <c r="EKR137" s="422"/>
      <c r="EKS137" s="422"/>
      <c r="EKT137" s="422"/>
      <c r="EKU137" s="422"/>
      <c r="EKV137" s="422"/>
      <c r="EKW137" s="422"/>
      <c r="EKX137" s="422"/>
      <c r="EKY137" s="422"/>
      <c r="EKZ137" s="422"/>
      <c r="ELA137" s="422"/>
      <c r="ELB137" s="422"/>
      <c r="ELC137" s="422"/>
      <c r="ELD137" s="422"/>
      <c r="ELE137" s="422"/>
      <c r="ELF137" s="422"/>
      <c r="ELG137" s="422"/>
      <c r="ELH137" s="422"/>
      <c r="ELI137" s="422"/>
      <c r="ELJ137" s="422"/>
      <c r="ELK137" s="422"/>
      <c r="ELL137" s="422"/>
      <c r="ELM137" s="422"/>
      <c r="ELN137" s="422"/>
      <c r="ELO137" s="422"/>
      <c r="ELP137" s="422"/>
      <c r="ELQ137" s="422"/>
      <c r="ELR137" s="422"/>
      <c r="ELS137" s="422"/>
      <c r="ELT137" s="422"/>
      <c r="ELU137" s="422"/>
      <c r="ELV137" s="422"/>
      <c r="ELW137" s="422"/>
      <c r="ELX137" s="422"/>
      <c r="ELY137" s="422"/>
      <c r="ELZ137" s="422"/>
      <c r="EMA137" s="422"/>
      <c r="EMB137" s="422"/>
      <c r="EMC137" s="422"/>
      <c r="EMD137" s="422"/>
      <c r="EME137" s="422"/>
      <c r="EMF137" s="422"/>
      <c r="EMG137" s="422"/>
      <c r="EMH137" s="422"/>
      <c r="EMI137" s="422"/>
      <c r="EMJ137" s="422"/>
      <c r="EMK137" s="422"/>
      <c r="EML137" s="422"/>
      <c r="EMM137" s="422"/>
      <c r="EMN137" s="422"/>
      <c r="EMO137" s="422"/>
      <c r="EMP137" s="422"/>
      <c r="EMQ137" s="422"/>
      <c r="EMR137" s="422"/>
      <c r="EMS137" s="422"/>
      <c r="EMT137" s="422"/>
      <c r="EMU137" s="422"/>
      <c r="EMV137" s="422"/>
      <c r="EMW137" s="422"/>
      <c r="EMX137" s="422"/>
      <c r="EMY137" s="422"/>
      <c r="EMZ137" s="422"/>
      <c r="ENA137" s="422"/>
      <c r="ENB137" s="422"/>
      <c r="ENC137" s="422"/>
      <c r="END137" s="422"/>
      <c r="ENE137" s="422"/>
      <c r="ENF137" s="422"/>
      <c r="ENG137" s="422"/>
      <c r="ENH137" s="422"/>
      <c r="ENI137" s="422"/>
      <c r="ENJ137" s="422"/>
      <c r="ENK137" s="422"/>
      <c r="ENL137" s="422"/>
      <c r="ENM137" s="422"/>
      <c r="ENN137" s="422"/>
      <c r="ENO137" s="422"/>
      <c r="ENP137" s="422"/>
      <c r="ENQ137" s="422"/>
      <c r="ENR137" s="422"/>
      <c r="ENS137" s="422"/>
      <c r="ENT137" s="422"/>
      <c r="ENU137" s="422"/>
      <c r="ENV137" s="422"/>
      <c r="ENW137" s="422"/>
      <c r="ENX137" s="422"/>
      <c r="ENY137" s="422"/>
      <c r="ENZ137" s="422"/>
      <c r="EOA137" s="422"/>
      <c r="EOB137" s="422"/>
      <c r="EOC137" s="422"/>
      <c r="EOD137" s="422"/>
      <c r="EOE137" s="422"/>
      <c r="EOF137" s="422"/>
      <c r="EOG137" s="422"/>
      <c r="EOH137" s="422"/>
      <c r="EOI137" s="422"/>
      <c r="EOJ137" s="422"/>
      <c r="EOK137" s="422"/>
      <c r="EOL137" s="422"/>
      <c r="EOM137" s="422"/>
      <c r="EON137" s="422"/>
      <c r="EOO137" s="422"/>
      <c r="EOP137" s="422"/>
      <c r="EOQ137" s="422"/>
      <c r="EOR137" s="422"/>
      <c r="EOS137" s="422"/>
      <c r="EOT137" s="422"/>
      <c r="EOU137" s="422"/>
      <c r="EOV137" s="422"/>
      <c r="EOW137" s="422"/>
      <c r="EOX137" s="422"/>
      <c r="EOY137" s="422"/>
      <c r="EOZ137" s="422"/>
      <c r="EPA137" s="422"/>
      <c r="EPB137" s="422"/>
      <c r="EPC137" s="422"/>
      <c r="EPD137" s="422"/>
      <c r="EPE137" s="422"/>
      <c r="EPF137" s="422"/>
      <c r="EPG137" s="422"/>
      <c r="EPH137" s="422"/>
      <c r="EPI137" s="422"/>
      <c r="EPJ137" s="422"/>
      <c r="EPK137" s="422"/>
      <c r="EPL137" s="422"/>
      <c r="EPM137" s="422"/>
      <c r="EPN137" s="422"/>
      <c r="EPO137" s="422"/>
      <c r="EPP137" s="422"/>
      <c r="EPQ137" s="422"/>
      <c r="EPR137" s="422"/>
      <c r="EPS137" s="422"/>
      <c r="EPT137" s="422"/>
      <c r="EPU137" s="422"/>
      <c r="EPV137" s="422"/>
      <c r="EPW137" s="422"/>
      <c r="EPX137" s="422"/>
      <c r="EPY137" s="422"/>
      <c r="EPZ137" s="422"/>
      <c r="EQA137" s="422"/>
      <c r="EQB137" s="422"/>
      <c r="EQC137" s="422"/>
      <c r="EQD137" s="422"/>
      <c r="EQE137" s="422"/>
      <c r="EQF137" s="422"/>
      <c r="EQG137" s="422"/>
      <c r="EQH137" s="422"/>
      <c r="EQI137" s="422"/>
      <c r="EQJ137" s="422"/>
      <c r="EQK137" s="422"/>
      <c r="EQL137" s="422"/>
      <c r="EQM137" s="422"/>
      <c r="EQN137" s="422"/>
      <c r="EQO137" s="422"/>
      <c r="EQP137" s="422"/>
      <c r="EQQ137" s="422"/>
      <c r="EQR137" s="422"/>
      <c r="EQS137" s="422"/>
      <c r="EQT137" s="422"/>
      <c r="EQU137" s="422"/>
      <c r="EQV137" s="422"/>
      <c r="EQW137" s="422"/>
      <c r="EQX137" s="422"/>
      <c r="EQY137" s="422"/>
      <c r="EQZ137" s="422"/>
      <c r="ERA137" s="422"/>
      <c r="ERB137" s="422"/>
      <c r="ERC137" s="422"/>
      <c r="ERD137" s="422"/>
      <c r="ERE137" s="422"/>
      <c r="ERF137" s="422"/>
      <c r="ERG137" s="422"/>
      <c r="ERH137" s="422"/>
      <c r="ERI137" s="422"/>
      <c r="ERJ137" s="422"/>
      <c r="ERK137" s="422"/>
      <c r="ERL137" s="422"/>
      <c r="ERM137" s="422"/>
      <c r="ERN137" s="422"/>
      <c r="ERO137" s="422"/>
      <c r="ERP137" s="422"/>
      <c r="ERQ137" s="422"/>
      <c r="ERR137" s="422"/>
      <c r="ERS137" s="422"/>
      <c r="ERT137" s="422"/>
      <c r="ERU137" s="422"/>
      <c r="ERV137" s="422"/>
      <c r="ERW137" s="422"/>
      <c r="ERX137" s="422"/>
      <c r="ERY137" s="422"/>
      <c r="ERZ137" s="422"/>
      <c r="ESA137" s="422"/>
      <c r="ESB137" s="422"/>
      <c r="ESC137" s="422"/>
      <c r="ESD137" s="422"/>
      <c r="ESE137" s="422"/>
      <c r="ESF137" s="422"/>
      <c r="ESG137" s="422"/>
      <c r="ESH137" s="422"/>
      <c r="ESI137" s="422"/>
      <c r="ESJ137" s="422"/>
      <c r="ESK137" s="422"/>
      <c r="ESL137" s="422"/>
      <c r="ESM137" s="422"/>
      <c r="ESN137" s="422"/>
      <c r="ESO137" s="422"/>
      <c r="ESP137" s="422"/>
      <c r="ESQ137" s="422"/>
      <c r="ESR137" s="422"/>
      <c r="ESS137" s="422"/>
      <c r="EST137" s="422"/>
      <c r="ESU137" s="422"/>
      <c r="ESV137" s="422"/>
      <c r="ESW137" s="422"/>
      <c r="ESX137" s="422"/>
      <c r="ESY137" s="422"/>
      <c r="ESZ137" s="422"/>
      <c r="ETA137" s="422"/>
      <c r="ETB137" s="422"/>
      <c r="ETC137" s="422"/>
      <c r="ETD137" s="422"/>
      <c r="ETE137" s="422"/>
      <c r="ETF137" s="422"/>
      <c r="ETG137" s="422"/>
      <c r="ETH137" s="422"/>
      <c r="ETI137" s="422"/>
      <c r="ETJ137" s="422"/>
      <c r="ETK137" s="422"/>
      <c r="ETL137" s="422"/>
      <c r="ETM137" s="422"/>
      <c r="ETN137" s="422"/>
      <c r="ETO137" s="422"/>
      <c r="ETP137" s="422"/>
      <c r="ETQ137" s="422"/>
      <c r="ETR137" s="422"/>
      <c r="ETS137" s="422"/>
      <c r="ETT137" s="422"/>
      <c r="ETU137" s="422"/>
      <c r="ETV137" s="422"/>
      <c r="ETW137" s="422"/>
      <c r="ETX137" s="422"/>
      <c r="ETY137" s="422"/>
      <c r="ETZ137" s="422"/>
      <c r="EUA137" s="422"/>
      <c r="EUB137" s="422"/>
      <c r="EUC137" s="422"/>
      <c r="EUD137" s="422"/>
      <c r="EUE137" s="422"/>
      <c r="EUF137" s="422"/>
      <c r="EUG137" s="422"/>
      <c r="EUH137" s="422"/>
      <c r="EUI137" s="422"/>
      <c r="EUJ137" s="422"/>
      <c r="EUK137" s="422"/>
      <c r="EUL137" s="422"/>
      <c r="EUM137" s="422"/>
      <c r="EUN137" s="422"/>
      <c r="EUO137" s="422"/>
      <c r="EUP137" s="422"/>
      <c r="EUQ137" s="422"/>
      <c r="EUR137" s="422"/>
      <c r="EUS137" s="422"/>
      <c r="EUT137" s="422"/>
      <c r="EUU137" s="422"/>
      <c r="EUV137" s="422"/>
      <c r="EUW137" s="422"/>
      <c r="EUX137" s="422"/>
      <c r="EUY137" s="422"/>
      <c r="EUZ137" s="422"/>
      <c r="EVA137" s="422"/>
      <c r="EVB137" s="422"/>
      <c r="EVC137" s="422"/>
      <c r="EVD137" s="422"/>
      <c r="EVE137" s="422"/>
      <c r="EVF137" s="422"/>
      <c r="EVG137" s="422"/>
      <c r="EVH137" s="422"/>
      <c r="EVI137" s="422"/>
      <c r="EVJ137" s="422"/>
      <c r="EVK137" s="422"/>
      <c r="EVL137" s="422"/>
      <c r="EVM137" s="422"/>
      <c r="EVN137" s="422"/>
      <c r="EVO137" s="422"/>
      <c r="EVP137" s="422"/>
      <c r="EVQ137" s="422"/>
      <c r="EVR137" s="422"/>
      <c r="EVS137" s="422"/>
      <c r="EVT137" s="422"/>
      <c r="EVU137" s="422"/>
      <c r="EVV137" s="422"/>
      <c r="EVW137" s="422"/>
      <c r="EVX137" s="422"/>
      <c r="EVY137" s="422"/>
      <c r="EVZ137" s="422"/>
      <c r="EWA137" s="422"/>
      <c r="EWB137" s="422"/>
      <c r="EWC137" s="422"/>
      <c r="EWD137" s="422"/>
      <c r="EWE137" s="422"/>
      <c r="EWF137" s="422"/>
      <c r="EWG137" s="422"/>
      <c r="EWH137" s="422"/>
      <c r="EWI137" s="422"/>
      <c r="EWJ137" s="422"/>
      <c r="EWK137" s="422"/>
      <c r="EWL137" s="422"/>
      <c r="EWM137" s="422"/>
      <c r="EWN137" s="422"/>
      <c r="EWO137" s="422"/>
      <c r="EWP137" s="422"/>
      <c r="EWQ137" s="422"/>
      <c r="EWR137" s="422"/>
      <c r="EWS137" s="422"/>
      <c r="EWT137" s="422"/>
      <c r="EWU137" s="422"/>
      <c r="EWV137" s="422"/>
      <c r="EWW137" s="422"/>
      <c r="EWX137" s="422"/>
      <c r="EWY137" s="422"/>
      <c r="EWZ137" s="422"/>
      <c r="EXA137" s="422"/>
      <c r="EXB137" s="422"/>
      <c r="EXC137" s="422"/>
      <c r="EXD137" s="422"/>
      <c r="EXE137" s="422"/>
      <c r="EXF137" s="422"/>
      <c r="EXG137" s="422"/>
      <c r="EXH137" s="422"/>
      <c r="EXI137" s="422"/>
      <c r="EXJ137" s="422"/>
      <c r="EXK137" s="422"/>
      <c r="EXL137" s="422"/>
      <c r="EXM137" s="422"/>
      <c r="EXN137" s="422"/>
      <c r="EXO137" s="422"/>
      <c r="EXP137" s="422"/>
      <c r="EXQ137" s="422"/>
      <c r="EXR137" s="422"/>
      <c r="EXS137" s="422"/>
      <c r="EXT137" s="422"/>
      <c r="EXU137" s="422"/>
      <c r="EXV137" s="422"/>
      <c r="EXW137" s="422"/>
      <c r="EXX137" s="422"/>
      <c r="EXY137" s="422"/>
      <c r="EXZ137" s="422"/>
      <c r="EYA137" s="422"/>
      <c r="EYB137" s="422"/>
      <c r="EYC137" s="422"/>
      <c r="EYD137" s="422"/>
      <c r="EYE137" s="422"/>
      <c r="EYF137" s="422"/>
      <c r="EYG137" s="422"/>
      <c r="EYH137" s="422"/>
      <c r="EYI137" s="422"/>
      <c r="EYJ137" s="422"/>
      <c r="EYK137" s="422"/>
      <c r="EYL137" s="422"/>
      <c r="EYM137" s="422"/>
      <c r="EYN137" s="422"/>
      <c r="EYO137" s="422"/>
      <c r="EYP137" s="422"/>
      <c r="EYQ137" s="422"/>
      <c r="EYR137" s="422"/>
      <c r="EYS137" s="422"/>
      <c r="EYT137" s="422"/>
      <c r="EYU137" s="422"/>
      <c r="EYV137" s="422"/>
      <c r="EYW137" s="422"/>
      <c r="EYX137" s="422"/>
      <c r="EYY137" s="422"/>
      <c r="EYZ137" s="422"/>
      <c r="EZA137" s="422"/>
      <c r="EZB137" s="422"/>
      <c r="EZC137" s="422"/>
      <c r="EZD137" s="422"/>
      <c r="EZE137" s="422"/>
      <c r="EZF137" s="422"/>
      <c r="EZG137" s="422"/>
      <c r="EZH137" s="422"/>
      <c r="EZI137" s="422"/>
      <c r="EZJ137" s="422"/>
      <c r="EZK137" s="422"/>
      <c r="EZL137" s="422"/>
      <c r="EZM137" s="422"/>
      <c r="EZN137" s="422"/>
      <c r="EZO137" s="422"/>
      <c r="EZP137" s="422"/>
      <c r="EZQ137" s="422"/>
      <c r="EZR137" s="422"/>
      <c r="EZS137" s="422"/>
      <c r="EZT137" s="422"/>
      <c r="EZU137" s="422"/>
      <c r="EZV137" s="422"/>
      <c r="EZW137" s="422"/>
      <c r="EZX137" s="422"/>
      <c r="EZY137" s="422"/>
      <c r="EZZ137" s="422"/>
      <c r="FAA137" s="422"/>
      <c r="FAB137" s="422"/>
      <c r="FAC137" s="422"/>
      <c r="FAD137" s="422"/>
      <c r="FAE137" s="422"/>
      <c r="FAF137" s="422"/>
      <c r="FAG137" s="422"/>
      <c r="FAH137" s="422"/>
      <c r="FAI137" s="422"/>
      <c r="FAJ137" s="422"/>
      <c r="FAK137" s="422"/>
      <c r="FAL137" s="422"/>
      <c r="FAM137" s="422"/>
      <c r="FAN137" s="422"/>
      <c r="FAO137" s="422"/>
      <c r="FAP137" s="422"/>
      <c r="FAQ137" s="422"/>
      <c r="FAR137" s="422"/>
      <c r="FAS137" s="422"/>
      <c r="FAT137" s="422"/>
      <c r="FAU137" s="422"/>
      <c r="FAV137" s="422"/>
      <c r="FAW137" s="422"/>
      <c r="FAX137" s="422"/>
      <c r="FAY137" s="422"/>
      <c r="FAZ137" s="422"/>
      <c r="FBA137" s="422"/>
      <c r="FBB137" s="422"/>
      <c r="FBC137" s="422"/>
      <c r="FBD137" s="422"/>
      <c r="FBE137" s="422"/>
      <c r="FBF137" s="422"/>
      <c r="FBG137" s="422"/>
      <c r="FBH137" s="422"/>
      <c r="FBI137" s="422"/>
      <c r="FBJ137" s="422"/>
      <c r="FBK137" s="422"/>
      <c r="FBL137" s="422"/>
      <c r="FBM137" s="422"/>
      <c r="FBN137" s="422"/>
      <c r="FBO137" s="422"/>
      <c r="FBP137" s="422"/>
      <c r="FBQ137" s="422"/>
      <c r="FBR137" s="422"/>
      <c r="FBS137" s="422"/>
      <c r="FBT137" s="422"/>
      <c r="FBU137" s="422"/>
      <c r="FBV137" s="422"/>
      <c r="FBW137" s="422"/>
      <c r="FBX137" s="422"/>
      <c r="FBY137" s="422"/>
      <c r="FBZ137" s="422"/>
      <c r="FCA137" s="422"/>
      <c r="FCB137" s="422"/>
      <c r="FCC137" s="422"/>
      <c r="FCD137" s="422"/>
      <c r="FCE137" s="422"/>
      <c r="FCF137" s="422"/>
      <c r="FCG137" s="422"/>
      <c r="FCH137" s="422"/>
      <c r="FCI137" s="422"/>
      <c r="FCJ137" s="422"/>
      <c r="FCK137" s="422"/>
      <c r="FCL137" s="422"/>
      <c r="FCM137" s="422"/>
      <c r="FCN137" s="422"/>
      <c r="FCO137" s="422"/>
      <c r="FCP137" s="422"/>
      <c r="FCQ137" s="422"/>
      <c r="FCR137" s="422"/>
      <c r="FCS137" s="422"/>
      <c r="FCT137" s="422"/>
      <c r="FCU137" s="422"/>
      <c r="FCV137" s="422"/>
      <c r="FCW137" s="422"/>
      <c r="FCX137" s="422"/>
      <c r="FCY137" s="422"/>
      <c r="FCZ137" s="422"/>
      <c r="FDA137" s="422"/>
      <c r="FDB137" s="422"/>
      <c r="FDC137" s="422"/>
      <c r="FDD137" s="422"/>
      <c r="FDE137" s="422"/>
      <c r="FDF137" s="422"/>
      <c r="FDG137" s="422"/>
      <c r="FDH137" s="422"/>
      <c r="FDI137" s="422"/>
      <c r="FDJ137" s="422"/>
      <c r="FDK137" s="422"/>
      <c r="FDL137" s="422"/>
      <c r="FDM137" s="422"/>
      <c r="FDN137" s="422"/>
      <c r="FDO137" s="422"/>
      <c r="FDP137" s="422"/>
      <c r="FDQ137" s="422"/>
      <c r="FDR137" s="422"/>
      <c r="FDS137" s="422"/>
      <c r="FDT137" s="422"/>
      <c r="FDU137" s="422"/>
      <c r="FDV137" s="422"/>
      <c r="FDW137" s="422"/>
      <c r="FDX137" s="422"/>
      <c r="FDY137" s="422"/>
      <c r="FDZ137" s="422"/>
      <c r="FEA137" s="422"/>
      <c r="FEB137" s="422"/>
      <c r="FEC137" s="422"/>
      <c r="FED137" s="422"/>
      <c r="FEE137" s="422"/>
      <c r="FEF137" s="422"/>
      <c r="FEG137" s="422"/>
      <c r="FEH137" s="422"/>
      <c r="FEI137" s="422"/>
      <c r="FEJ137" s="422"/>
      <c r="FEK137" s="422"/>
      <c r="FEL137" s="422"/>
      <c r="FEM137" s="422"/>
      <c r="FEN137" s="422"/>
      <c r="FEO137" s="422"/>
      <c r="FEP137" s="422"/>
      <c r="FEQ137" s="422"/>
      <c r="FER137" s="422"/>
      <c r="FES137" s="422"/>
      <c r="FET137" s="422"/>
      <c r="FEU137" s="422"/>
      <c r="FEV137" s="422"/>
      <c r="FEW137" s="422"/>
      <c r="FEX137" s="422"/>
      <c r="FEY137" s="422"/>
      <c r="FEZ137" s="422"/>
      <c r="FFA137" s="422"/>
      <c r="FFB137" s="422"/>
      <c r="FFC137" s="422"/>
      <c r="FFD137" s="422"/>
      <c r="FFE137" s="422"/>
      <c r="FFF137" s="422"/>
      <c r="FFG137" s="422"/>
      <c r="FFH137" s="422"/>
      <c r="FFI137" s="422"/>
      <c r="FFJ137" s="422"/>
      <c r="FFK137" s="422"/>
      <c r="FFL137" s="422"/>
      <c r="FFM137" s="422"/>
      <c r="FFN137" s="422"/>
      <c r="FFO137" s="422"/>
      <c r="FFP137" s="422"/>
      <c r="FFQ137" s="422"/>
      <c r="FFR137" s="422"/>
      <c r="FFS137" s="422"/>
      <c r="FFT137" s="422"/>
      <c r="FFU137" s="422"/>
      <c r="FFV137" s="422"/>
      <c r="FFW137" s="422"/>
      <c r="FFX137" s="422"/>
      <c r="FFY137" s="422"/>
      <c r="FFZ137" s="422"/>
      <c r="FGA137" s="422"/>
      <c r="FGB137" s="422"/>
      <c r="FGC137" s="422"/>
      <c r="FGD137" s="422"/>
      <c r="FGE137" s="422"/>
      <c r="FGF137" s="422"/>
      <c r="FGG137" s="422"/>
      <c r="FGH137" s="422"/>
      <c r="FGI137" s="422"/>
      <c r="FGJ137" s="422"/>
      <c r="FGK137" s="422"/>
      <c r="FGL137" s="422"/>
      <c r="FGM137" s="422"/>
      <c r="FGN137" s="422"/>
      <c r="FGO137" s="422"/>
      <c r="FGP137" s="422"/>
      <c r="FGQ137" s="422"/>
      <c r="FGR137" s="422"/>
      <c r="FGS137" s="422"/>
      <c r="FGT137" s="422"/>
      <c r="FGU137" s="422"/>
      <c r="FGV137" s="422"/>
      <c r="FGW137" s="422"/>
      <c r="FGX137" s="422"/>
      <c r="FGY137" s="422"/>
      <c r="FGZ137" s="422"/>
      <c r="FHA137" s="422"/>
      <c r="FHB137" s="422"/>
      <c r="FHC137" s="422"/>
      <c r="FHD137" s="422"/>
      <c r="FHE137" s="422"/>
      <c r="FHF137" s="422"/>
      <c r="FHG137" s="422"/>
      <c r="FHH137" s="422"/>
      <c r="FHI137" s="422"/>
      <c r="FHJ137" s="422"/>
      <c r="FHK137" s="422"/>
      <c r="FHL137" s="422"/>
      <c r="FHM137" s="422"/>
      <c r="FHN137" s="422"/>
      <c r="FHO137" s="422"/>
      <c r="FHP137" s="422"/>
      <c r="FHQ137" s="422"/>
      <c r="FHR137" s="422"/>
      <c r="FHS137" s="422"/>
      <c r="FHT137" s="422"/>
      <c r="FHU137" s="422"/>
      <c r="FHV137" s="422"/>
      <c r="FHW137" s="422"/>
      <c r="FHX137" s="422"/>
      <c r="FHY137" s="422"/>
      <c r="FHZ137" s="422"/>
      <c r="FIA137" s="422"/>
      <c r="FIB137" s="422"/>
      <c r="FIC137" s="422"/>
      <c r="FID137" s="422"/>
      <c r="FIE137" s="422"/>
      <c r="FIF137" s="422"/>
      <c r="FIG137" s="422"/>
      <c r="FIH137" s="422"/>
      <c r="FII137" s="422"/>
      <c r="FIJ137" s="422"/>
      <c r="FIK137" s="422"/>
      <c r="FIL137" s="422"/>
      <c r="FIM137" s="422"/>
      <c r="FIN137" s="422"/>
      <c r="FIO137" s="422"/>
      <c r="FIP137" s="422"/>
      <c r="FIQ137" s="422"/>
      <c r="FIR137" s="422"/>
      <c r="FIS137" s="422"/>
      <c r="FIT137" s="422"/>
      <c r="FIU137" s="422"/>
      <c r="FIV137" s="422"/>
      <c r="FIW137" s="422"/>
      <c r="FIX137" s="422"/>
      <c r="FIY137" s="422"/>
      <c r="FIZ137" s="422"/>
      <c r="FJA137" s="422"/>
      <c r="FJB137" s="422"/>
      <c r="FJC137" s="422"/>
      <c r="FJD137" s="422"/>
      <c r="FJE137" s="422"/>
      <c r="FJF137" s="422"/>
      <c r="FJG137" s="422"/>
      <c r="FJH137" s="422"/>
      <c r="FJI137" s="422"/>
      <c r="FJJ137" s="422"/>
      <c r="FJK137" s="422"/>
      <c r="FJL137" s="422"/>
      <c r="FJM137" s="422"/>
      <c r="FJN137" s="422"/>
      <c r="FJO137" s="422"/>
      <c r="FJP137" s="422"/>
      <c r="FJQ137" s="422"/>
      <c r="FJR137" s="422"/>
      <c r="FJS137" s="422"/>
      <c r="FJT137" s="422"/>
      <c r="FJU137" s="422"/>
      <c r="FJV137" s="422"/>
      <c r="FJW137" s="422"/>
      <c r="FJX137" s="422"/>
      <c r="FJY137" s="422"/>
      <c r="FJZ137" s="422"/>
      <c r="FKA137" s="422"/>
      <c r="FKB137" s="422"/>
      <c r="FKC137" s="422"/>
      <c r="FKD137" s="422"/>
      <c r="FKE137" s="422"/>
      <c r="FKF137" s="422"/>
      <c r="FKG137" s="422"/>
      <c r="FKH137" s="422"/>
      <c r="FKI137" s="422"/>
      <c r="FKJ137" s="422"/>
      <c r="FKK137" s="422"/>
      <c r="FKL137" s="422"/>
      <c r="FKM137" s="422"/>
      <c r="FKN137" s="422"/>
      <c r="FKO137" s="422"/>
      <c r="FKP137" s="422"/>
      <c r="FKQ137" s="422"/>
      <c r="FKR137" s="422"/>
      <c r="FKS137" s="422"/>
      <c r="FKT137" s="422"/>
      <c r="FKU137" s="422"/>
      <c r="FKV137" s="422"/>
      <c r="FKW137" s="422"/>
      <c r="FKX137" s="422"/>
      <c r="FKY137" s="422"/>
      <c r="FKZ137" s="422"/>
      <c r="FLA137" s="422"/>
      <c r="FLB137" s="422"/>
      <c r="FLC137" s="422"/>
      <c r="FLD137" s="422"/>
      <c r="FLE137" s="422"/>
      <c r="FLF137" s="422"/>
      <c r="FLG137" s="422"/>
      <c r="FLH137" s="422"/>
      <c r="FLI137" s="422"/>
      <c r="FLJ137" s="422"/>
      <c r="FLK137" s="422"/>
      <c r="FLL137" s="422"/>
      <c r="FLM137" s="422"/>
      <c r="FLN137" s="422"/>
      <c r="FLO137" s="422"/>
      <c r="FLP137" s="422"/>
      <c r="FLQ137" s="422"/>
      <c r="FLR137" s="422"/>
      <c r="FLS137" s="422"/>
      <c r="FLT137" s="422"/>
      <c r="FLU137" s="422"/>
      <c r="FLV137" s="422"/>
      <c r="FLW137" s="422"/>
      <c r="FLX137" s="422"/>
      <c r="FLY137" s="422"/>
      <c r="FLZ137" s="422"/>
      <c r="FMA137" s="422"/>
      <c r="FMB137" s="422"/>
      <c r="FMC137" s="422"/>
      <c r="FMD137" s="422"/>
      <c r="FME137" s="422"/>
      <c r="FMF137" s="422"/>
      <c r="FMG137" s="422"/>
      <c r="FMH137" s="422"/>
      <c r="FMI137" s="422"/>
      <c r="FMJ137" s="422"/>
      <c r="FMK137" s="422"/>
      <c r="FML137" s="422"/>
      <c r="FMM137" s="422"/>
      <c r="FMN137" s="422"/>
      <c r="FMO137" s="422"/>
      <c r="FMP137" s="422"/>
      <c r="FMQ137" s="422"/>
      <c r="FMR137" s="422"/>
      <c r="FMS137" s="422"/>
      <c r="FMT137" s="422"/>
      <c r="FMU137" s="422"/>
      <c r="FMV137" s="422"/>
      <c r="FMW137" s="422"/>
      <c r="FMX137" s="422"/>
      <c r="FMY137" s="422"/>
      <c r="FMZ137" s="422"/>
      <c r="FNA137" s="422"/>
      <c r="FNB137" s="422"/>
      <c r="FNC137" s="422"/>
      <c r="FND137" s="422"/>
      <c r="FNE137" s="422"/>
      <c r="FNF137" s="422"/>
      <c r="FNG137" s="422"/>
      <c r="FNH137" s="422"/>
      <c r="FNI137" s="422"/>
      <c r="FNJ137" s="422"/>
      <c r="FNK137" s="422"/>
      <c r="FNL137" s="422"/>
      <c r="FNM137" s="422"/>
      <c r="FNN137" s="422"/>
      <c r="FNO137" s="422"/>
      <c r="FNP137" s="422"/>
      <c r="FNQ137" s="422"/>
      <c r="FNR137" s="422"/>
      <c r="FNS137" s="422"/>
      <c r="FNT137" s="422"/>
      <c r="FNU137" s="422"/>
      <c r="FNV137" s="422"/>
      <c r="FNW137" s="422"/>
      <c r="FNX137" s="422"/>
      <c r="FNY137" s="422"/>
      <c r="FNZ137" s="422"/>
      <c r="FOA137" s="422"/>
      <c r="FOB137" s="422"/>
      <c r="FOC137" s="422"/>
      <c r="FOD137" s="422"/>
      <c r="FOE137" s="422"/>
      <c r="FOF137" s="422"/>
      <c r="FOG137" s="422"/>
      <c r="FOH137" s="422"/>
      <c r="FOI137" s="422"/>
      <c r="FOJ137" s="422"/>
      <c r="FOK137" s="422"/>
      <c r="FOL137" s="422"/>
      <c r="FOM137" s="422"/>
      <c r="FON137" s="422"/>
      <c r="FOO137" s="422"/>
      <c r="FOP137" s="422"/>
      <c r="FOQ137" s="422"/>
      <c r="FOR137" s="422"/>
      <c r="FOS137" s="422"/>
      <c r="FOT137" s="422"/>
      <c r="FOU137" s="422"/>
      <c r="FOV137" s="422"/>
      <c r="FOW137" s="422"/>
      <c r="FOX137" s="422"/>
      <c r="FOY137" s="422"/>
      <c r="FOZ137" s="422"/>
      <c r="FPA137" s="422"/>
      <c r="FPB137" s="422"/>
      <c r="FPC137" s="422"/>
      <c r="FPD137" s="422"/>
      <c r="FPE137" s="422"/>
      <c r="FPF137" s="422"/>
      <c r="FPG137" s="422"/>
      <c r="FPH137" s="422"/>
      <c r="FPI137" s="422"/>
      <c r="FPJ137" s="422"/>
      <c r="FPK137" s="422"/>
      <c r="FPL137" s="422"/>
      <c r="FPM137" s="422"/>
      <c r="FPN137" s="422"/>
      <c r="FPO137" s="422"/>
      <c r="FPP137" s="422"/>
      <c r="FPQ137" s="422"/>
      <c r="FPR137" s="422"/>
      <c r="FPS137" s="422"/>
      <c r="FPT137" s="422"/>
      <c r="FPU137" s="422"/>
      <c r="FPV137" s="422"/>
      <c r="FPW137" s="422"/>
      <c r="FPX137" s="422"/>
      <c r="FPY137" s="422"/>
      <c r="FPZ137" s="422"/>
      <c r="FQA137" s="422"/>
      <c r="FQB137" s="422"/>
      <c r="FQC137" s="422"/>
      <c r="FQD137" s="422"/>
      <c r="FQE137" s="422"/>
      <c r="FQF137" s="422"/>
      <c r="FQG137" s="422"/>
      <c r="FQH137" s="422"/>
      <c r="FQI137" s="422"/>
      <c r="FQJ137" s="422"/>
      <c r="FQK137" s="422"/>
      <c r="FQL137" s="422"/>
      <c r="FQM137" s="422"/>
      <c r="FQN137" s="422"/>
      <c r="FQO137" s="422"/>
      <c r="FQP137" s="422"/>
      <c r="FQQ137" s="422"/>
      <c r="FQR137" s="422"/>
      <c r="FQS137" s="422"/>
      <c r="FQT137" s="422"/>
      <c r="FQU137" s="422"/>
      <c r="FQV137" s="422"/>
      <c r="FQW137" s="422"/>
      <c r="FQX137" s="422"/>
      <c r="FQY137" s="422"/>
      <c r="FQZ137" s="422"/>
      <c r="FRA137" s="422"/>
      <c r="FRB137" s="422"/>
      <c r="FRC137" s="422"/>
      <c r="FRD137" s="422"/>
      <c r="FRE137" s="422"/>
      <c r="FRF137" s="422"/>
      <c r="FRG137" s="422"/>
      <c r="FRH137" s="422"/>
      <c r="FRI137" s="422"/>
      <c r="FRJ137" s="422"/>
      <c r="FRK137" s="422"/>
      <c r="FRL137" s="422"/>
      <c r="FRM137" s="422"/>
      <c r="FRN137" s="422"/>
      <c r="FRO137" s="422"/>
      <c r="FRP137" s="422"/>
      <c r="FRQ137" s="422"/>
      <c r="FRR137" s="422"/>
      <c r="FRS137" s="422"/>
      <c r="FRT137" s="422"/>
      <c r="FRU137" s="422"/>
      <c r="FRV137" s="422"/>
      <c r="FRW137" s="422"/>
      <c r="FRX137" s="422"/>
      <c r="FRY137" s="422"/>
      <c r="FRZ137" s="422"/>
      <c r="FSA137" s="422"/>
      <c r="FSB137" s="422"/>
      <c r="FSC137" s="422"/>
      <c r="FSD137" s="422"/>
      <c r="FSE137" s="422"/>
      <c r="FSF137" s="422"/>
      <c r="FSG137" s="422"/>
      <c r="FSH137" s="422"/>
      <c r="FSI137" s="422"/>
      <c r="FSJ137" s="422"/>
      <c r="FSK137" s="422"/>
      <c r="FSL137" s="422"/>
      <c r="FSM137" s="422"/>
      <c r="FSN137" s="422"/>
      <c r="FSO137" s="422"/>
      <c r="FSP137" s="422"/>
      <c r="FSQ137" s="422"/>
      <c r="FSR137" s="422"/>
      <c r="FSS137" s="422"/>
      <c r="FST137" s="422"/>
      <c r="FSU137" s="422"/>
      <c r="FSV137" s="422"/>
      <c r="FSW137" s="422"/>
      <c r="FSX137" s="422"/>
      <c r="FSY137" s="422"/>
      <c r="FSZ137" s="422"/>
      <c r="FTA137" s="422"/>
      <c r="FTB137" s="422"/>
      <c r="FTC137" s="422"/>
      <c r="FTD137" s="422"/>
      <c r="FTE137" s="422"/>
      <c r="FTF137" s="422"/>
      <c r="FTG137" s="422"/>
      <c r="FTH137" s="422"/>
      <c r="FTI137" s="422"/>
      <c r="FTJ137" s="422"/>
      <c r="FTK137" s="422"/>
      <c r="FTL137" s="422"/>
      <c r="FTM137" s="422"/>
      <c r="FTN137" s="422"/>
      <c r="FTO137" s="422"/>
      <c r="FTP137" s="422"/>
      <c r="FTQ137" s="422"/>
      <c r="FTR137" s="422"/>
      <c r="FTS137" s="422"/>
      <c r="FTT137" s="422"/>
      <c r="FTU137" s="422"/>
      <c r="FTV137" s="422"/>
      <c r="FTW137" s="422"/>
      <c r="FTX137" s="422"/>
      <c r="FTY137" s="422"/>
      <c r="FTZ137" s="422"/>
      <c r="FUA137" s="422"/>
      <c r="FUB137" s="422"/>
      <c r="FUC137" s="422"/>
      <c r="FUD137" s="422"/>
      <c r="FUE137" s="422"/>
      <c r="FUF137" s="422"/>
      <c r="FUG137" s="422"/>
      <c r="FUH137" s="422"/>
      <c r="FUI137" s="422"/>
      <c r="FUJ137" s="422"/>
      <c r="FUK137" s="422"/>
      <c r="FUL137" s="422"/>
      <c r="FUM137" s="422"/>
      <c r="FUN137" s="422"/>
      <c r="FUO137" s="422"/>
      <c r="FUP137" s="422"/>
      <c r="FUQ137" s="422"/>
      <c r="FUR137" s="422"/>
      <c r="FUS137" s="422"/>
      <c r="FUT137" s="422"/>
      <c r="FUU137" s="422"/>
      <c r="FUV137" s="422"/>
      <c r="FUW137" s="422"/>
      <c r="FUX137" s="422"/>
      <c r="FUY137" s="422"/>
      <c r="FUZ137" s="422"/>
      <c r="FVA137" s="422"/>
      <c r="FVB137" s="422"/>
      <c r="FVC137" s="422"/>
      <c r="FVD137" s="422"/>
      <c r="FVE137" s="422"/>
      <c r="FVF137" s="422"/>
      <c r="FVG137" s="422"/>
      <c r="FVH137" s="422"/>
      <c r="FVI137" s="422"/>
      <c r="FVJ137" s="422"/>
      <c r="FVK137" s="422"/>
      <c r="FVL137" s="422"/>
      <c r="FVM137" s="422"/>
      <c r="FVN137" s="422"/>
      <c r="FVO137" s="422"/>
      <c r="FVP137" s="422"/>
      <c r="FVQ137" s="422"/>
      <c r="FVR137" s="422"/>
      <c r="FVS137" s="422"/>
      <c r="FVT137" s="422"/>
      <c r="FVU137" s="422"/>
      <c r="FVV137" s="422"/>
      <c r="FVW137" s="422"/>
      <c r="FVX137" s="422"/>
      <c r="FVY137" s="422"/>
      <c r="FVZ137" s="422"/>
      <c r="FWA137" s="422"/>
      <c r="FWB137" s="422"/>
      <c r="FWC137" s="422"/>
      <c r="FWD137" s="422"/>
      <c r="FWE137" s="422"/>
      <c r="FWF137" s="422"/>
      <c r="FWG137" s="422"/>
      <c r="FWH137" s="422"/>
      <c r="FWI137" s="422"/>
      <c r="FWJ137" s="422"/>
      <c r="FWK137" s="422"/>
      <c r="FWL137" s="422"/>
      <c r="FWM137" s="422"/>
      <c r="FWN137" s="422"/>
      <c r="FWO137" s="422"/>
      <c r="FWP137" s="422"/>
      <c r="FWQ137" s="422"/>
      <c r="FWR137" s="422"/>
      <c r="FWS137" s="422"/>
      <c r="FWT137" s="422"/>
      <c r="FWU137" s="422"/>
      <c r="FWV137" s="422"/>
      <c r="FWW137" s="422"/>
      <c r="FWX137" s="422"/>
      <c r="FWY137" s="422"/>
      <c r="FWZ137" s="422"/>
      <c r="FXA137" s="422"/>
      <c r="FXB137" s="422"/>
      <c r="FXC137" s="422"/>
      <c r="FXD137" s="422"/>
      <c r="FXE137" s="422"/>
      <c r="FXF137" s="422"/>
      <c r="FXG137" s="422"/>
      <c r="FXH137" s="422"/>
      <c r="FXI137" s="422"/>
      <c r="FXJ137" s="422"/>
      <c r="FXK137" s="422"/>
      <c r="FXL137" s="422"/>
      <c r="FXM137" s="422"/>
      <c r="FXN137" s="422"/>
      <c r="FXO137" s="422"/>
      <c r="FXP137" s="422"/>
      <c r="FXQ137" s="422"/>
      <c r="FXR137" s="422"/>
      <c r="FXS137" s="422"/>
      <c r="FXT137" s="422"/>
      <c r="FXU137" s="422"/>
      <c r="FXV137" s="422"/>
      <c r="FXW137" s="422"/>
      <c r="FXX137" s="422"/>
      <c r="FXY137" s="422"/>
      <c r="FXZ137" s="422"/>
      <c r="FYA137" s="422"/>
      <c r="FYB137" s="422"/>
      <c r="FYC137" s="422"/>
      <c r="FYD137" s="422"/>
      <c r="FYE137" s="422"/>
      <c r="FYF137" s="422"/>
      <c r="FYG137" s="422"/>
      <c r="FYH137" s="422"/>
      <c r="FYI137" s="422"/>
      <c r="FYJ137" s="422"/>
      <c r="FYK137" s="422"/>
      <c r="FYL137" s="422"/>
      <c r="FYM137" s="422"/>
      <c r="FYN137" s="422"/>
      <c r="FYO137" s="422"/>
      <c r="FYP137" s="422"/>
      <c r="FYQ137" s="422"/>
      <c r="FYR137" s="422"/>
      <c r="FYS137" s="422"/>
      <c r="FYT137" s="422"/>
      <c r="FYU137" s="422"/>
      <c r="FYV137" s="422"/>
      <c r="FYW137" s="422"/>
      <c r="FYX137" s="422"/>
      <c r="FYY137" s="422"/>
      <c r="FYZ137" s="422"/>
      <c r="FZA137" s="422"/>
      <c r="FZB137" s="422"/>
      <c r="FZC137" s="422"/>
      <c r="FZD137" s="422"/>
      <c r="FZE137" s="422"/>
      <c r="FZF137" s="422"/>
      <c r="FZG137" s="422"/>
      <c r="FZH137" s="422"/>
      <c r="FZI137" s="422"/>
      <c r="FZJ137" s="422"/>
      <c r="FZK137" s="422"/>
      <c r="FZL137" s="422"/>
      <c r="FZM137" s="422"/>
      <c r="FZN137" s="422"/>
      <c r="FZO137" s="422"/>
      <c r="FZP137" s="422"/>
      <c r="FZQ137" s="422"/>
      <c r="FZR137" s="422"/>
      <c r="FZS137" s="422"/>
      <c r="FZT137" s="422"/>
      <c r="FZU137" s="422"/>
      <c r="FZV137" s="422"/>
      <c r="FZW137" s="422"/>
      <c r="FZX137" s="422"/>
      <c r="FZY137" s="422"/>
      <c r="FZZ137" s="422"/>
      <c r="GAA137" s="422"/>
      <c r="GAB137" s="422"/>
      <c r="GAC137" s="422"/>
      <c r="GAD137" s="422"/>
      <c r="GAE137" s="422"/>
      <c r="GAF137" s="422"/>
      <c r="GAG137" s="422"/>
      <c r="GAH137" s="422"/>
      <c r="GAI137" s="422"/>
      <c r="GAJ137" s="422"/>
      <c r="GAK137" s="422"/>
      <c r="GAL137" s="422"/>
      <c r="GAM137" s="422"/>
      <c r="GAN137" s="422"/>
      <c r="GAO137" s="422"/>
      <c r="GAP137" s="422"/>
      <c r="GAQ137" s="422"/>
      <c r="GAR137" s="422"/>
      <c r="GAS137" s="422"/>
      <c r="GAT137" s="422"/>
      <c r="GAU137" s="422"/>
      <c r="GAV137" s="422"/>
      <c r="GAW137" s="422"/>
      <c r="GAX137" s="422"/>
      <c r="GAY137" s="422"/>
      <c r="GAZ137" s="422"/>
      <c r="GBA137" s="422"/>
      <c r="GBB137" s="422"/>
      <c r="GBC137" s="422"/>
      <c r="GBD137" s="422"/>
      <c r="GBE137" s="422"/>
      <c r="GBF137" s="422"/>
      <c r="GBG137" s="422"/>
      <c r="GBH137" s="422"/>
      <c r="GBI137" s="422"/>
      <c r="GBJ137" s="422"/>
      <c r="GBK137" s="422"/>
      <c r="GBL137" s="422"/>
      <c r="GBM137" s="422"/>
      <c r="GBN137" s="422"/>
      <c r="GBO137" s="422"/>
      <c r="GBP137" s="422"/>
      <c r="GBQ137" s="422"/>
      <c r="GBR137" s="422"/>
      <c r="GBS137" s="422"/>
      <c r="GBT137" s="422"/>
      <c r="GBU137" s="422"/>
      <c r="GBV137" s="422"/>
      <c r="GBW137" s="422"/>
      <c r="GBX137" s="422"/>
      <c r="GBY137" s="422"/>
      <c r="GBZ137" s="422"/>
      <c r="GCA137" s="422"/>
      <c r="GCB137" s="422"/>
      <c r="GCC137" s="422"/>
      <c r="GCD137" s="422"/>
      <c r="GCE137" s="422"/>
      <c r="GCF137" s="422"/>
      <c r="GCG137" s="422"/>
      <c r="GCH137" s="422"/>
      <c r="GCI137" s="422"/>
      <c r="GCJ137" s="422"/>
      <c r="GCK137" s="422"/>
      <c r="GCL137" s="422"/>
      <c r="GCM137" s="422"/>
      <c r="GCN137" s="422"/>
      <c r="GCO137" s="422"/>
      <c r="GCP137" s="422"/>
      <c r="GCQ137" s="422"/>
      <c r="GCR137" s="422"/>
      <c r="GCS137" s="422"/>
      <c r="GCT137" s="422"/>
      <c r="GCU137" s="422"/>
      <c r="GCV137" s="422"/>
      <c r="GCW137" s="422"/>
      <c r="GCX137" s="422"/>
      <c r="GCY137" s="422"/>
      <c r="GCZ137" s="422"/>
      <c r="GDA137" s="422"/>
      <c r="GDB137" s="422"/>
      <c r="GDC137" s="422"/>
      <c r="GDD137" s="422"/>
      <c r="GDE137" s="422"/>
      <c r="GDF137" s="422"/>
      <c r="GDG137" s="422"/>
      <c r="GDH137" s="422"/>
      <c r="GDI137" s="422"/>
      <c r="GDJ137" s="422"/>
      <c r="GDK137" s="422"/>
      <c r="GDL137" s="422"/>
      <c r="GDM137" s="422"/>
      <c r="GDN137" s="422"/>
      <c r="GDO137" s="422"/>
      <c r="GDP137" s="422"/>
      <c r="GDQ137" s="422"/>
      <c r="GDR137" s="422"/>
      <c r="GDS137" s="422"/>
      <c r="GDT137" s="422"/>
      <c r="GDU137" s="422"/>
      <c r="GDV137" s="422"/>
      <c r="GDW137" s="422"/>
      <c r="GDX137" s="422"/>
      <c r="GDY137" s="422"/>
      <c r="GDZ137" s="422"/>
      <c r="GEA137" s="422"/>
      <c r="GEB137" s="422"/>
      <c r="GEC137" s="422"/>
      <c r="GED137" s="422"/>
      <c r="GEE137" s="422"/>
      <c r="GEF137" s="422"/>
      <c r="GEG137" s="422"/>
      <c r="GEH137" s="422"/>
      <c r="GEI137" s="422"/>
      <c r="GEJ137" s="422"/>
      <c r="GEK137" s="422"/>
      <c r="GEL137" s="422"/>
      <c r="GEM137" s="422"/>
      <c r="GEN137" s="422"/>
      <c r="GEO137" s="422"/>
      <c r="GEP137" s="422"/>
      <c r="GEQ137" s="422"/>
      <c r="GER137" s="422"/>
      <c r="GES137" s="422"/>
      <c r="GET137" s="422"/>
      <c r="GEU137" s="422"/>
      <c r="GEV137" s="422"/>
      <c r="GEW137" s="422"/>
      <c r="GEX137" s="422"/>
      <c r="GEY137" s="422"/>
      <c r="GEZ137" s="422"/>
      <c r="GFA137" s="422"/>
      <c r="GFB137" s="422"/>
      <c r="GFC137" s="422"/>
      <c r="GFD137" s="422"/>
      <c r="GFE137" s="422"/>
      <c r="GFF137" s="422"/>
      <c r="GFG137" s="422"/>
      <c r="GFH137" s="422"/>
      <c r="GFI137" s="422"/>
      <c r="GFJ137" s="422"/>
      <c r="GFK137" s="422"/>
      <c r="GFL137" s="422"/>
      <c r="GFM137" s="422"/>
      <c r="GFN137" s="422"/>
      <c r="GFO137" s="422"/>
      <c r="GFP137" s="422"/>
      <c r="GFQ137" s="422"/>
      <c r="GFR137" s="422"/>
      <c r="GFS137" s="422"/>
      <c r="GFT137" s="422"/>
      <c r="GFU137" s="422"/>
      <c r="GFV137" s="422"/>
      <c r="GFW137" s="422"/>
      <c r="GFX137" s="422"/>
      <c r="GFY137" s="422"/>
      <c r="GFZ137" s="422"/>
      <c r="GGA137" s="422"/>
      <c r="GGB137" s="422"/>
      <c r="GGC137" s="422"/>
      <c r="GGD137" s="422"/>
      <c r="GGE137" s="422"/>
      <c r="GGF137" s="422"/>
      <c r="GGG137" s="422"/>
      <c r="GGH137" s="422"/>
      <c r="GGI137" s="422"/>
      <c r="GGJ137" s="422"/>
      <c r="GGK137" s="422"/>
      <c r="GGL137" s="422"/>
      <c r="GGM137" s="422"/>
      <c r="GGN137" s="422"/>
      <c r="GGO137" s="422"/>
      <c r="GGP137" s="422"/>
      <c r="GGQ137" s="422"/>
      <c r="GGR137" s="422"/>
      <c r="GGS137" s="422"/>
      <c r="GGT137" s="422"/>
      <c r="GGU137" s="422"/>
      <c r="GGV137" s="422"/>
      <c r="GGW137" s="422"/>
      <c r="GGX137" s="422"/>
      <c r="GGY137" s="422"/>
      <c r="GGZ137" s="422"/>
      <c r="GHA137" s="422"/>
      <c r="GHB137" s="422"/>
      <c r="GHC137" s="422"/>
      <c r="GHD137" s="422"/>
      <c r="GHE137" s="422"/>
      <c r="GHF137" s="422"/>
      <c r="GHG137" s="422"/>
      <c r="GHH137" s="422"/>
      <c r="GHI137" s="422"/>
      <c r="GHJ137" s="422"/>
      <c r="GHK137" s="422"/>
      <c r="GHL137" s="422"/>
      <c r="GHM137" s="422"/>
      <c r="GHN137" s="422"/>
      <c r="GHO137" s="422"/>
      <c r="GHP137" s="422"/>
      <c r="GHQ137" s="422"/>
      <c r="GHR137" s="422"/>
      <c r="GHS137" s="422"/>
      <c r="GHT137" s="422"/>
      <c r="GHU137" s="422"/>
      <c r="GHV137" s="422"/>
      <c r="GHW137" s="422"/>
      <c r="GHX137" s="422"/>
      <c r="GHY137" s="422"/>
      <c r="GHZ137" s="422"/>
      <c r="GIA137" s="422"/>
      <c r="GIB137" s="422"/>
      <c r="GIC137" s="422"/>
      <c r="GID137" s="422"/>
      <c r="GIE137" s="422"/>
      <c r="GIF137" s="422"/>
      <c r="GIG137" s="422"/>
      <c r="GIH137" s="422"/>
      <c r="GII137" s="422"/>
      <c r="GIJ137" s="422"/>
      <c r="GIK137" s="422"/>
      <c r="GIL137" s="422"/>
      <c r="GIM137" s="422"/>
      <c r="GIN137" s="422"/>
      <c r="GIO137" s="422"/>
      <c r="GIP137" s="422"/>
      <c r="GIQ137" s="422"/>
      <c r="GIR137" s="422"/>
      <c r="GIS137" s="422"/>
      <c r="GIT137" s="422"/>
      <c r="GIU137" s="422"/>
      <c r="GIV137" s="422"/>
      <c r="GIW137" s="422"/>
      <c r="GIX137" s="422"/>
      <c r="GIY137" s="422"/>
      <c r="GIZ137" s="422"/>
      <c r="GJA137" s="422"/>
      <c r="GJB137" s="422"/>
      <c r="GJC137" s="422"/>
      <c r="GJD137" s="422"/>
      <c r="GJE137" s="422"/>
      <c r="GJF137" s="422"/>
      <c r="GJG137" s="422"/>
      <c r="GJH137" s="422"/>
      <c r="GJI137" s="422"/>
      <c r="GJJ137" s="422"/>
      <c r="GJK137" s="422"/>
      <c r="GJL137" s="422"/>
      <c r="GJM137" s="422"/>
      <c r="GJN137" s="422"/>
      <c r="GJO137" s="422"/>
      <c r="GJP137" s="422"/>
      <c r="GJQ137" s="422"/>
      <c r="GJR137" s="422"/>
      <c r="GJS137" s="422"/>
      <c r="GJT137" s="422"/>
      <c r="GJU137" s="422"/>
      <c r="GJV137" s="422"/>
      <c r="GJW137" s="422"/>
      <c r="GJX137" s="422"/>
      <c r="GJY137" s="422"/>
      <c r="GJZ137" s="422"/>
      <c r="GKA137" s="422"/>
      <c r="GKB137" s="422"/>
      <c r="GKC137" s="422"/>
      <c r="GKD137" s="422"/>
      <c r="GKE137" s="422"/>
      <c r="GKF137" s="422"/>
      <c r="GKG137" s="422"/>
      <c r="GKH137" s="422"/>
      <c r="GKI137" s="422"/>
      <c r="GKJ137" s="422"/>
      <c r="GKK137" s="422"/>
      <c r="GKL137" s="422"/>
      <c r="GKM137" s="422"/>
      <c r="GKN137" s="422"/>
      <c r="GKO137" s="422"/>
      <c r="GKP137" s="422"/>
      <c r="GKQ137" s="422"/>
      <c r="GKR137" s="422"/>
      <c r="GKS137" s="422"/>
      <c r="GKT137" s="422"/>
      <c r="GKU137" s="422"/>
      <c r="GKV137" s="422"/>
      <c r="GKW137" s="422"/>
      <c r="GKX137" s="422"/>
      <c r="GKY137" s="422"/>
      <c r="GKZ137" s="422"/>
      <c r="GLA137" s="422"/>
      <c r="GLB137" s="422"/>
      <c r="GLC137" s="422"/>
      <c r="GLD137" s="422"/>
      <c r="GLE137" s="422"/>
      <c r="GLF137" s="422"/>
      <c r="GLG137" s="422"/>
      <c r="GLH137" s="422"/>
      <c r="GLI137" s="422"/>
      <c r="GLJ137" s="422"/>
      <c r="GLK137" s="422"/>
      <c r="GLL137" s="422"/>
      <c r="GLM137" s="422"/>
      <c r="GLN137" s="422"/>
      <c r="GLO137" s="422"/>
      <c r="GLP137" s="422"/>
      <c r="GLQ137" s="422"/>
      <c r="GLR137" s="422"/>
      <c r="GLS137" s="422"/>
      <c r="GLT137" s="422"/>
      <c r="GLU137" s="422"/>
      <c r="GLV137" s="422"/>
      <c r="GLW137" s="422"/>
      <c r="GLX137" s="422"/>
      <c r="GLY137" s="422"/>
      <c r="GLZ137" s="422"/>
      <c r="GMA137" s="422"/>
      <c r="GMB137" s="422"/>
      <c r="GMC137" s="422"/>
      <c r="GMD137" s="422"/>
      <c r="GME137" s="422"/>
      <c r="GMF137" s="422"/>
      <c r="GMG137" s="422"/>
      <c r="GMH137" s="422"/>
      <c r="GMI137" s="422"/>
      <c r="GMJ137" s="422"/>
      <c r="GMK137" s="422"/>
      <c r="GML137" s="422"/>
      <c r="GMM137" s="422"/>
      <c r="GMN137" s="422"/>
      <c r="GMO137" s="422"/>
      <c r="GMP137" s="422"/>
      <c r="GMQ137" s="422"/>
      <c r="GMR137" s="422"/>
      <c r="GMS137" s="422"/>
      <c r="GMT137" s="422"/>
      <c r="GMU137" s="422"/>
      <c r="GMV137" s="422"/>
      <c r="GMW137" s="422"/>
      <c r="GMX137" s="422"/>
      <c r="GMY137" s="422"/>
      <c r="GMZ137" s="422"/>
      <c r="GNA137" s="422"/>
      <c r="GNB137" s="422"/>
      <c r="GNC137" s="422"/>
      <c r="GND137" s="422"/>
      <c r="GNE137" s="422"/>
      <c r="GNF137" s="422"/>
      <c r="GNG137" s="422"/>
      <c r="GNH137" s="422"/>
      <c r="GNI137" s="422"/>
      <c r="GNJ137" s="422"/>
      <c r="GNK137" s="422"/>
      <c r="GNL137" s="422"/>
      <c r="GNM137" s="422"/>
      <c r="GNN137" s="422"/>
      <c r="GNO137" s="422"/>
      <c r="GNP137" s="422"/>
      <c r="GNQ137" s="422"/>
      <c r="GNR137" s="422"/>
      <c r="GNS137" s="422"/>
      <c r="GNT137" s="422"/>
      <c r="GNU137" s="422"/>
      <c r="GNV137" s="422"/>
      <c r="GNW137" s="422"/>
      <c r="GNX137" s="422"/>
      <c r="GNY137" s="422"/>
      <c r="GNZ137" s="422"/>
      <c r="GOA137" s="422"/>
      <c r="GOB137" s="422"/>
      <c r="GOC137" s="422"/>
      <c r="GOD137" s="422"/>
      <c r="GOE137" s="422"/>
      <c r="GOF137" s="422"/>
      <c r="GOG137" s="422"/>
      <c r="GOH137" s="422"/>
      <c r="GOI137" s="422"/>
      <c r="GOJ137" s="422"/>
      <c r="GOK137" s="422"/>
      <c r="GOL137" s="422"/>
      <c r="GOM137" s="422"/>
      <c r="GON137" s="422"/>
      <c r="GOO137" s="422"/>
      <c r="GOP137" s="422"/>
      <c r="GOQ137" s="422"/>
      <c r="GOR137" s="422"/>
      <c r="GOS137" s="422"/>
      <c r="GOT137" s="422"/>
      <c r="GOU137" s="422"/>
      <c r="GOV137" s="422"/>
      <c r="GOW137" s="422"/>
      <c r="GOX137" s="422"/>
      <c r="GOY137" s="422"/>
      <c r="GOZ137" s="422"/>
      <c r="GPA137" s="422"/>
      <c r="GPB137" s="422"/>
      <c r="GPC137" s="422"/>
      <c r="GPD137" s="422"/>
      <c r="GPE137" s="422"/>
      <c r="GPF137" s="422"/>
      <c r="GPG137" s="422"/>
      <c r="GPH137" s="422"/>
      <c r="GPI137" s="422"/>
      <c r="GPJ137" s="422"/>
      <c r="GPK137" s="422"/>
      <c r="GPL137" s="422"/>
      <c r="GPM137" s="422"/>
      <c r="GPN137" s="422"/>
      <c r="GPO137" s="422"/>
      <c r="GPP137" s="422"/>
      <c r="GPQ137" s="422"/>
      <c r="GPR137" s="422"/>
      <c r="GPS137" s="422"/>
      <c r="GPT137" s="422"/>
      <c r="GPU137" s="422"/>
      <c r="GPV137" s="422"/>
      <c r="GPW137" s="422"/>
      <c r="GPX137" s="422"/>
      <c r="GPY137" s="422"/>
      <c r="GPZ137" s="422"/>
      <c r="GQA137" s="422"/>
      <c r="GQB137" s="422"/>
      <c r="GQC137" s="422"/>
      <c r="GQD137" s="422"/>
      <c r="GQE137" s="422"/>
      <c r="GQF137" s="422"/>
      <c r="GQG137" s="422"/>
      <c r="GQH137" s="422"/>
      <c r="GQI137" s="422"/>
      <c r="GQJ137" s="422"/>
      <c r="GQK137" s="422"/>
      <c r="GQL137" s="422"/>
      <c r="GQM137" s="422"/>
      <c r="GQN137" s="422"/>
      <c r="GQO137" s="422"/>
      <c r="GQP137" s="422"/>
      <c r="GQQ137" s="422"/>
      <c r="GQR137" s="422"/>
      <c r="GQS137" s="422"/>
      <c r="GQT137" s="422"/>
      <c r="GQU137" s="422"/>
      <c r="GQV137" s="422"/>
      <c r="GQW137" s="422"/>
      <c r="GQX137" s="422"/>
      <c r="GQY137" s="422"/>
      <c r="GQZ137" s="422"/>
      <c r="GRA137" s="422"/>
      <c r="GRB137" s="422"/>
      <c r="GRC137" s="422"/>
      <c r="GRD137" s="422"/>
      <c r="GRE137" s="422"/>
      <c r="GRF137" s="422"/>
      <c r="GRG137" s="422"/>
      <c r="GRH137" s="422"/>
      <c r="GRI137" s="422"/>
      <c r="GRJ137" s="422"/>
      <c r="GRK137" s="422"/>
      <c r="GRL137" s="422"/>
      <c r="GRM137" s="422"/>
      <c r="GRN137" s="422"/>
      <c r="GRO137" s="422"/>
      <c r="GRP137" s="422"/>
      <c r="GRQ137" s="422"/>
      <c r="GRR137" s="422"/>
      <c r="GRS137" s="422"/>
      <c r="GRT137" s="422"/>
      <c r="GRU137" s="422"/>
      <c r="GRV137" s="422"/>
      <c r="GRW137" s="422"/>
      <c r="GRX137" s="422"/>
      <c r="GRY137" s="422"/>
      <c r="GRZ137" s="422"/>
      <c r="GSA137" s="422"/>
      <c r="GSB137" s="422"/>
      <c r="GSC137" s="422"/>
      <c r="GSD137" s="422"/>
      <c r="GSE137" s="422"/>
      <c r="GSF137" s="422"/>
      <c r="GSG137" s="422"/>
      <c r="GSH137" s="422"/>
      <c r="GSI137" s="422"/>
      <c r="GSJ137" s="422"/>
      <c r="GSK137" s="422"/>
      <c r="GSL137" s="422"/>
      <c r="GSM137" s="422"/>
      <c r="GSN137" s="422"/>
      <c r="GSO137" s="422"/>
      <c r="GSP137" s="422"/>
      <c r="GSQ137" s="422"/>
      <c r="GSR137" s="422"/>
      <c r="GSS137" s="422"/>
      <c r="GST137" s="422"/>
      <c r="GSU137" s="422"/>
      <c r="GSV137" s="422"/>
      <c r="GSW137" s="422"/>
      <c r="GSX137" s="422"/>
      <c r="GSY137" s="422"/>
      <c r="GSZ137" s="422"/>
      <c r="GTA137" s="422"/>
      <c r="GTB137" s="422"/>
      <c r="GTC137" s="422"/>
      <c r="GTD137" s="422"/>
      <c r="GTE137" s="422"/>
      <c r="GTF137" s="422"/>
      <c r="GTG137" s="422"/>
      <c r="GTH137" s="422"/>
      <c r="GTI137" s="422"/>
      <c r="GTJ137" s="422"/>
      <c r="GTK137" s="422"/>
      <c r="GTL137" s="422"/>
      <c r="GTM137" s="422"/>
      <c r="GTN137" s="422"/>
      <c r="GTO137" s="422"/>
      <c r="GTP137" s="422"/>
      <c r="GTQ137" s="422"/>
      <c r="GTR137" s="422"/>
      <c r="GTS137" s="422"/>
      <c r="GTT137" s="422"/>
      <c r="GTU137" s="422"/>
      <c r="GTV137" s="422"/>
      <c r="GTW137" s="422"/>
      <c r="GTX137" s="422"/>
      <c r="GTY137" s="422"/>
      <c r="GTZ137" s="422"/>
      <c r="GUA137" s="422"/>
      <c r="GUB137" s="422"/>
      <c r="GUC137" s="422"/>
      <c r="GUD137" s="422"/>
      <c r="GUE137" s="422"/>
      <c r="GUF137" s="422"/>
      <c r="GUG137" s="422"/>
      <c r="GUH137" s="422"/>
      <c r="GUI137" s="422"/>
      <c r="GUJ137" s="422"/>
      <c r="GUK137" s="422"/>
      <c r="GUL137" s="422"/>
      <c r="GUM137" s="422"/>
      <c r="GUN137" s="422"/>
      <c r="GUO137" s="422"/>
      <c r="GUP137" s="422"/>
      <c r="GUQ137" s="422"/>
      <c r="GUR137" s="422"/>
      <c r="GUS137" s="422"/>
      <c r="GUT137" s="422"/>
      <c r="GUU137" s="422"/>
      <c r="GUV137" s="422"/>
      <c r="GUW137" s="422"/>
      <c r="GUX137" s="422"/>
      <c r="GUY137" s="422"/>
      <c r="GUZ137" s="422"/>
      <c r="GVA137" s="422"/>
      <c r="GVB137" s="422"/>
      <c r="GVC137" s="422"/>
      <c r="GVD137" s="422"/>
      <c r="GVE137" s="422"/>
      <c r="GVF137" s="422"/>
      <c r="GVG137" s="422"/>
      <c r="GVH137" s="422"/>
      <c r="GVI137" s="422"/>
      <c r="GVJ137" s="422"/>
      <c r="GVK137" s="422"/>
      <c r="GVL137" s="422"/>
      <c r="GVM137" s="422"/>
      <c r="GVN137" s="422"/>
      <c r="GVO137" s="422"/>
      <c r="GVP137" s="422"/>
      <c r="GVQ137" s="422"/>
      <c r="GVR137" s="422"/>
      <c r="GVS137" s="422"/>
      <c r="GVT137" s="422"/>
      <c r="GVU137" s="422"/>
      <c r="GVV137" s="422"/>
      <c r="GVW137" s="422"/>
      <c r="GVX137" s="422"/>
      <c r="GVY137" s="422"/>
      <c r="GVZ137" s="422"/>
      <c r="GWA137" s="422"/>
      <c r="GWB137" s="422"/>
      <c r="GWC137" s="422"/>
      <c r="GWD137" s="422"/>
      <c r="GWE137" s="422"/>
      <c r="GWF137" s="422"/>
      <c r="GWG137" s="422"/>
      <c r="GWH137" s="422"/>
      <c r="GWI137" s="422"/>
      <c r="GWJ137" s="422"/>
      <c r="GWK137" s="422"/>
      <c r="GWL137" s="422"/>
      <c r="GWM137" s="422"/>
      <c r="GWN137" s="422"/>
      <c r="GWO137" s="422"/>
      <c r="GWP137" s="422"/>
      <c r="GWQ137" s="422"/>
      <c r="GWR137" s="422"/>
      <c r="GWS137" s="422"/>
      <c r="GWT137" s="422"/>
      <c r="GWU137" s="422"/>
      <c r="GWV137" s="422"/>
      <c r="GWW137" s="422"/>
      <c r="GWX137" s="422"/>
      <c r="GWY137" s="422"/>
      <c r="GWZ137" s="422"/>
      <c r="GXA137" s="422"/>
      <c r="GXB137" s="422"/>
      <c r="GXC137" s="422"/>
      <c r="GXD137" s="422"/>
      <c r="GXE137" s="422"/>
      <c r="GXF137" s="422"/>
      <c r="GXG137" s="422"/>
      <c r="GXH137" s="422"/>
      <c r="GXI137" s="422"/>
      <c r="GXJ137" s="422"/>
      <c r="GXK137" s="422"/>
      <c r="GXL137" s="422"/>
      <c r="GXM137" s="422"/>
      <c r="GXN137" s="422"/>
      <c r="GXO137" s="422"/>
      <c r="GXP137" s="422"/>
      <c r="GXQ137" s="422"/>
      <c r="GXR137" s="422"/>
      <c r="GXS137" s="422"/>
      <c r="GXT137" s="422"/>
      <c r="GXU137" s="422"/>
      <c r="GXV137" s="422"/>
      <c r="GXW137" s="422"/>
      <c r="GXX137" s="422"/>
      <c r="GXY137" s="422"/>
      <c r="GXZ137" s="422"/>
      <c r="GYA137" s="422"/>
      <c r="GYB137" s="422"/>
      <c r="GYC137" s="422"/>
      <c r="GYD137" s="422"/>
      <c r="GYE137" s="422"/>
      <c r="GYF137" s="422"/>
      <c r="GYG137" s="422"/>
      <c r="GYH137" s="422"/>
      <c r="GYI137" s="422"/>
      <c r="GYJ137" s="422"/>
      <c r="GYK137" s="422"/>
      <c r="GYL137" s="422"/>
      <c r="GYM137" s="422"/>
      <c r="GYN137" s="422"/>
      <c r="GYO137" s="422"/>
      <c r="GYP137" s="422"/>
      <c r="GYQ137" s="422"/>
      <c r="GYR137" s="422"/>
      <c r="GYS137" s="422"/>
      <c r="GYT137" s="422"/>
      <c r="GYU137" s="422"/>
      <c r="GYV137" s="422"/>
      <c r="GYW137" s="422"/>
      <c r="GYX137" s="422"/>
      <c r="GYY137" s="422"/>
      <c r="GYZ137" s="422"/>
      <c r="GZA137" s="422"/>
      <c r="GZB137" s="422"/>
      <c r="GZC137" s="422"/>
      <c r="GZD137" s="422"/>
      <c r="GZE137" s="422"/>
      <c r="GZF137" s="422"/>
      <c r="GZG137" s="422"/>
      <c r="GZH137" s="422"/>
      <c r="GZI137" s="422"/>
      <c r="GZJ137" s="422"/>
      <c r="GZK137" s="422"/>
      <c r="GZL137" s="422"/>
      <c r="GZM137" s="422"/>
      <c r="GZN137" s="422"/>
      <c r="GZO137" s="422"/>
      <c r="GZP137" s="422"/>
      <c r="GZQ137" s="422"/>
      <c r="GZR137" s="422"/>
      <c r="GZS137" s="422"/>
      <c r="GZT137" s="422"/>
      <c r="GZU137" s="422"/>
      <c r="GZV137" s="422"/>
      <c r="GZW137" s="422"/>
      <c r="GZX137" s="422"/>
      <c r="GZY137" s="422"/>
      <c r="GZZ137" s="422"/>
      <c r="HAA137" s="422"/>
      <c r="HAB137" s="422"/>
      <c r="HAC137" s="422"/>
      <c r="HAD137" s="422"/>
      <c r="HAE137" s="422"/>
      <c r="HAF137" s="422"/>
      <c r="HAG137" s="422"/>
      <c r="HAH137" s="422"/>
      <c r="HAI137" s="422"/>
      <c r="HAJ137" s="422"/>
      <c r="HAK137" s="422"/>
      <c r="HAL137" s="422"/>
      <c r="HAM137" s="422"/>
      <c r="HAN137" s="422"/>
      <c r="HAO137" s="422"/>
      <c r="HAP137" s="422"/>
      <c r="HAQ137" s="422"/>
      <c r="HAR137" s="422"/>
      <c r="HAS137" s="422"/>
      <c r="HAT137" s="422"/>
      <c r="HAU137" s="422"/>
      <c r="HAV137" s="422"/>
      <c r="HAW137" s="422"/>
      <c r="HAX137" s="422"/>
      <c r="HAY137" s="422"/>
      <c r="HAZ137" s="422"/>
      <c r="HBA137" s="422"/>
      <c r="HBB137" s="422"/>
      <c r="HBC137" s="422"/>
      <c r="HBD137" s="422"/>
      <c r="HBE137" s="422"/>
      <c r="HBF137" s="422"/>
      <c r="HBG137" s="422"/>
      <c r="HBH137" s="422"/>
      <c r="HBI137" s="422"/>
      <c r="HBJ137" s="422"/>
      <c r="HBK137" s="422"/>
      <c r="HBL137" s="422"/>
      <c r="HBM137" s="422"/>
      <c r="HBN137" s="422"/>
      <c r="HBO137" s="422"/>
      <c r="HBP137" s="422"/>
      <c r="HBQ137" s="422"/>
      <c r="HBR137" s="422"/>
      <c r="HBS137" s="422"/>
      <c r="HBT137" s="422"/>
      <c r="HBU137" s="422"/>
      <c r="HBV137" s="422"/>
      <c r="HBW137" s="422"/>
      <c r="HBX137" s="422"/>
      <c r="HBY137" s="422"/>
      <c r="HBZ137" s="422"/>
      <c r="HCA137" s="422"/>
      <c r="HCB137" s="422"/>
      <c r="HCC137" s="422"/>
      <c r="HCD137" s="422"/>
      <c r="HCE137" s="422"/>
      <c r="HCF137" s="422"/>
      <c r="HCG137" s="422"/>
      <c r="HCH137" s="422"/>
      <c r="HCI137" s="422"/>
      <c r="HCJ137" s="422"/>
      <c r="HCK137" s="422"/>
      <c r="HCL137" s="422"/>
      <c r="HCM137" s="422"/>
      <c r="HCN137" s="422"/>
      <c r="HCO137" s="422"/>
      <c r="HCP137" s="422"/>
      <c r="HCQ137" s="422"/>
      <c r="HCR137" s="422"/>
      <c r="HCS137" s="422"/>
      <c r="HCT137" s="422"/>
      <c r="HCU137" s="422"/>
      <c r="HCV137" s="422"/>
      <c r="HCW137" s="422"/>
      <c r="HCX137" s="422"/>
      <c r="HCY137" s="422"/>
      <c r="HCZ137" s="422"/>
      <c r="HDA137" s="422"/>
      <c r="HDB137" s="422"/>
      <c r="HDC137" s="422"/>
      <c r="HDD137" s="422"/>
      <c r="HDE137" s="422"/>
      <c r="HDF137" s="422"/>
      <c r="HDG137" s="422"/>
      <c r="HDH137" s="422"/>
      <c r="HDI137" s="422"/>
      <c r="HDJ137" s="422"/>
      <c r="HDK137" s="422"/>
      <c r="HDL137" s="422"/>
      <c r="HDM137" s="422"/>
      <c r="HDN137" s="422"/>
      <c r="HDO137" s="422"/>
      <c r="HDP137" s="422"/>
      <c r="HDQ137" s="422"/>
      <c r="HDR137" s="422"/>
      <c r="HDS137" s="422"/>
      <c r="HDT137" s="422"/>
      <c r="HDU137" s="422"/>
      <c r="HDV137" s="422"/>
      <c r="HDW137" s="422"/>
      <c r="HDX137" s="422"/>
      <c r="HDY137" s="422"/>
      <c r="HDZ137" s="422"/>
      <c r="HEA137" s="422"/>
      <c r="HEB137" s="422"/>
      <c r="HEC137" s="422"/>
      <c r="HED137" s="422"/>
      <c r="HEE137" s="422"/>
      <c r="HEF137" s="422"/>
      <c r="HEG137" s="422"/>
      <c r="HEH137" s="422"/>
      <c r="HEI137" s="422"/>
      <c r="HEJ137" s="422"/>
      <c r="HEK137" s="422"/>
      <c r="HEL137" s="422"/>
      <c r="HEM137" s="422"/>
      <c r="HEN137" s="422"/>
      <c r="HEO137" s="422"/>
      <c r="HEP137" s="422"/>
      <c r="HEQ137" s="422"/>
      <c r="HER137" s="422"/>
      <c r="HES137" s="422"/>
      <c r="HET137" s="422"/>
      <c r="HEU137" s="422"/>
      <c r="HEV137" s="422"/>
      <c r="HEW137" s="422"/>
      <c r="HEX137" s="422"/>
      <c r="HEY137" s="422"/>
      <c r="HEZ137" s="422"/>
      <c r="HFA137" s="422"/>
      <c r="HFB137" s="422"/>
      <c r="HFC137" s="422"/>
      <c r="HFD137" s="422"/>
      <c r="HFE137" s="422"/>
      <c r="HFF137" s="422"/>
      <c r="HFG137" s="422"/>
      <c r="HFH137" s="422"/>
      <c r="HFI137" s="422"/>
      <c r="HFJ137" s="422"/>
      <c r="HFK137" s="422"/>
      <c r="HFL137" s="422"/>
      <c r="HFM137" s="422"/>
      <c r="HFN137" s="422"/>
      <c r="HFO137" s="422"/>
      <c r="HFP137" s="422"/>
      <c r="HFQ137" s="422"/>
      <c r="HFR137" s="422"/>
      <c r="HFS137" s="422"/>
      <c r="HFT137" s="422"/>
      <c r="HFU137" s="422"/>
      <c r="HFV137" s="422"/>
      <c r="HFW137" s="422"/>
      <c r="HFX137" s="422"/>
      <c r="HFY137" s="422"/>
      <c r="HFZ137" s="422"/>
      <c r="HGA137" s="422"/>
      <c r="HGB137" s="422"/>
      <c r="HGC137" s="422"/>
      <c r="HGD137" s="422"/>
      <c r="HGE137" s="422"/>
      <c r="HGF137" s="422"/>
      <c r="HGG137" s="422"/>
      <c r="HGH137" s="422"/>
      <c r="HGI137" s="422"/>
      <c r="HGJ137" s="422"/>
      <c r="HGK137" s="422"/>
      <c r="HGL137" s="422"/>
      <c r="HGM137" s="422"/>
      <c r="HGN137" s="422"/>
      <c r="HGO137" s="422"/>
      <c r="HGP137" s="422"/>
      <c r="HGQ137" s="422"/>
      <c r="HGR137" s="422"/>
      <c r="HGS137" s="422"/>
      <c r="HGT137" s="422"/>
      <c r="HGU137" s="422"/>
      <c r="HGV137" s="422"/>
      <c r="HGW137" s="422"/>
      <c r="HGX137" s="422"/>
      <c r="HGY137" s="422"/>
      <c r="HGZ137" s="422"/>
      <c r="HHA137" s="422"/>
      <c r="HHB137" s="422"/>
      <c r="HHC137" s="422"/>
      <c r="HHD137" s="422"/>
      <c r="HHE137" s="422"/>
      <c r="HHF137" s="422"/>
      <c r="HHG137" s="422"/>
      <c r="HHH137" s="422"/>
      <c r="HHI137" s="422"/>
      <c r="HHJ137" s="422"/>
      <c r="HHK137" s="422"/>
      <c r="HHL137" s="422"/>
      <c r="HHM137" s="422"/>
      <c r="HHN137" s="422"/>
      <c r="HHO137" s="422"/>
      <c r="HHP137" s="422"/>
      <c r="HHQ137" s="422"/>
      <c r="HHR137" s="422"/>
      <c r="HHS137" s="422"/>
      <c r="HHT137" s="422"/>
      <c r="HHU137" s="422"/>
      <c r="HHV137" s="422"/>
      <c r="HHW137" s="422"/>
      <c r="HHX137" s="422"/>
      <c r="HHY137" s="422"/>
      <c r="HHZ137" s="422"/>
      <c r="HIA137" s="422"/>
      <c r="HIB137" s="422"/>
      <c r="HIC137" s="422"/>
      <c r="HID137" s="422"/>
      <c r="HIE137" s="422"/>
      <c r="HIF137" s="422"/>
      <c r="HIG137" s="422"/>
      <c r="HIH137" s="422"/>
      <c r="HII137" s="422"/>
      <c r="HIJ137" s="422"/>
      <c r="HIK137" s="422"/>
      <c r="HIL137" s="422"/>
      <c r="HIM137" s="422"/>
      <c r="HIN137" s="422"/>
      <c r="HIO137" s="422"/>
      <c r="HIP137" s="422"/>
      <c r="HIQ137" s="422"/>
      <c r="HIR137" s="422"/>
      <c r="HIS137" s="422"/>
      <c r="HIT137" s="422"/>
      <c r="HIU137" s="422"/>
      <c r="HIV137" s="422"/>
      <c r="HIW137" s="422"/>
      <c r="HIX137" s="422"/>
      <c r="HIY137" s="422"/>
      <c r="HIZ137" s="422"/>
      <c r="HJA137" s="422"/>
      <c r="HJB137" s="422"/>
      <c r="HJC137" s="422"/>
      <c r="HJD137" s="422"/>
      <c r="HJE137" s="422"/>
      <c r="HJF137" s="422"/>
      <c r="HJG137" s="422"/>
      <c r="HJH137" s="422"/>
      <c r="HJI137" s="422"/>
      <c r="HJJ137" s="422"/>
      <c r="HJK137" s="422"/>
      <c r="HJL137" s="422"/>
      <c r="HJM137" s="422"/>
      <c r="HJN137" s="422"/>
      <c r="HJO137" s="422"/>
      <c r="HJP137" s="422"/>
      <c r="HJQ137" s="422"/>
      <c r="HJR137" s="422"/>
      <c r="HJS137" s="422"/>
      <c r="HJT137" s="422"/>
      <c r="HJU137" s="422"/>
      <c r="HJV137" s="422"/>
      <c r="HJW137" s="422"/>
      <c r="HJX137" s="422"/>
      <c r="HJY137" s="422"/>
      <c r="HJZ137" s="422"/>
      <c r="HKA137" s="422"/>
      <c r="HKB137" s="422"/>
      <c r="HKC137" s="422"/>
      <c r="HKD137" s="422"/>
      <c r="HKE137" s="422"/>
      <c r="HKF137" s="422"/>
      <c r="HKG137" s="422"/>
      <c r="HKH137" s="422"/>
      <c r="HKI137" s="422"/>
      <c r="HKJ137" s="422"/>
      <c r="HKK137" s="422"/>
      <c r="HKL137" s="422"/>
      <c r="HKM137" s="422"/>
      <c r="HKN137" s="422"/>
      <c r="HKO137" s="422"/>
      <c r="HKP137" s="422"/>
      <c r="HKQ137" s="422"/>
      <c r="HKR137" s="422"/>
      <c r="HKS137" s="422"/>
      <c r="HKT137" s="422"/>
      <c r="HKU137" s="422"/>
      <c r="HKV137" s="422"/>
      <c r="HKW137" s="422"/>
      <c r="HKX137" s="422"/>
      <c r="HKY137" s="422"/>
      <c r="HKZ137" s="422"/>
      <c r="HLA137" s="422"/>
      <c r="HLB137" s="422"/>
      <c r="HLC137" s="422"/>
      <c r="HLD137" s="422"/>
      <c r="HLE137" s="422"/>
      <c r="HLF137" s="422"/>
      <c r="HLG137" s="422"/>
      <c r="HLH137" s="422"/>
      <c r="HLI137" s="422"/>
      <c r="HLJ137" s="422"/>
      <c r="HLK137" s="422"/>
      <c r="HLL137" s="422"/>
      <c r="HLM137" s="422"/>
      <c r="HLN137" s="422"/>
      <c r="HLO137" s="422"/>
      <c r="HLP137" s="422"/>
      <c r="HLQ137" s="422"/>
      <c r="HLR137" s="422"/>
      <c r="HLS137" s="422"/>
      <c r="HLT137" s="422"/>
      <c r="HLU137" s="422"/>
      <c r="HLV137" s="422"/>
      <c r="HLW137" s="422"/>
      <c r="HLX137" s="422"/>
      <c r="HLY137" s="422"/>
      <c r="HLZ137" s="422"/>
      <c r="HMA137" s="422"/>
      <c r="HMB137" s="422"/>
      <c r="HMC137" s="422"/>
      <c r="HMD137" s="422"/>
      <c r="HME137" s="422"/>
      <c r="HMF137" s="422"/>
      <c r="HMG137" s="422"/>
      <c r="HMH137" s="422"/>
      <c r="HMI137" s="422"/>
      <c r="HMJ137" s="422"/>
      <c r="HMK137" s="422"/>
      <c r="HML137" s="422"/>
      <c r="HMM137" s="422"/>
      <c r="HMN137" s="422"/>
      <c r="HMO137" s="422"/>
      <c r="HMP137" s="422"/>
      <c r="HMQ137" s="422"/>
      <c r="HMR137" s="422"/>
      <c r="HMS137" s="422"/>
      <c r="HMT137" s="422"/>
      <c r="HMU137" s="422"/>
      <c r="HMV137" s="422"/>
      <c r="HMW137" s="422"/>
      <c r="HMX137" s="422"/>
      <c r="HMY137" s="422"/>
      <c r="HMZ137" s="422"/>
      <c r="HNA137" s="422"/>
      <c r="HNB137" s="422"/>
      <c r="HNC137" s="422"/>
      <c r="HND137" s="422"/>
      <c r="HNE137" s="422"/>
      <c r="HNF137" s="422"/>
      <c r="HNG137" s="422"/>
      <c r="HNH137" s="422"/>
      <c r="HNI137" s="422"/>
      <c r="HNJ137" s="422"/>
      <c r="HNK137" s="422"/>
      <c r="HNL137" s="422"/>
      <c r="HNM137" s="422"/>
      <c r="HNN137" s="422"/>
      <c r="HNO137" s="422"/>
      <c r="HNP137" s="422"/>
      <c r="HNQ137" s="422"/>
      <c r="HNR137" s="422"/>
      <c r="HNS137" s="422"/>
      <c r="HNT137" s="422"/>
      <c r="HNU137" s="422"/>
      <c r="HNV137" s="422"/>
      <c r="HNW137" s="422"/>
      <c r="HNX137" s="422"/>
      <c r="HNY137" s="422"/>
      <c r="HNZ137" s="422"/>
      <c r="HOA137" s="422"/>
      <c r="HOB137" s="422"/>
      <c r="HOC137" s="422"/>
      <c r="HOD137" s="422"/>
      <c r="HOE137" s="422"/>
      <c r="HOF137" s="422"/>
      <c r="HOG137" s="422"/>
      <c r="HOH137" s="422"/>
      <c r="HOI137" s="422"/>
      <c r="HOJ137" s="422"/>
      <c r="HOK137" s="422"/>
      <c r="HOL137" s="422"/>
      <c r="HOM137" s="422"/>
      <c r="HON137" s="422"/>
      <c r="HOO137" s="422"/>
      <c r="HOP137" s="422"/>
      <c r="HOQ137" s="422"/>
      <c r="HOR137" s="422"/>
      <c r="HOS137" s="422"/>
      <c r="HOT137" s="422"/>
      <c r="HOU137" s="422"/>
      <c r="HOV137" s="422"/>
      <c r="HOW137" s="422"/>
      <c r="HOX137" s="422"/>
      <c r="HOY137" s="422"/>
      <c r="HOZ137" s="422"/>
      <c r="HPA137" s="422"/>
      <c r="HPB137" s="422"/>
      <c r="HPC137" s="422"/>
      <c r="HPD137" s="422"/>
      <c r="HPE137" s="422"/>
      <c r="HPF137" s="422"/>
      <c r="HPG137" s="422"/>
      <c r="HPH137" s="422"/>
      <c r="HPI137" s="422"/>
      <c r="HPJ137" s="422"/>
      <c r="HPK137" s="422"/>
      <c r="HPL137" s="422"/>
      <c r="HPM137" s="422"/>
      <c r="HPN137" s="422"/>
      <c r="HPO137" s="422"/>
      <c r="HPP137" s="422"/>
      <c r="HPQ137" s="422"/>
      <c r="HPR137" s="422"/>
      <c r="HPS137" s="422"/>
      <c r="HPT137" s="422"/>
      <c r="HPU137" s="422"/>
      <c r="HPV137" s="422"/>
      <c r="HPW137" s="422"/>
      <c r="HPX137" s="422"/>
      <c r="HPY137" s="422"/>
      <c r="HPZ137" s="422"/>
      <c r="HQA137" s="422"/>
      <c r="HQB137" s="422"/>
      <c r="HQC137" s="422"/>
      <c r="HQD137" s="422"/>
      <c r="HQE137" s="422"/>
      <c r="HQF137" s="422"/>
      <c r="HQG137" s="422"/>
      <c r="HQH137" s="422"/>
      <c r="HQI137" s="422"/>
      <c r="HQJ137" s="422"/>
      <c r="HQK137" s="422"/>
      <c r="HQL137" s="422"/>
      <c r="HQM137" s="422"/>
      <c r="HQN137" s="422"/>
      <c r="HQO137" s="422"/>
      <c r="HQP137" s="422"/>
      <c r="HQQ137" s="422"/>
      <c r="HQR137" s="422"/>
      <c r="HQS137" s="422"/>
      <c r="HQT137" s="422"/>
      <c r="HQU137" s="422"/>
      <c r="HQV137" s="422"/>
      <c r="HQW137" s="422"/>
      <c r="HQX137" s="422"/>
      <c r="HQY137" s="422"/>
      <c r="HQZ137" s="422"/>
      <c r="HRA137" s="422"/>
      <c r="HRB137" s="422"/>
      <c r="HRC137" s="422"/>
      <c r="HRD137" s="422"/>
      <c r="HRE137" s="422"/>
      <c r="HRF137" s="422"/>
      <c r="HRG137" s="422"/>
      <c r="HRH137" s="422"/>
      <c r="HRI137" s="422"/>
      <c r="HRJ137" s="422"/>
      <c r="HRK137" s="422"/>
      <c r="HRL137" s="422"/>
      <c r="HRM137" s="422"/>
      <c r="HRN137" s="422"/>
      <c r="HRO137" s="422"/>
      <c r="HRP137" s="422"/>
      <c r="HRQ137" s="422"/>
      <c r="HRR137" s="422"/>
      <c r="HRS137" s="422"/>
      <c r="HRT137" s="422"/>
      <c r="HRU137" s="422"/>
      <c r="HRV137" s="422"/>
      <c r="HRW137" s="422"/>
      <c r="HRX137" s="422"/>
      <c r="HRY137" s="422"/>
      <c r="HRZ137" s="422"/>
      <c r="HSA137" s="422"/>
      <c r="HSB137" s="422"/>
      <c r="HSC137" s="422"/>
      <c r="HSD137" s="422"/>
      <c r="HSE137" s="422"/>
      <c r="HSF137" s="422"/>
      <c r="HSG137" s="422"/>
      <c r="HSH137" s="422"/>
      <c r="HSI137" s="422"/>
      <c r="HSJ137" s="422"/>
      <c r="HSK137" s="422"/>
      <c r="HSL137" s="422"/>
      <c r="HSM137" s="422"/>
      <c r="HSN137" s="422"/>
      <c r="HSO137" s="422"/>
      <c r="HSP137" s="422"/>
      <c r="HSQ137" s="422"/>
      <c r="HSR137" s="422"/>
      <c r="HSS137" s="422"/>
      <c r="HST137" s="422"/>
      <c r="HSU137" s="422"/>
      <c r="HSV137" s="422"/>
      <c r="HSW137" s="422"/>
      <c r="HSX137" s="422"/>
      <c r="HSY137" s="422"/>
      <c r="HSZ137" s="422"/>
      <c r="HTA137" s="422"/>
      <c r="HTB137" s="422"/>
      <c r="HTC137" s="422"/>
      <c r="HTD137" s="422"/>
      <c r="HTE137" s="422"/>
      <c r="HTF137" s="422"/>
      <c r="HTG137" s="422"/>
      <c r="HTH137" s="422"/>
      <c r="HTI137" s="422"/>
      <c r="HTJ137" s="422"/>
      <c r="HTK137" s="422"/>
      <c r="HTL137" s="422"/>
      <c r="HTM137" s="422"/>
      <c r="HTN137" s="422"/>
      <c r="HTO137" s="422"/>
      <c r="HTP137" s="422"/>
      <c r="HTQ137" s="422"/>
      <c r="HTR137" s="422"/>
      <c r="HTS137" s="422"/>
      <c r="HTT137" s="422"/>
      <c r="HTU137" s="422"/>
      <c r="HTV137" s="422"/>
      <c r="HTW137" s="422"/>
      <c r="HTX137" s="422"/>
      <c r="HTY137" s="422"/>
      <c r="HTZ137" s="422"/>
      <c r="HUA137" s="422"/>
      <c r="HUB137" s="422"/>
      <c r="HUC137" s="422"/>
      <c r="HUD137" s="422"/>
      <c r="HUE137" s="422"/>
      <c r="HUF137" s="422"/>
      <c r="HUG137" s="422"/>
      <c r="HUH137" s="422"/>
      <c r="HUI137" s="422"/>
      <c r="HUJ137" s="422"/>
      <c r="HUK137" s="422"/>
      <c r="HUL137" s="422"/>
      <c r="HUM137" s="422"/>
      <c r="HUN137" s="422"/>
      <c r="HUO137" s="422"/>
      <c r="HUP137" s="422"/>
      <c r="HUQ137" s="422"/>
      <c r="HUR137" s="422"/>
      <c r="HUS137" s="422"/>
      <c r="HUT137" s="422"/>
      <c r="HUU137" s="422"/>
      <c r="HUV137" s="422"/>
      <c r="HUW137" s="422"/>
      <c r="HUX137" s="422"/>
      <c r="HUY137" s="422"/>
      <c r="HUZ137" s="422"/>
      <c r="HVA137" s="422"/>
      <c r="HVB137" s="422"/>
      <c r="HVC137" s="422"/>
      <c r="HVD137" s="422"/>
      <c r="HVE137" s="422"/>
      <c r="HVF137" s="422"/>
      <c r="HVG137" s="422"/>
      <c r="HVH137" s="422"/>
      <c r="HVI137" s="422"/>
      <c r="HVJ137" s="422"/>
      <c r="HVK137" s="422"/>
      <c r="HVL137" s="422"/>
      <c r="HVM137" s="422"/>
      <c r="HVN137" s="422"/>
      <c r="HVO137" s="422"/>
      <c r="HVP137" s="422"/>
      <c r="HVQ137" s="422"/>
      <c r="HVR137" s="422"/>
      <c r="HVS137" s="422"/>
      <c r="HVT137" s="422"/>
      <c r="HVU137" s="422"/>
      <c r="HVV137" s="422"/>
      <c r="HVW137" s="422"/>
      <c r="HVX137" s="422"/>
      <c r="HVY137" s="422"/>
      <c r="HVZ137" s="422"/>
      <c r="HWA137" s="422"/>
      <c r="HWB137" s="422"/>
      <c r="HWC137" s="422"/>
      <c r="HWD137" s="422"/>
      <c r="HWE137" s="422"/>
      <c r="HWF137" s="422"/>
      <c r="HWG137" s="422"/>
      <c r="HWH137" s="422"/>
      <c r="HWI137" s="422"/>
      <c r="HWJ137" s="422"/>
      <c r="HWK137" s="422"/>
      <c r="HWL137" s="422"/>
      <c r="HWM137" s="422"/>
      <c r="HWN137" s="422"/>
      <c r="HWO137" s="422"/>
      <c r="HWP137" s="422"/>
      <c r="HWQ137" s="422"/>
      <c r="HWR137" s="422"/>
      <c r="HWS137" s="422"/>
      <c r="HWT137" s="422"/>
      <c r="HWU137" s="422"/>
      <c r="HWV137" s="422"/>
      <c r="HWW137" s="422"/>
      <c r="HWX137" s="422"/>
      <c r="HWY137" s="422"/>
      <c r="HWZ137" s="422"/>
      <c r="HXA137" s="422"/>
      <c r="HXB137" s="422"/>
      <c r="HXC137" s="422"/>
      <c r="HXD137" s="422"/>
      <c r="HXE137" s="422"/>
      <c r="HXF137" s="422"/>
      <c r="HXG137" s="422"/>
      <c r="HXH137" s="422"/>
      <c r="HXI137" s="422"/>
      <c r="HXJ137" s="422"/>
      <c r="HXK137" s="422"/>
      <c r="HXL137" s="422"/>
      <c r="HXM137" s="422"/>
      <c r="HXN137" s="422"/>
      <c r="HXO137" s="422"/>
      <c r="HXP137" s="422"/>
      <c r="HXQ137" s="422"/>
      <c r="HXR137" s="422"/>
      <c r="HXS137" s="422"/>
      <c r="HXT137" s="422"/>
      <c r="HXU137" s="422"/>
      <c r="HXV137" s="422"/>
      <c r="HXW137" s="422"/>
      <c r="HXX137" s="422"/>
      <c r="HXY137" s="422"/>
      <c r="HXZ137" s="422"/>
      <c r="HYA137" s="422"/>
      <c r="HYB137" s="422"/>
      <c r="HYC137" s="422"/>
      <c r="HYD137" s="422"/>
      <c r="HYE137" s="422"/>
      <c r="HYF137" s="422"/>
      <c r="HYG137" s="422"/>
      <c r="HYH137" s="422"/>
      <c r="HYI137" s="422"/>
      <c r="HYJ137" s="422"/>
      <c r="HYK137" s="422"/>
      <c r="HYL137" s="422"/>
      <c r="HYM137" s="422"/>
      <c r="HYN137" s="422"/>
      <c r="HYO137" s="422"/>
      <c r="HYP137" s="422"/>
      <c r="HYQ137" s="422"/>
      <c r="HYR137" s="422"/>
      <c r="HYS137" s="422"/>
      <c r="HYT137" s="422"/>
      <c r="HYU137" s="422"/>
      <c r="HYV137" s="422"/>
      <c r="HYW137" s="422"/>
      <c r="HYX137" s="422"/>
      <c r="HYY137" s="422"/>
      <c r="HYZ137" s="422"/>
      <c r="HZA137" s="422"/>
      <c r="HZB137" s="422"/>
      <c r="HZC137" s="422"/>
      <c r="HZD137" s="422"/>
      <c r="HZE137" s="422"/>
      <c r="HZF137" s="422"/>
      <c r="HZG137" s="422"/>
      <c r="HZH137" s="422"/>
      <c r="HZI137" s="422"/>
      <c r="HZJ137" s="422"/>
      <c r="HZK137" s="422"/>
      <c r="HZL137" s="422"/>
      <c r="HZM137" s="422"/>
      <c r="HZN137" s="422"/>
      <c r="HZO137" s="422"/>
      <c r="HZP137" s="422"/>
      <c r="HZQ137" s="422"/>
      <c r="HZR137" s="422"/>
      <c r="HZS137" s="422"/>
      <c r="HZT137" s="422"/>
      <c r="HZU137" s="422"/>
      <c r="HZV137" s="422"/>
      <c r="HZW137" s="422"/>
      <c r="HZX137" s="422"/>
      <c r="HZY137" s="422"/>
      <c r="HZZ137" s="422"/>
      <c r="IAA137" s="422"/>
      <c r="IAB137" s="422"/>
      <c r="IAC137" s="422"/>
      <c r="IAD137" s="422"/>
      <c r="IAE137" s="422"/>
      <c r="IAF137" s="422"/>
      <c r="IAG137" s="422"/>
      <c r="IAH137" s="422"/>
      <c r="IAI137" s="422"/>
      <c r="IAJ137" s="422"/>
      <c r="IAK137" s="422"/>
      <c r="IAL137" s="422"/>
      <c r="IAM137" s="422"/>
      <c r="IAN137" s="422"/>
      <c r="IAO137" s="422"/>
      <c r="IAP137" s="422"/>
      <c r="IAQ137" s="422"/>
      <c r="IAR137" s="422"/>
      <c r="IAS137" s="422"/>
      <c r="IAT137" s="422"/>
      <c r="IAU137" s="422"/>
      <c r="IAV137" s="422"/>
      <c r="IAW137" s="422"/>
      <c r="IAX137" s="422"/>
      <c r="IAY137" s="422"/>
      <c r="IAZ137" s="422"/>
      <c r="IBA137" s="422"/>
      <c r="IBB137" s="422"/>
      <c r="IBC137" s="422"/>
      <c r="IBD137" s="422"/>
      <c r="IBE137" s="422"/>
      <c r="IBF137" s="422"/>
      <c r="IBG137" s="422"/>
      <c r="IBH137" s="422"/>
      <c r="IBI137" s="422"/>
      <c r="IBJ137" s="422"/>
      <c r="IBK137" s="422"/>
      <c r="IBL137" s="422"/>
      <c r="IBM137" s="422"/>
      <c r="IBN137" s="422"/>
      <c r="IBO137" s="422"/>
      <c r="IBP137" s="422"/>
      <c r="IBQ137" s="422"/>
      <c r="IBR137" s="422"/>
      <c r="IBS137" s="422"/>
      <c r="IBT137" s="422"/>
      <c r="IBU137" s="422"/>
      <c r="IBV137" s="422"/>
      <c r="IBW137" s="422"/>
      <c r="IBX137" s="422"/>
      <c r="IBY137" s="422"/>
      <c r="IBZ137" s="422"/>
      <c r="ICA137" s="422"/>
      <c r="ICB137" s="422"/>
      <c r="ICC137" s="422"/>
      <c r="ICD137" s="422"/>
      <c r="ICE137" s="422"/>
      <c r="ICF137" s="422"/>
      <c r="ICG137" s="422"/>
      <c r="ICH137" s="422"/>
      <c r="ICI137" s="422"/>
      <c r="ICJ137" s="422"/>
      <c r="ICK137" s="422"/>
      <c r="ICL137" s="422"/>
      <c r="ICM137" s="422"/>
      <c r="ICN137" s="422"/>
      <c r="ICO137" s="422"/>
      <c r="ICP137" s="422"/>
      <c r="ICQ137" s="422"/>
      <c r="ICR137" s="422"/>
      <c r="ICS137" s="422"/>
      <c r="ICT137" s="422"/>
      <c r="ICU137" s="422"/>
      <c r="ICV137" s="422"/>
      <c r="ICW137" s="422"/>
      <c r="ICX137" s="422"/>
      <c r="ICY137" s="422"/>
      <c r="ICZ137" s="422"/>
      <c r="IDA137" s="422"/>
      <c r="IDB137" s="422"/>
      <c r="IDC137" s="422"/>
      <c r="IDD137" s="422"/>
      <c r="IDE137" s="422"/>
      <c r="IDF137" s="422"/>
      <c r="IDG137" s="422"/>
      <c r="IDH137" s="422"/>
      <c r="IDI137" s="422"/>
      <c r="IDJ137" s="422"/>
      <c r="IDK137" s="422"/>
      <c r="IDL137" s="422"/>
      <c r="IDM137" s="422"/>
      <c r="IDN137" s="422"/>
      <c r="IDO137" s="422"/>
      <c r="IDP137" s="422"/>
      <c r="IDQ137" s="422"/>
      <c r="IDR137" s="422"/>
      <c r="IDS137" s="422"/>
      <c r="IDT137" s="422"/>
      <c r="IDU137" s="422"/>
      <c r="IDV137" s="422"/>
      <c r="IDW137" s="422"/>
      <c r="IDX137" s="422"/>
      <c r="IDY137" s="422"/>
      <c r="IDZ137" s="422"/>
      <c r="IEA137" s="422"/>
      <c r="IEB137" s="422"/>
      <c r="IEC137" s="422"/>
      <c r="IED137" s="422"/>
      <c r="IEE137" s="422"/>
      <c r="IEF137" s="422"/>
      <c r="IEG137" s="422"/>
      <c r="IEH137" s="422"/>
      <c r="IEI137" s="422"/>
      <c r="IEJ137" s="422"/>
      <c r="IEK137" s="422"/>
      <c r="IEL137" s="422"/>
      <c r="IEM137" s="422"/>
      <c r="IEN137" s="422"/>
      <c r="IEO137" s="422"/>
      <c r="IEP137" s="422"/>
      <c r="IEQ137" s="422"/>
      <c r="IER137" s="422"/>
      <c r="IES137" s="422"/>
      <c r="IET137" s="422"/>
      <c r="IEU137" s="422"/>
      <c r="IEV137" s="422"/>
      <c r="IEW137" s="422"/>
      <c r="IEX137" s="422"/>
      <c r="IEY137" s="422"/>
      <c r="IEZ137" s="422"/>
      <c r="IFA137" s="422"/>
      <c r="IFB137" s="422"/>
      <c r="IFC137" s="422"/>
      <c r="IFD137" s="422"/>
      <c r="IFE137" s="422"/>
      <c r="IFF137" s="422"/>
      <c r="IFG137" s="422"/>
      <c r="IFH137" s="422"/>
      <c r="IFI137" s="422"/>
      <c r="IFJ137" s="422"/>
      <c r="IFK137" s="422"/>
      <c r="IFL137" s="422"/>
      <c r="IFM137" s="422"/>
      <c r="IFN137" s="422"/>
      <c r="IFO137" s="422"/>
      <c r="IFP137" s="422"/>
      <c r="IFQ137" s="422"/>
      <c r="IFR137" s="422"/>
      <c r="IFS137" s="422"/>
      <c r="IFT137" s="422"/>
      <c r="IFU137" s="422"/>
      <c r="IFV137" s="422"/>
      <c r="IFW137" s="422"/>
      <c r="IFX137" s="422"/>
      <c r="IFY137" s="422"/>
      <c r="IFZ137" s="422"/>
      <c r="IGA137" s="422"/>
      <c r="IGB137" s="422"/>
      <c r="IGC137" s="422"/>
      <c r="IGD137" s="422"/>
      <c r="IGE137" s="422"/>
      <c r="IGF137" s="422"/>
      <c r="IGG137" s="422"/>
      <c r="IGH137" s="422"/>
      <c r="IGI137" s="422"/>
      <c r="IGJ137" s="422"/>
      <c r="IGK137" s="422"/>
      <c r="IGL137" s="422"/>
      <c r="IGM137" s="422"/>
      <c r="IGN137" s="422"/>
      <c r="IGO137" s="422"/>
      <c r="IGP137" s="422"/>
      <c r="IGQ137" s="422"/>
      <c r="IGR137" s="422"/>
      <c r="IGS137" s="422"/>
      <c r="IGT137" s="422"/>
      <c r="IGU137" s="422"/>
      <c r="IGV137" s="422"/>
      <c r="IGW137" s="422"/>
      <c r="IGX137" s="422"/>
      <c r="IGY137" s="422"/>
      <c r="IGZ137" s="422"/>
      <c r="IHA137" s="422"/>
      <c r="IHB137" s="422"/>
      <c r="IHC137" s="422"/>
      <c r="IHD137" s="422"/>
      <c r="IHE137" s="422"/>
      <c r="IHF137" s="422"/>
      <c r="IHG137" s="422"/>
      <c r="IHH137" s="422"/>
      <c r="IHI137" s="422"/>
      <c r="IHJ137" s="422"/>
      <c r="IHK137" s="422"/>
      <c r="IHL137" s="422"/>
      <c r="IHM137" s="422"/>
      <c r="IHN137" s="422"/>
      <c r="IHO137" s="422"/>
      <c r="IHP137" s="422"/>
      <c r="IHQ137" s="422"/>
      <c r="IHR137" s="422"/>
      <c r="IHS137" s="422"/>
      <c r="IHT137" s="422"/>
      <c r="IHU137" s="422"/>
      <c r="IHV137" s="422"/>
      <c r="IHW137" s="422"/>
      <c r="IHX137" s="422"/>
      <c r="IHY137" s="422"/>
      <c r="IHZ137" s="422"/>
      <c r="IIA137" s="422"/>
      <c r="IIB137" s="422"/>
      <c r="IIC137" s="422"/>
      <c r="IID137" s="422"/>
      <c r="IIE137" s="422"/>
      <c r="IIF137" s="422"/>
      <c r="IIG137" s="422"/>
      <c r="IIH137" s="422"/>
      <c r="III137" s="422"/>
      <c r="IIJ137" s="422"/>
      <c r="IIK137" s="422"/>
      <c r="IIL137" s="422"/>
      <c r="IIM137" s="422"/>
      <c r="IIN137" s="422"/>
      <c r="IIO137" s="422"/>
      <c r="IIP137" s="422"/>
      <c r="IIQ137" s="422"/>
      <c r="IIR137" s="422"/>
      <c r="IIS137" s="422"/>
      <c r="IIT137" s="422"/>
      <c r="IIU137" s="422"/>
      <c r="IIV137" s="422"/>
      <c r="IIW137" s="422"/>
      <c r="IIX137" s="422"/>
      <c r="IIY137" s="422"/>
      <c r="IIZ137" s="422"/>
      <c r="IJA137" s="422"/>
      <c r="IJB137" s="422"/>
      <c r="IJC137" s="422"/>
      <c r="IJD137" s="422"/>
      <c r="IJE137" s="422"/>
      <c r="IJF137" s="422"/>
      <c r="IJG137" s="422"/>
      <c r="IJH137" s="422"/>
      <c r="IJI137" s="422"/>
      <c r="IJJ137" s="422"/>
      <c r="IJK137" s="422"/>
      <c r="IJL137" s="422"/>
      <c r="IJM137" s="422"/>
      <c r="IJN137" s="422"/>
      <c r="IJO137" s="422"/>
      <c r="IJP137" s="422"/>
      <c r="IJQ137" s="422"/>
      <c r="IJR137" s="422"/>
      <c r="IJS137" s="422"/>
      <c r="IJT137" s="422"/>
      <c r="IJU137" s="422"/>
      <c r="IJV137" s="422"/>
      <c r="IJW137" s="422"/>
      <c r="IJX137" s="422"/>
      <c r="IJY137" s="422"/>
      <c r="IJZ137" s="422"/>
      <c r="IKA137" s="422"/>
      <c r="IKB137" s="422"/>
      <c r="IKC137" s="422"/>
      <c r="IKD137" s="422"/>
      <c r="IKE137" s="422"/>
      <c r="IKF137" s="422"/>
      <c r="IKG137" s="422"/>
      <c r="IKH137" s="422"/>
      <c r="IKI137" s="422"/>
      <c r="IKJ137" s="422"/>
      <c r="IKK137" s="422"/>
      <c r="IKL137" s="422"/>
      <c r="IKM137" s="422"/>
      <c r="IKN137" s="422"/>
      <c r="IKO137" s="422"/>
      <c r="IKP137" s="422"/>
      <c r="IKQ137" s="422"/>
      <c r="IKR137" s="422"/>
      <c r="IKS137" s="422"/>
      <c r="IKT137" s="422"/>
      <c r="IKU137" s="422"/>
      <c r="IKV137" s="422"/>
      <c r="IKW137" s="422"/>
      <c r="IKX137" s="422"/>
      <c r="IKY137" s="422"/>
      <c r="IKZ137" s="422"/>
      <c r="ILA137" s="422"/>
      <c r="ILB137" s="422"/>
      <c r="ILC137" s="422"/>
      <c r="ILD137" s="422"/>
      <c r="ILE137" s="422"/>
      <c r="ILF137" s="422"/>
      <c r="ILG137" s="422"/>
      <c r="ILH137" s="422"/>
      <c r="ILI137" s="422"/>
      <c r="ILJ137" s="422"/>
      <c r="ILK137" s="422"/>
      <c r="ILL137" s="422"/>
      <c r="ILM137" s="422"/>
      <c r="ILN137" s="422"/>
      <c r="ILO137" s="422"/>
      <c r="ILP137" s="422"/>
      <c r="ILQ137" s="422"/>
      <c r="ILR137" s="422"/>
      <c r="ILS137" s="422"/>
      <c r="ILT137" s="422"/>
      <c r="ILU137" s="422"/>
      <c r="ILV137" s="422"/>
      <c r="ILW137" s="422"/>
      <c r="ILX137" s="422"/>
      <c r="ILY137" s="422"/>
      <c r="ILZ137" s="422"/>
      <c r="IMA137" s="422"/>
      <c r="IMB137" s="422"/>
      <c r="IMC137" s="422"/>
      <c r="IMD137" s="422"/>
      <c r="IME137" s="422"/>
      <c r="IMF137" s="422"/>
      <c r="IMG137" s="422"/>
      <c r="IMH137" s="422"/>
      <c r="IMI137" s="422"/>
      <c r="IMJ137" s="422"/>
      <c r="IMK137" s="422"/>
      <c r="IML137" s="422"/>
      <c r="IMM137" s="422"/>
      <c r="IMN137" s="422"/>
      <c r="IMO137" s="422"/>
      <c r="IMP137" s="422"/>
      <c r="IMQ137" s="422"/>
      <c r="IMR137" s="422"/>
      <c r="IMS137" s="422"/>
      <c r="IMT137" s="422"/>
      <c r="IMU137" s="422"/>
      <c r="IMV137" s="422"/>
      <c r="IMW137" s="422"/>
      <c r="IMX137" s="422"/>
      <c r="IMY137" s="422"/>
      <c r="IMZ137" s="422"/>
      <c r="INA137" s="422"/>
      <c r="INB137" s="422"/>
      <c r="INC137" s="422"/>
      <c r="IND137" s="422"/>
      <c r="INE137" s="422"/>
      <c r="INF137" s="422"/>
      <c r="ING137" s="422"/>
      <c r="INH137" s="422"/>
      <c r="INI137" s="422"/>
      <c r="INJ137" s="422"/>
      <c r="INK137" s="422"/>
      <c r="INL137" s="422"/>
      <c r="INM137" s="422"/>
      <c r="INN137" s="422"/>
      <c r="INO137" s="422"/>
      <c r="INP137" s="422"/>
      <c r="INQ137" s="422"/>
      <c r="INR137" s="422"/>
      <c r="INS137" s="422"/>
      <c r="INT137" s="422"/>
      <c r="INU137" s="422"/>
      <c r="INV137" s="422"/>
      <c r="INW137" s="422"/>
      <c r="INX137" s="422"/>
      <c r="INY137" s="422"/>
      <c r="INZ137" s="422"/>
      <c r="IOA137" s="422"/>
      <c r="IOB137" s="422"/>
      <c r="IOC137" s="422"/>
      <c r="IOD137" s="422"/>
      <c r="IOE137" s="422"/>
      <c r="IOF137" s="422"/>
      <c r="IOG137" s="422"/>
      <c r="IOH137" s="422"/>
      <c r="IOI137" s="422"/>
      <c r="IOJ137" s="422"/>
      <c r="IOK137" s="422"/>
      <c r="IOL137" s="422"/>
      <c r="IOM137" s="422"/>
      <c r="ION137" s="422"/>
      <c r="IOO137" s="422"/>
      <c r="IOP137" s="422"/>
      <c r="IOQ137" s="422"/>
      <c r="IOR137" s="422"/>
      <c r="IOS137" s="422"/>
      <c r="IOT137" s="422"/>
      <c r="IOU137" s="422"/>
      <c r="IOV137" s="422"/>
      <c r="IOW137" s="422"/>
      <c r="IOX137" s="422"/>
      <c r="IOY137" s="422"/>
      <c r="IOZ137" s="422"/>
      <c r="IPA137" s="422"/>
      <c r="IPB137" s="422"/>
      <c r="IPC137" s="422"/>
      <c r="IPD137" s="422"/>
      <c r="IPE137" s="422"/>
      <c r="IPF137" s="422"/>
      <c r="IPG137" s="422"/>
      <c r="IPH137" s="422"/>
      <c r="IPI137" s="422"/>
      <c r="IPJ137" s="422"/>
      <c r="IPK137" s="422"/>
      <c r="IPL137" s="422"/>
      <c r="IPM137" s="422"/>
      <c r="IPN137" s="422"/>
      <c r="IPO137" s="422"/>
      <c r="IPP137" s="422"/>
      <c r="IPQ137" s="422"/>
      <c r="IPR137" s="422"/>
      <c r="IPS137" s="422"/>
      <c r="IPT137" s="422"/>
      <c r="IPU137" s="422"/>
      <c r="IPV137" s="422"/>
      <c r="IPW137" s="422"/>
      <c r="IPX137" s="422"/>
      <c r="IPY137" s="422"/>
      <c r="IPZ137" s="422"/>
      <c r="IQA137" s="422"/>
      <c r="IQB137" s="422"/>
      <c r="IQC137" s="422"/>
      <c r="IQD137" s="422"/>
      <c r="IQE137" s="422"/>
      <c r="IQF137" s="422"/>
      <c r="IQG137" s="422"/>
      <c r="IQH137" s="422"/>
      <c r="IQI137" s="422"/>
      <c r="IQJ137" s="422"/>
      <c r="IQK137" s="422"/>
      <c r="IQL137" s="422"/>
      <c r="IQM137" s="422"/>
      <c r="IQN137" s="422"/>
      <c r="IQO137" s="422"/>
      <c r="IQP137" s="422"/>
      <c r="IQQ137" s="422"/>
      <c r="IQR137" s="422"/>
      <c r="IQS137" s="422"/>
      <c r="IQT137" s="422"/>
      <c r="IQU137" s="422"/>
      <c r="IQV137" s="422"/>
      <c r="IQW137" s="422"/>
      <c r="IQX137" s="422"/>
      <c r="IQY137" s="422"/>
      <c r="IQZ137" s="422"/>
      <c r="IRA137" s="422"/>
      <c r="IRB137" s="422"/>
      <c r="IRC137" s="422"/>
      <c r="IRD137" s="422"/>
      <c r="IRE137" s="422"/>
      <c r="IRF137" s="422"/>
      <c r="IRG137" s="422"/>
      <c r="IRH137" s="422"/>
      <c r="IRI137" s="422"/>
      <c r="IRJ137" s="422"/>
      <c r="IRK137" s="422"/>
      <c r="IRL137" s="422"/>
      <c r="IRM137" s="422"/>
      <c r="IRN137" s="422"/>
      <c r="IRO137" s="422"/>
      <c r="IRP137" s="422"/>
      <c r="IRQ137" s="422"/>
      <c r="IRR137" s="422"/>
      <c r="IRS137" s="422"/>
      <c r="IRT137" s="422"/>
      <c r="IRU137" s="422"/>
      <c r="IRV137" s="422"/>
      <c r="IRW137" s="422"/>
      <c r="IRX137" s="422"/>
      <c r="IRY137" s="422"/>
      <c r="IRZ137" s="422"/>
      <c r="ISA137" s="422"/>
      <c r="ISB137" s="422"/>
      <c r="ISC137" s="422"/>
      <c r="ISD137" s="422"/>
      <c r="ISE137" s="422"/>
      <c r="ISF137" s="422"/>
      <c r="ISG137" s="422"/>
      <c r="ISH137" s="422"/>
      <c r="ISI137" s="422"/>
      <c r="ISJ137" s="422"/>
      <c r="ISK137" s="422"/>
      <c r="ISL137" s="422"/>
      <c r="ISM137" s="422"/>
      <c r="ISN137" s="422"/>
      <c r="ISO137" s="422"/>
      <c r="ISP137" s="422"/>
      <c r="ISQ137" s="422"/>
      <c r="ISR137" s="422"/>
      <c r="ISS137" s="422"/>
      <c r="IST137" s="422"/>
      <c r="ISU137" s="422"/>
      <c r="ISV137" s="422"/>
      <c r="ISW137" s="422"/>
      <c r="ISX137" s="422"/>
      <c r="ISY137" s="422"/>
      <c r="ISZ137" s="422"/>
      <c r="ITA137" s="422"/>
      <c r="ITB137" s="422"/>
      <c r="ITC137" s="422"/>
      <c r="ITD137" s="422"/>
      <c r="ITE137" s="422"/>
      <c r="ITF137" s="422"/>
      <c r="ITG137" s="422"/>
      <c r="ITH137" s="422"/>
      <c r="ITI137" s="422"/>
      <c r="ITJ137" s="422"/>
      <c r="ITK137" s="422"/>
      <c r="ITL137" s="422"/>
      <c r="ITM137" s="422"/>
      <c r="ITN137" s="422"/>
      <c r="ITO137" s="422"/>
      <c r="ITP137" s="422"/>
      <c r="ITQ137" s="422"/>
      <c r="ITR137" s="422"/>
      <c r="ITS137" s="422"/>
      <c r="ITT137" s="422"/>
      <c r="ITU137" s="422"/>
      <c r="ITV137" s="422"/>
      <c r="ITW137" s="422"/>
      <c r="ITX137" s="422"/>
      <c r="ITY137" s="422"/>
      <c r="ITZ137" s="422"/>
      <c r="IUA137" s="422"/>
      <c r="IUB137" s="422"/>
      <c r="IUC137" s="422"/>
      <c r="IUD137" s="422"/>
      <c r="IUE137" s="422"/>
      <c r="IUF137" s="422"/>
      <c r="IUG137" s="422"/>
      <c r="IUH137" s="422"/>
      <c r="IUI137" s="422"/>
      <c r="IUJ137" s="422"/>
      <c r="IUK137" s="422"/>
      <c r="IUL137" s="422"/>
      <c r="IUM137" s="422"/>
      <c r="IUN137" s="422"/>
      <c r="IUO137" s="422"/>
      <c r="IUP137" s="422"/>
      <c r="IUQ137" s="422"/>
      <c r="IUR137" s="422"/>
      <c r="IUS137" s="422"/>
      <c r="IUT137" s="422"/>
      <c r="IUU137" s="422"/>
      <c r="IUV137" s="422"/>
      <c r="IUW137" s="422"/>
      <c r="IUX137" s="422"/>
      <c r="IUY137" s="422"/>
      <c r="IUZ137" s="422"/>
      <c r="IVA137" s="422"/>
      <c r="IVB137" s="422"/>
      <c r="IVC137" s="422"/>
      <c r="IVD137" s="422"/>
      <c r="IVE137" s="422"/>
      <c r="IVF137" s="422"/>
      <c r="IVG137" s="422"/>
      <c r="IVH137" s="422"/>
      <c r="IVI137" s="422"/>
      <c r="IVJ137" s="422"/>
      <c r="IVK137" s="422"/>
      <c r="IVL137" s="422"/>
      <c r="IVM137" s="422"/>
      <c r="IVN137" s="422"/>
      <c r="IVO137" s="422"/>
      <c r="IVP137" s="422"/>
      <c r="IVQ137" s="422"/>
      <c r="IVR137" s="422"/>
      <c r="IVS137" s="422"/>
      <c r="IVT137" s="422"/>
      <c r="IVU137" s="422"/>
      <c r="IVV137" s="422"/>
      <c r="IVW137" s="422"/>
      <c r="IVX137" s="422"/>
      <c r="IVY137" s="422"/>
      <c r="IVZ137" s="422"/>
      <c r="IWA137" s="422"/>
      <c r="IWB137" s="422"/>
      <c r="IWC137" s="422"/>
      <c r="IWD137" s="422"/>
      <c r="IWE137" s="422"/>
      <c r="IWF137" s="422"/>
      <c r="IWG137" s="422"/>
      <c r="IWH137" s="422"/>
      <c r="IWI137" s="422"/>
      <c r="IWJ137" s="422"/>
      <c r="IWK137" s="422"/>
      <c r="IWL137" s="422"/>
      <c r="IWM137" s="422"/>
      <c r="IWN137" s="422"/>
      <c r="IWO137" s="422"/>
      <c r="IWP137" s="422"/>
      <c r="IWQ137" s="422"/>
      <c r="IWR137" s="422"/>
      <c r="IWS137" s="422"/>
      <c r="IWT137" s="422"/>
      <c r="IWU137" s="422"/>
      <c r="IWV137" s="422"/>
      <c r="IWW137" s="422"/>
      <c r="IWX137" s="422"/>
      <c r="IWY137" s="422"/>
      <c r="IWZ137" s="422"/>
      <c r="IXA137" s="422"/>
      <c r="IXB137" s="422"/>
      <c r="IXC137" s="422"/>
      <c r="IXD137" s="422"/>
      <c r="IXE137" s="422"/>
      <c r="IXF137" s="422"/>
      <c r="IXG137" s="422"/>
      <c r="IXH137" s="422"/>
      <c r="IXI137" s="422"/>
      <c r="IXJ137" s="422"/>
      <c r="IXK137" s="422"/>
      <c r="IXL137" s="422"/>
      <c r="IXM137" s="422"/>
      <c r="IXN137" s="422"/>
      <c r="IXO137" s="422"/>
      <c r="IXP137" s="422"/>
      <c r="IXQ137" s="422"/>
      <c r="IXR137" s="422"/>
      <c r="IXS137" s="422"/>
      <c r="IXT137" s="422"/>
      <c r="IXU137" s="422"/>
      <c r="IXV137" s="422"/>
      <c r="IXW137" s="422"/>
      <c r="IXX137" s="422"/>
      <c r="IXY137" s="422"/>
      <c r="IXZ137" s="422"/>
      <c r="IYA137" s="422"/>
      <c r="IYB137" s="422"/>
      <c r="IYC137" s="422"/>
      <c r="IYD137" s="422"/>
      <c r="IYE137" s="422"/>
      <c r="IYF137" s="422"/>
      <c r="IYG137" s="422"/>
      <c r="IYH137" s="422"/>
      <c r="IYI137" s="422"/>
      <c r="IYJ137" s="422"/>
      <c r="IYK137" s="422"/>
      <c r="IYL137" s="422"/>
      <c r="IYM137" s="422"/>
      <c r="IYN137" s="422"/>
      <c r="IYO137" s="422"/>
      <c r="IYP137" s="422"/>
      <c r="IYQ137" s="422"/>
      <c r="IYR137" s="422"/>
      <c r="IYS137" s="422"/>
      <c r="IYT137" s="422"/>
      <c r="IYU137" s="422"/>
      <c r="IYV137" s="422"/>
      <c r="IYW137" s="422"/>
      <c r="IYX137" s="422"/>
      <c r="IYY137" s="422"/>
      <c r="IYZ137" s="422"/>
      <c r="IZA137" s="422"/>
      <c r="IZB137" s="422"/>
      <c r="IZC137" s="422"/>
      <c r="IZD137" s="422"/>
      <c r="IZE137" s="422"/>
      <c r="IZF137" s="422"/>
      <c r="IZG137" s="422"/>
      <c r="IZH137" s="422"/>
      <c r="IZI137" s="422"/>
      <c r="IZJ137" s="422"/>
      <c r="IZK137" s="422"/>
      <c r="IZL137" s="422"/>
      <c r="IZM137" s="422"/>
      <c r="IZN137" s="422"/>
      <c r="IZO137" s="422"/>
      <c r="IZP137" s="422"/>
      <c r="IZQ137" s="422"/>
      <c r="IZR137" s="422"/>
      <c r="IZS137" s="422"/>
      <c r="IZT137" s="422"/>
      <c r="IZU137" s="422"/>
      <c r="IZV137" s="422"/>
      <c r="IZW137" s="422"/>
      <c r="IZX137" s="422"/>
      <c r="IZY137" s="422"/>
      <c r="IZZ137" s="422"/>
      <c r="JAA137" s="422"/>
      <c r="JAB137" s="422"/>
      <c r="JAC137" s="422"/>
      <c r="JAD137" s="422"/>
      <c r="JAE137" s="422"/>
      <c r="JAF137" s="422"/>
      <c r="JAG137" s="422"/>
      <c r="JAH137" s="422"/>
      <c r="JAI137" s="422"/>
      <c r="JAJ137" s="422"/>
      <c r="JAK137" s="422"/>
      <c r="JAL137" s="422"/>
      <c r="JAM137" s="422"/>
      <c r="JAN137" s="422"/>
      <c r="JAO137" s="422"/>
      <c r="JAP137" s="422"/>
      <c r="JAQ137" s="422"/>
      <c r="JAR137" s="422"/>
      <c r="JAS137" s="422"/>
      <c r="JAT137" s="422"/>
      <c r="JAU137" s="422"/>
      <c r="JAV137" s="422"/>
      <c r="JAW137" s="422"/>
      <c r="JAX137" s="422"/>
      <c r="JAY137" s="422"/>
      <c r="JAZ137" s="422"/>
      <c r="JBA137" s="422"/>
      <c r="JBB137" s="422"/>
      <c r="JBC137" s="422"/>
      <c r="JBD137" s="422"/>
      <c r="JBE137" s="422"/>
      <c r="JBF137" s="422"/>
      <c r="JBG137" s="422"/>
      <c r="JBH137" s="422"/>
      <c r="JBI137" s="422"/>
      <c r="JBJ137" s="422"/>
      <c r="JBK137" s="422"/>
      <c r="JBL137" s="422"/>
      <c r="JBM137" s="422"/>
      <c r="JBN137" s="422"/>
      <c r="JBO137" s="422"/>
      <c r="JBP137" s="422"/>
      <c r="JBQ137" s="422"/>
      <c r="JBR137" s="422"/>
      <c r="JBS137" s="422"/>
      <c r="JBT137" s="422"/>
      <c r="JBU137" s="422"/>
      <c r="JBV137" s="422"/>
      <c r="JBW137" s="422"/>
      <c r="JBX137" s="422"/>
      <c r="JBY137" s="422"/>
      <c r="JBZ137" s="422"/>
      <c r="JCA137" s="422"/>
      <c r="JCB137" s="422"/>
      <c r="JCC137" s="422"/>
      <c r="JCD137" s="422"/>
      <c r="JCE137" s="422"/>
      <c r="JCF137" s="422"/>
      <c r="JCG137" s="422"/>
      <c r="JCH137" s="422"/>
      <c r="JCI137" s="422"/>
      <c r="JCJ137" s="422"/>
      <c r="JCK137" s="422"/>
      <c r="JCL137" s="422"/>
      <c r="JCM137" s="422"/>
      <c r="JCN137" s="422"/>
      <c r="JCO137" s="422"/>
      <c r="JCP137" s="422"/>
      <c r="JCQ137" s="422"/>
      <c r="JCR137" s="422"/>
      <c r="JCS137" s="422"/>
      <c r="JCT137" s="422"/>
      <c r="JCU137" s="422"/>
      <c r="JCV137" s="422"/>
      <c r="JCW137" s="422"/>
      <c r="JCX137" s="422"/>
      <c r="JCY137" s="422"/>
      <c r="JCZ137" s="422"/>
      <c r="JDA137" s="422"/>
      <c r="JDB137" s="422"/>
      <c r="JDC137" s="422"/>
      <c r="JDD137" s="422"/>
      <c r="JDE137" s="422"/>
      <c r="JDF137" s="422"/>
      <c r="JDG137" s="422"/>
      <c r="JDH137" s="422"/>
      <c r="JDI137" s="422"/>
      <c r="JDJ137" s="422"/>
      <c r="JDK137" s="422"/>
      <c r="JDL137" s="422"/>
      <c r="JDM137" s="422"/>
      <c r="JDN137" s="422"/>
      <c r="JDO137" s="422"/>
      <c r="JDP137" s="422"/>
      <c r="JDQ137" s="422"/>
      <c r="JDR137" s="422"/>
      <c r="JDS137" s="422"/>
      <c r="JDT137" s="422"/>
      <c r="JDU137" s="422"/>
      <c r="JDV137" s="422"/>
      <c r="JDW137" s="422"/>
      <c r="JDX137" s="422"/>
      <c r="JDY137" s="422"/>
      <c r="JDZ137" s="422"/>
      <c r="JEA137" s="422"/>
      <c r="JEB137" s="422"/>
      <c r="JEC137" s="422"/>
      <c r="JED137" s="422"/>
      <c r="JEE137" s="422"/>
      <c r="JEF137" s="422"/>
      <c r="JEG137" s="422"/>
      <c r="JEH137" s="422"/>
      <c r="JEI137" s="422"/>
      <c r="JEJ137" s="422"/>
      <c r="JEK137" s="422"/>
      <c r="JEL137" s="422"/>
      <c r="JEM137" s="422"/>
      <c r="JEN137" s="422"/>
      <c r="JEO137" s="422"/>
      <c r="JEP137" s="422"/>
      <c r="JEQ137" s="422"/>
      <c r="JER137" s="422"/>
      <c r="JES137" s="422"/>
      <c r="JET137" s="422"/>
      <c r="JEU137" s="422"/>
      <c r="JEV137" s="422"/>
      <c r="JEW137" s="422"/>
      <c r="JEX137" s="422"/>
      <c r="JEY137" s="422"/>
      <c r="JEZ137" s="422"/>
      <c r="JFA137" s="422"/>
      <c r="JFB137" s="422"/>
      <c r="JFC137" s="422"/>
      <c r="JFD137" s="422"/>
      <c r="JFE137" s="422"/>
      <c r="JFF137" s="422"/>
      <c r="JFG137" s="422"/>
      <c r="JFH137" s="422"/>
      <c r="JFI137" s="422"/>
      <c r="JFJ137" s="422"/>
      <c r="JFK137" s="422"/>
      <c r="JFL137" s="422"/>
      <c r="JFM137" s="422"/>
      <c r="JFN137" s="422"/>
      <c r="JFO137" s="422"/>
      <c r="JFP137" s="422"/>
      <c r="JFQ137" s="422"/>
      <c r="JFR137" s="422"/>
      <c r="JFS137" s="422"/>
      <c r="JFT137" s="422"/>
      <c r="JFU137" s="422"/>
      <c r="JFV137" s="422"/>
      <c r="JFW137" s="422"/>
      <c r="JFX137" s="422"/>
      <c r="JFY137" s="422"/>
      <c r="JFZ137" s="422"/>
      <c r="JGA137" s="422"/>
      <c r="JGB137" s="422"/>
      <c r="JGC137" s="422"/>
      <c r="JGD137" s="422"/>
      <c r="JGE137" s="422"/>
      <c r="JGF137" s="422"/>
      <c r="JGG137" s="422"/>
      <c r="JGH137" s="422"/>
      <c r="JGI137" s="422"/>
      <c r="JGJ137" s="422"/>
      <c r="JGK137" s="422"/>
      <c r="JGL137" s="422"/>
      <c r="JGM137" s="422"/>
      <c r="JGN137" s="422"/>
      <c r="JGO137" s="422"/>
      <c r="JGP137" s="422"/>
      <c r="JGQ137" s="422"/>
      <c r="JGR137" s="422"/>
      <c r="JGS137" s="422"/>
      <c r="JGT137" s="422"/>
      <c r="JGU137" s="422"/>
      <c r="JGV137" s="422"/>
      <c r="JGW137" s="422"/>
      <c r="JGX137" s="422"/>
      <c r="JGY137" s="422"/>
      <c r="JGZ137" s="422"/>
      <c r="JHA137" s="422"/>
      <c r="JHB137" s="422"/>
      <c r="JHC137" s="422"/>
      <c r="JHD137" s="422"/>
      <c r="JHE137" s="422"/>
      <c r="JHF137" s="422"/>
      <c r="JHG137" s="422"/>
      <c r="JHH137" s="422"/>
      <c r="JHI137" s="422"/>
      <c r="JHJ137" s="422"/>
      <c r="JHK137" s="422"/>
      <c r="JHL137" s="422"/>
      <c r="JHM137" s="422"/>
      <c r="JHN137" s="422"/>
      <c r="JHO137" s="422"/>
      <c r="JHP137" s="422"/>
      <c r="JHQ137" s="422"/>
      <c r="JHR137" s="422"/>
      <c r="JHS137" s="422"/>
      <c r="JHT137" s="422"/>
      <c r="JHU137" s="422"/>
      <c r="JHV137" s="422"/>
      <c r="JHW137" s="422"/>
      <c r="JHX137" s="422"/>
      <c r="JHY137" s="422"/>
      <c r="JHZ137" s="422"/>
      <c r="JIA137" s="422"/>
      <c r="JIB137" s="422"/>
      <c r="JIC137" s="422"/>
      <c r="JID137" s="422"/>
      <c r="JIE137" s="422"/>
      <c r="JIF137" s="422"/>
      <c r="JIG137" s="422"/>
      <c r="JIH137" s="422"/>
      <c r="JII137" s="422"/>
      <c r="JIJ137" s="422"/>
      <c r="JIK137" s="422"/>
      <c r="JIL137" s="422"/>
      <c r="JIM137" s="422"/>
      <c r="JIN137" s="422"/>
      <c r="JIO137" s="422"/>
      <c r="JIP137" s="422"/>
      <c r="JIQ137" s="422"/>
      <c r="JIR137" s="422"/>
      <c r="JIS137" s="422"/>
      <c r="JIT137" s="422"/>
      <c r="JIU137" s="422"/>
      <c r="JIV137" s="422"/>
      <c r="JIW137" s="422"/>
      <c r="JIX137" s="422"/>
      <c r="JIY137" s="422"/>
      <c r="JIZ137" s="422"/>
      <c r="JJA137" s="422"/>
      <c r="JJB137" s="422"/>
      <c r="JJC137" s="422"/>
      <c r="JJD137" s="422"/>
      <c r="JJE137" s="422"/>
      <c r="JJF137" s="422"/>
      <c r="JJG137" s="422"/>
      <c r="JJH137" s="422"/>
      <c r="JJI137" s="422"/>
      <c r="JJJ137" s="422"/>
      <c r="JJK137" s="422"/>
      <c r="JJL137" s="422"/>
      <c r="JJM137" s="422"/>
      <c r="JJN137" s="422"/>
      <c r="JJO137" s="422"/>
      <c r="JJP137" s="422"/>
      <c r="JJQ137" s="422"/>
      <c r="JJR137" s="422"/>
      <c r="JJS137" s="422"/>
      <c r="JJT137" s="422"/>
      <c r="JJU137" s="422"/>
      <c r="JJV137" s="422"/>
      <c r="JJW137" s="422"/>
      <c r="JJX137" s="422"/>
      <c r="JJY137" s="422"/>
      <c r="JJZ137" s="422"/>
      <c r="JKA137" s="422"/>
      <c r="JKB137" s="422"/>
      <c r="JKC137" s="422"/>
      <c r="JKD137" s="422"/>
      <c r="JKE137" s="422"/>
      <c r="JKF137" s="422"/>
      <c r="JKG137" s="422"/>
      <c r="JKH137" s="422"/>
      <c r="JKI137" s="422"/>
      <c r="JKJ137" s="422"/>
      <c r="JKK137" s="422"/>
      <c r="JKL137" s="422"/>
      <c r="JKM137" s="422"/>
      <c r="JKN137" s="422"/>
      <c r="JKO137" s="422"/>
      <c r="JKP137" s="422"/>
      <c r="JKQ137" s="422"/>
      <c r="JKR137" s="422"/>
      <c r="JKS137" s="422"/>
      <c r="JKT137" s="422"/>
      <c r="JKU137" s="422"/>
      <c r="JKV137" s="422"/>
      <c r="JKW137" s="422"/>
      <c r="JKX137" s="422"/>
      <c r="JKY137" s="422"/>
      <c r="JKZ137" s="422"/>
      <c r="JLA137" s="422"/>
      <c r="JLB137" s="422"/>
      <c r="JLC137" s="422"/>
      <c r="JLD137" s="422"/>
      <c r="JLE137" s="422"/>
      <c r="JLF137" s="422"/>
      <c r="JLG137" s="422"/>
      <c r="JLH137" s="422"/>
      <c r="JLI137" s="422"/>
      <c r="JLJ137" s="422"/>
      <c r="JLK137" s="422"/>
      <c r="JLL137" s="422"/>
      <c r="JLM137" s="422"/>
      <c r="JLN137" s="422"/>
      <c r="JLO137" s="422"/>
      <c r="JLP137" s="422"/>
      <c r="JLQ137" s="422"/>
      <c r="JLR137" s="422"/>
      <c r="JLS137" s="422"/>
      <c r="JLT137" s="422"/>
      <c r="JLU137" s="422"/>
      <c r="JLV137" s="422"/>
      <c r="JLW137" s="422"/>
      <c r="JLX137" s="422"/>
      <c r="JLY137" s="422"/>
      <c r="JLZ137" s="422"/>
      <c r="JMA137" s="422"/>
      <c r="JMB137" s="422"/>
      <c r="JMC137" s="422"/>
      <c r="JMD137" s="422"/>
      <c r="JME137" s="422"/>
      <c r="JMF137" s="422"/>
      <c r="JMG137" s="422"/>
      <c r="JMH137" s="422"/>
      <c r="JMI137" s="422"/>
      <c r="JMJ137" s="422"/>
      <c r="JMK137" s="422"/>
      <c r="JML137" s="422"/>
      <c r="JMM137" s="422"/>
      <c r="JMN137" s="422"/>
      <c r="JMO137" s="422"/>
      <c r="JMP137" s="422"/>
      <c r="JMQ137" s="422"/>
      <c r="JMR137" s="422"/>
      <c r="JMS137" s="422"/>
      <c r="JMT137" s="422"/>
      <c r="JMU137" s="422"/>
      <c r="JMV137" s="422"/>
      <c r="JMW137" s="422"/>
      <c r="JMX137" s="422"/>
      <c r="JMY137" s="422"/>
      <c r="JMZ137" s="422"/>
      <c r="JNA137" s="422"/>
      <c r="JNB137" s="422"/>
      <c r="JNC137" s="422"/>
      <c r="JND137" s="422"/>
      <c r="JNE137" s="422"/>
      <c r="JNF137" s="422"/>
      <c r="JNG137" s="422"/>
      <c r="JNH137" s="422"/>
      <c r="JNI137" s="422"/>
      <c r="JNJ137" s="422"/>
      <c r="JNK137" s="422"/>
      <c r="JNL137" s="422"/>
      <c r="JNM137" s="422"/>
      <c r="JNN137" s="422"/>
      <c r="JNO137" s="422"/>
      <c r="JNP137" s="422"/>
      <c r="JNQ137" s="422"/>
      <c r="JNR137" s="422"/>
      <c r="JNS137" s="422"/>
      <c r="JNT137" s="422"/>
      <c r="JNU137" s="422"/>
      <c r="JNV137" s="422"/>
      <c r="JNW137" s="422"/>
      <c r="JNX137" s="422"/>
      <c r="JNY137" s="422"/>
      <c r="JNZ137" s="422"/>
      <c r="JOA137" s="422"/>
      <c r="JOB137" s="422"/>
      <c r="JOC137" s="422"/>
      <c r="JOD137" s="422"/>
      <c r="JOE137" s="422"/>
      <c r="JOF137" s="422"/>
      <c r="JOG137" s="422"/>
      <c r="JOH137" s="422"/>
      <c r="JOI137" s="422"/>
      <c r="JOJ137" s="422"/>
      <c r="JOK137" s="422"/>
      <c r="JOL137" s="422"/>
      <c r="JOM137" s="422"/>
      <c r="JON137" s="422"/>
      <c r="JOO137" s="422"/>
      <c r="JOP137" s="422"/>
      <c r="JOQ137" s="422"/>
      <c r="JOR137" s="422"/>
      <c r="JOS137" s="422"/>
      <c r="JOT137" s="422"/>
      <c r="JOU137" s="422"/>
      <c r="JOV137" s="422"/>
      <c r="JOW137" s="422"/>
      <c r="JOX137" s="422"/>
      <c r="JOY137" s="422"/>
      <c r="JOZ137" s="422"/>
      <c r="JPA137" s="422"/>
      <c r="JPB137" s="422"/>
      <c r="JPC137" s="422"/>
      <c r="JPD137" s="422"/>
      <c r="JPE137" s="422"/>
      <c r="JPF137" s="422"/>
      <c r="JPG137" s="422"/>
      <c r="JPH137" s="422"/>
      <c r="JPI137" s="422"/>
      <c r="JPJ137" s="422"/>
      <c r="JPK137" s="422"/>
      <c r="JPL137" s="422"/>
      <c r="JPM137" s="422"/>
      <c r="JPN137" s="422"/>
      <c r="JPO137" s="422"/>
      <c r="JPP137" s="422"/>
      <c r="JPQ137" s="422"/>
      <c r="JPR137" s="422"/>
      <c r="JPS137" s="422"/>
      <c r="JPT137" s="422"/>
      <c r="JPU137" s="422"/>
      <c r="JPV137" s="422"/>
      <c r="JPW137" s="422"/>
      <c r="JPX137" s="422"/>
      <c r="JPY137" s="422"/>
      <c r="JPZ137" s="422"/>
      <c r="JQA137" s="422"/>
      <c r="JQB137" s="422"/>
      <c r="JQC137" s="422"/>
      <c r="JQD137" s="422"/>
      <c r="JQE137" s="422"/>
      <c r="JQF137" s="422"/>
      <c r="JQG137" s="422"/>
      <c r="JQH137" s="422"/>
      <c r="JQI137" s="422"/>
      <c r="JQJ137" s="422"/>
      <c r="JQK137" s="422"/>
      <c r="JQL137" s="422"/>
      <c r="JQM137" s="422"/>
      <c r="JQN137" s="422"/>
      <c r="JQO137" s="422"/>
      <c r="JQP137" s="422"/>
      <c r="JQQ137" s="422"/>
      <c r="JQR137" s="422"/>
      <c r="JQS137" s="422"/>
      <c r="JQT137" s="422"/>
      <c r="JQU137" s="422"/>
      <c r="JQV137" s="422"/>
      <c r="JQW137" s="422"/>
      <c r="JQX137" s="422"/>
      <c r="JQY137" s="422"/>
      <c r="JQZ137" s="422"/>
      <c r="JRA137" s="422"/>
      <c r="JRB137" s="422"/>
      <c r="JRC137" s="422"/>
      <c r="JRD137" s="422"/>
      <c r="JRE137" s="422"/>
      <c r="JRF137" s="422"/>
      <c r="JRG137" s="422"/>
      <c r="JRH137" s="422"/>
      <c r="JRI137" s="422"/>
      <c r="JRJ137" s="422"/>
      <c r="JRK137" s="422"/>
      <c r="JRL137" s="422"/>
      <c r="JRM137" s="422"/>
      <c r="JRN137" s="422"/>
      <c r="JRO137" s="422"/>
      <c r="JRP137" s="422"/>
      <c r="JRQ137" s="422"/>
      <c r="JRR137" s="422"/>
      <c r="JRS137" s="422"/>
      <c r="JRT137" s="422"/>
      <c r="JRU137" s="422"/>
      <c r="JRV137" s="422"/>
      <c r="JRW137" s="422"/>
      <c r="JRX137" s="422"/>
      <c r="JRY137" s="422"/>
      <c r="JRZ137" s="422"/>
      <c r="JSA137" s="422"/>
      <c r="JSB137" s="422"/>
      <c r="JSC137" s="422"/>
      <c r="JSD137" s="422"/>
      <c r="JSE137" s="422"/>
      <c r="JSF137" s="422"/>
      <c r="JSG137" s="422"/>
      <c r="JSH137" s="422"/>
      <c r="JSI137" s="422"/>
      <c r="JSJ137" s="422"/>
      <c r="JSK137" s="422"/>
      <c r="JSL137" s="422"/>
      <c r="JSM137" s="422"/>
      <c r="JSN137" s="422"/>
      <c r="JSO137" s="422"/>
      <c r="JSP137" s="422"/>
      <c r="JSQ137" s="422"/>
      <c r="JSR137" s="422"/>
      <c r="JSS137" s="422"/>
      <c r="JST137" s="422"/>
      <c r="JSU137" s="422"/>
      <c r="JSV137" s="422"/>
      <c r="JSW137" s="422"/>
      <c r="JSX137" s="422"/>
      <c r="JSY137" s="422"/>
      <c r="JSZ137" s="422"/>
      <c r="JTA137" s="422"/>
      <c r="JTB137" s="422"/>
      <c r="JTC137" s="422"/>
      <c r="JTD137" s="422"/>
      <c r="JTE137" s="422"/>
      <c r="JTF137" s="422"/>
      <c r="JTG137" s="422"/>
      <c r="JTH137" s="422"/>
      <c r="JTI137" s="422"/>
      <c r="JTJ137" s="422"/>
      <c r="JTK137" s="422"/>
      <c r="JTL137" s="422"/>
      <c r="JTM137" s="422"/>
      <c r="JTN137" s="422"/>
      <c r="JTO137" s="422"/>
      <c r="JTP137" s="422"/>
      <c r="JTQ137" s="422"/>
      <c r="JTR137" s="422"/>
      <c r="JTS137" s="422"/>
      <c r="JTT137" s="422"/>
      <c r="JTU137" s="422"/>
      <c r="JTV137" s="422"/>
      <c r="JTW137" s="422"/>
      <c r="JTX137" s="422"/>
      <c r="JTY137" s="422"/>
      <c r="JTZ137" s="422"/>
      <c r="JUA137" s="422"/>
      <c r="JUB137" s="422"/>
      <c r="JUC137" s="422"/>
      <c r="JUD137" s="422"/>
      <c r="JUE137" s="422"/>
      <c r="JUF137" s="422"/>
      <c r="JUG137" s="422"/>
      <c r="JUH137" s="422"/>
      <c r="JUI137" s="422"/>
      <c r="JUJ137" s="422"/>
      <c r="JUK137" s="422"/>
      <c r="JUL137" s="422"/>
      <c r="JUM137" s="422"/>
      <c r="JUN137" s="422"/>
      <c r="JUO137" s="422"/>
      <c r="JUP137" s="422"/>
      <c r="JUQ137" s="422"/>
      <c r="JUR137" s="422"/>
      <c r="JUS137" s="422"/>
      <c r="JUT137" s="422"/>
      <c r="JUU137" s="422"/>
      <c r="JUV137" s="422"/>
      <c r="JUW137" s="422"/>
      <c r="JUX137" s="422"/>
      <c r="JUY137" s="422"/>
      <c r="JUZ137" s="422"/>
      <c r="JVA137" s="422"/>
      <c r="JVB137" s="422"/>
      <c r="JVC137" s="422"/>
      <c r="JVD137" s="422"/>
      <c r="JVE137" s="422"/>
      <c r="JVF137" s="422"/>
      <c r="JVG137" s="422"/>
      <c r="JVH137" s="422"/>
      <c r="JVI137" s="422"/>
      <c r="JVJ137" s="422"/>
      <c r="JVK137" s="422"/>
      <c r="JVL137" s="422"/>
      <c r="JVM137" s="422"/>
      <c r="JVN137" s="422"/>
      <c r="JVO137" s="422"/>
      <c r="JVP137" s="422"/>
      <c r="JVQ137" s="422"/>
      <c r="JVR137" s="422"/>
      <c r="JVS137" s="422"/>
      <c r="JVT137" s="422"/>
      <c r="JVU137" s="422"/>
      <c r="JVV137" s="422"/>
      <c r="JVW137" s="422"/>
      <c r="JVX137" s="422"/>
      <c r="JVY137" s="422"/>
      <c r="JVZ137" s="422"/>
      <c r="JWA137" s="422"/>
      <c r="JWB137" s="422"/>
      <c r="JWC137" s="422"/>
      <c r="JWD137" s="422"/>
      <c r="JWE137" s="422"/>
      <c r="JWF137" s="422"/>
      <c r="JWG137" s="422"/>
      <c r="JWH137" s="422"/>
      <c r="JWI137" s="422"/>
      <c r="JWJ137" s="422"/>
      <c r="JWK137" s="422"/>
      <c r="JWL137" s="422"/>
      <c r="JWM137" s="422"/>
      <c r="JWN137" s="422"/>
      <c r="JWO137" s="422"/>
      <c r="JWP137" s="422"/>
      <c r="JWQ137" s="422"/>
      <c r="JWR137" s="422"/>
      <c r="JWS137" s="422"/>
      <c r="JWT137" s="422"/>
      <c r="JWU137" s="422"/>
      <c r="JWV137" s="422"/>
      <c r="JWW137" s="422"/>
      <c r="JWX137" s="422"/>
      <c r="JWY137" s="422"/>
      <c r="JWZ137" s="422"/>
      <c r="JXA137" s="422"/>
      <c r="JXB137" s="422"/>
      <c r="JXC137" s="422"/>
      <c r="JXD137" s="422"/>
      <c r="JXE137" s="422"/>
      <c r="JXF137" s="422"/>
      <c r="JXG137" s="422"/>
      <c r="JXH137" s="422"/>
      <c r="JXI137" s="422"/>
      <c r="JXJ137" s="422"/>
      <c r="JXK137" s="422"/>
      <c r="JXL137" s="422"/>
      <c r="JXM137" s="422"/>
      <c r="JXN137" s="422"/>
      <c r="JXO137" s="422"/>
      <c r="JXP137" s="422"/>
      <c r="JXQ137" s="422"/>
      <c r="JXR137" s="422"/>
      <c r="JXS137" s="422"/>
      <c r="JXT137" s="422"/>
      <c r="JXU137" s="422"/>
      <c r="JXV137" s="422"/>
      <c r="JXW137" s="422"/>
      <c r="JXX137" s="422"/>
      <c r="JXY137" s="422"/>
      <c r="JXZ137" s="422"/>
      <c r="JYA137" s="422"/>
      <c r="JYB137" s="422"/>
      <c r="JYC137" s="422"/>
      <c r="JYD137" s="422"/>
      <c r="JYE137" s="422"/>
      <c r="JYF137" s="422"/>
      <c r="JYG137" s="422"/>
      <c r="JYH137" s="422"/>
      <c r="JYI137" s="422"/>
      <c r="JYJ137" s="422"/>
      <c r="JYK137" s="422"/>
      <c r="JYL137" s="422"/>
      <c r="JYM137" s="422"/>
      <c r="JYN137" s="422"/>
      <c r="JYO137" s="422"/>
      <c r="JYP137" s="422"/>
      <c r="JYQ137" s="422"/>
      <c r="JYR137" s="422"/>
      <c r="JYS137" s="422"/>
      <c r="JYT137" s="422"/>
      <c r="JYU137" s="422"/>
      <c r="JYV137" s="422"/>
      <c r="JYW137" s="422"/>
      <c r="JYX137" s="422"/>
      <c r="JYY137" s="422"/>
      <c r="JYZ137" s="422"/>
      <c r="JZA137" s="422"/>
      <c r="JZB137" s="422"/>
      <c r="JZC137" s="422"/>
      <c r="JZD137" s="422"/>
      <c r="JZE137" s="422"/>
      <c r="JZF137" s="422"/>
      <c r="JZG137" s="422"/>
      <c r="JZH137" s="422"/>
      <c r="JZI137" s="422"/>
      <c r="JZJ137" s="422"/>
      <c r="JZK137" s="422"/>
      <c r="JZL137" s="422"/>
      <c r="JZM137" s="422"/>
      <c r="JZN137" s="422"/>
      <c r="JZO137" s="422"/>
      <c r="JZP137" s="422"/>
      <c r="JZQ137" s="422"/>
      <c r="JZR137" s="422"/>
      <c r="JZS137" s="422"/>
      <c r="JZT137" s="422"/>
      <c r="JZU137" s="422"/>
      <c r="JZV137" s="422"/>
      <c r="JZW137" s="422"/>
      <c r="JZX137" s="422"/>
      <c r="JZY137" s="422"/>
      <c r="JZZ137" s="422"/>
      <c r="KAA137" s="422"/>
      <c r="KAB137" s="422"/>
      <c r="KAC137" s="422"/>
      <c r="KAD137" s="422"/>
      <c r="KAE137" s="422"/>
      <c r="KAF137" s="422"/>
      <c r="KAG137" s="422"/>
      <c r="KAH137" s="422"/>
      <c r="KAI137" s="422"/>
      <c r="KAJ137" s="422"/>
      <c r="KAK137" s="422"/>
      <c r="KAL137" s="422"/>
      <c r="KAM137" s="422"/>
      <c r="KAN137" s="422"/>
      <c r="KAO137" s="422"/>
      <c r="KAP137" s="422"/>
      <c r="KAQ137" s="422"/>
      <c r="KAR137" s="422"/>
      <c r="KAS137" s="422"/>
      <c r="KAT137" s="422"/>
      <c r="KAU137" s="422"/>
      <c r="KAV137" s="422"/>
      <c r="KAW137" s="422"/>
      <c r="KAX137" s="422"/>
      <c r="KAY137" s="422"/>
      <c r="KAZ137" s="422"/>
      <c r="KBA137" s="422"/>
      <c r="KBB137" s="422"/>
      <c r="KBC137" s="422"/>
      <c r="KBD137" s="422"/>
      <c r="KBE137" s="422"/>
      <c r="KBF137" s="422"/>
      <c r="KBG137" s="422"/>
      <c r="KBH137" s="422"/>
      <c r="KBI137" s="422"/>
      <c r="KBJ137" s="422"/>
      <c r="KBK137" s="422"/>
      <c r="KBL137" s="422"/>
      <c r="KBM137" s="422"/>
      <c r="KBN137" s="422"/>
      <c r="KBO137" s="422"/>
      <c r="KBP137" s="422"/>
      <c r="KBQ137" s="422"/>
      <c r="KBR137" s="422"/>
      <c r="KBS137" s="422"/>
      <c r="KBT137" s="422"/>
      <c r="KBU137" s="422"/>
      <c r="KBV137" s="422"/>
      <c r="KBW137" s="422"/>
      <c r="KBX137" s="422"/>
      <c r="KBY137" s="422"/>
      <c r="KBZ137" s="422"/>
      <c r="KCA137" s="422"/>
      <c r="KCB137" s="422"/>
      <c r="KCC137" s="422"/>
      <c r="KCD137" s="422"/>
      <c r="KCE137" s="422"/>
      <c r="KCF137" s="422"/>
      <c r="KCG137" s="422"/>
      <c r="KCH137" s="422"/>
      <c r="KCI137" s="422"/>
      <c r="KCJ137" s="422"/>
      <c r="KCK137" s="422"/>
      <c r="KCL137" s="422"/>
      <c r="KCM137" s="422"/>
      <c r="KCN137" s="422"/>
      <c r="KCO137" s="422"/>
      <c r="KCP137" s="422"/>
      <c r="KCQ137" s="422"/>
      <c r="KCR137" s="422"/>
      <c r="KCS137" s="422"/>
      <c r="KCT137" s="422"/>
      <c r="KCU137" s="422"/>
      <c r="KCV137" s="422"/>
      <c r="KCW137" s="422"/>
      <c r="KCX137" s="422"/>
      <c r="KCY137" s="422"/>
      <c r="KCZ137" s="422"/>
      <c r="KDA137" s="422"/>
      <c r="KDB137" s="422"/>
      <c r="KDC137" s="422"/>
      <c r="KDD137" s="422"/>
      <c r="KDE137" s="422"/>
      <c r="KDF137" s="422"/>
      <c r="KDG137" s="422"/>
      <c r="KDH137" s="422"/>
      <c r="KDI137" s="422"/>
      <c r="KDJ137" s="422"/>
      <c r="KDK137" s="422"/>
      <c r="KDL137" s="422"/>
      <c r="KDM137" s="422"/>
      <c r="KDN137" s="422"/>
      <c r="KDO137" s="422"/>
      <c r="KDP137" s="422"/>
      <c r="KDQ137" s="422"/>
      <c r="KDR137" s="422"/>
      <c r="KDS137" s="422"/>
      <c r="KDT137" s="422"/>
      <c r="KDU137" s="422"/>
      <c r="KDV137" s="422"/>
      <c r="KDW137" s="422"/>
      <c r="KDX137" s="422"/>
      <c r="KDY137" s="422"/>
      <c r="KDZ137" s="422"/>
      <c r="KEA137" s="422"/>
      <c r="KEB137" s="422"/>
      <c r="KEC137" s="422"/>
      <c r="KED137" s="422"/>
      <c r="KEE137" s="422"/>
      <c r="KEF137" s="422"/>
      <c r="KEG137" s="422"/>
      <c r="KEH137" s="422"/>
      <c r="KEI137" s="422"/>
      <c r="KEJ137" s="422"/>
      <c r="KEK137" s="422"/>
      <c r="KEL137" s="422"/>
      <c r="KEM137" s="422"/>
      <c r="KEN137" s="422"/>
      <c r="KEO137" s="422"/>
      <c r="KEP137" s="422"/>
      <c r="KEQ137" s="422"/>
      <c r="KER137" s="422"/>
      <c r="KES137" s="422"/>
      <c r="KET137" s="422"/>
      <c r="KEU137" s="422"/>
      <c r="KEV137" s="422"/>
      <c r="KEW137" s="422"/>
      <c r="KEX137" s="422"/>
      <c r="KEY137" s="422"/>
      <c r="KEZ137" s="422"/>
      <c r="KFA137" s="422"/>
      <c r="KFB137" s="422"/>
      <c r="KFC137" s="422"/>
      <c r="KFD137" s="422"/>
      <c r="KFE137" s="422"/>
      <c r="KFF137" s="422"/>
      <c r="KFG137" s="422"/>
      <c r="KFH137" s="422"/>
      <c r="KFI137" s="422"/>
      <c r="KFJ137" s="422"/>
      <c r="KFK137" s="422"/>
      <c r="KFL137" s="422"/>
      <c r="KFM137" s="422"/>
      <c r="KFN137" s="422"/>
      <c r="KFO137" s="422"/>
      <c r="KFP137" s="422"/>
      <c r="KFQ137" s="422"/>
      <c r="KFR137" s="422"/>
      <c r="KFS137" s="422"/>
      <c r="KFT137" s="422"/>
      <c r="KFU137" s="422"/>
      <c r="KFV137" s="422"/>
      <c r="KFW137" s="422"/>
      <c r="KFX137" s="422"/>
      <c r="KFY137" s="422"/>
      <c r="KFZ137" s="422"/>
      <c r="KGA137" s="422"/>
      <c r="KGB137" s="422"/>
      <c r="KGC137" s="422"/>
      <c r="KGD137" s="422"/>
      <c r="KGE137" s="422"/>
      <c r="KGF137" s="422"/>
      <c r="KGG137" s="422"/>
      <c r="KGH137" s="422"/>
      <c r="KGI137" s="422"/>
      <c r="KGJ137" s="422"/>
      <c r="KGK137" s="422"/>
      <c r="KGL137" s="422"/>
      <c r="KGM137" s="422"/>
      <c r="KGN137" s="422"/>
      <c r="KGO137" s="422"/>
      <c r="KGP137" s="422"/>
      <c r="KGQ137" s="422"/>
      <c r="KGR137" s="422"/>
      <c r="KGS137" s="422"/>
      <c r="KGT137" s="422"/>
      <c r="KGU137" s="422"/>
      <c r="KGV137" s="422"/>
      <c r="KGW137" s="422"/>
      <c r="KGX137" s="422"/>
      <c r="KGY137" s="422"/>
      <c r="KGZ137" s="422"/>
      <c r="KHA137" s="422"/>
      <c r="KHB137" s="422"/>
      <c r="KHC137" s="422"/>
      <c r="KHD137" s="422"/>
      <c r="KHE137" s="422"/>
      <c r="KHF137" s="422"/>
      <c r="KHG137" s="422"/>
      <c r="KHH137" s="422"/>
      <c r="KHI137" s="422"/>
      <c r="KHJ137" s="422"/>
      <c r="KHK137" s="422"/>
      <c r="KHL137" s="422"/>
      <c r="KHM137" s="422"/>
      <c r="KHN137" s="422"/>
      <c r="KHO137" s="422"/>
      <c r="KHP137" s="422"/>
      <c r="KHQ137" s="422"/>
      <c r="KHR137" s="422"/>
      <c r="KHS137" s="422"/>
      <c r="KHT137" s="422"/>
      <c r="KHU137" s="422"/>
      <c r="KHV137" s="422"/>
      <c r="KHW137" s="422"/>
      <c r="KHX137" s="422"/>
      <c r="KHY137" s="422"/>
      <c r="KHZ137" s="422"/>
      <c r="KIA137" s="422"/>
      <c r="KIB137" s="422"/>
      <c r="KIC137" s="422"/>
      <c r="KID137" s="422"/>
      <c r="KIE137" s="422"/>
      <c r="KIF137" s="422"/>
      <c r="KIG137" s="422"/>
      <c r="KIH137" s="422"/>
      <c r="KII137" s="422"/>
      <c r="KIJ137" s="422"/>
      <c r="KIK137" s="422"/>
      <c r="KIL137" s="422"/>
      <c r="KIM137" s="422"/>
      <c r="KIN137" s="422"/>
      <c r="KIO137" s="422"/>
      <c r="KIP137" s="422"/>
      <c r="KIQ137" s="422"/>
      <c r="KIR137" s="422"/>
      <c r="KIS137" s="422"/>
      <c r="KIT137" s="422"/>
      <c r="KIU137" s="422"/>
      <c r="KIV137" s="422"/>
      <c r="KIW137" s="422"/>
      <c r="KIX137" s="422"/>
      <c r="KIY137" s="422"/>
      <c r="KIZ137" s="422"/>
      <c r="KJA137" s="422"/>
      <c r="KJB137" s="422"/>
      <c r="KJC137" s="422"/>
      <c r="KJD137" s="422"/>
      <c r="KJE137" s="422"/>
      <c r="KJF137" s="422"/>
      <c r="KJG137" s="422"/>
      <c r="KJH137" s="422"/>
      <c r="KJI137" s="422"/>
      <c r="KJJ137" s="422"/>
      <c r="KJK137" s="422"/>
      <c r="KJL137" s="422"/>
      <c r="KJM137" s="422"/>
      <c r="KJN137" s="422"/>
      <c r="KJO137" s="422"/>
      <c r="KJP137" s="422"/>
      <c r="KJQ137" s="422"/>
      <c r="KJR137" s="422"/>
      <c r="KJS137" s="422"/>
      <c r="KJT137" s="422"/>
      <c r="KJU137" s="422"/>
      <c r="KJV137" s="422"/>
      <c r="KJW137" s="422"/>
      <c r="KJX137" s="422"/>
      <c r="KJY137" s="422"/>
      <c r="KJZ137" s="422"/>
      <c r="KKA137" s="422"/>
      <c r="KKB137" s="422"/>
      <c r="KKC137" s="422"/>
      <c r="KKD137" s="422"/>
      <c r="KKE137" s="422"/>
      <c r="KKF137" s="422"/>
      <c r="KKG137" s="422"/>
      <c r="KKH137" s="422"/>
      <c r="KKI137" s="422"/>
      <c r="KKJ137" s="422"/>
      <c r="KKK137" s="422"/>
      <c r="KKL137" s="422"/>
      <c r="KKM137" s="422"/>
      <c r="KKN137" s="422"/>
      <c r="KKO137" s="422"/>
      <c r="KKP137" s="422"/>
      <c r="KKQ137" s="422"/>
      <c r="KKR137" s="422"/>
      <c r="KKS137" s="422"/>
      <c r="KKT137" s="422"/>
      <c r="KKU137" s="422"/>
      <c r="KKV137" s="422"/>
      <c r="KKW137" s="422"/>
      <c r="KKX137" s="422"/>
      <c r="KKY137" s="422"/>
      <c r="KKZ137" s="422"/>
      <c r="KLA137" s="422"/>
      <c r="KLB137" s="422"/>
      <c r="KLC137" s="422"/>
      <c r="KLD137" s="422"/>
      <c r="KLE137" s="422"/>
      <c r="KLF137" s="422"/>
      <c r="KLG137" s="422"/>
      <c r="KLH137" s="422"/>
      <c r="KLI137" s="422"/>
      <c r="KLJ137" s="422"/>
      <c r="KLK137" s="422"/>
      <c r="KLL137" s="422"/>
      <c r="KLM137" s="422"/>
      <c r="KLN137" s="422"/>
      <c r="KLO137" s="422"/>
      <c r="KLP137" s="422"/>
      <c r="KLQ137" s="422"/>
      <c r="KLR137" s="422"/>
      <c r="KLS137" s="422"/>
      <c r="KLT137" s="422"/>
      <c r="KLU137" s="422"/>
      <c r="KLV137" s="422"/>
      <c r="KLW137" s="422"/>
      <c r="KLX137" s="422"/>
      <c r="KLY137" s="422"/>
      <c r="KLZ137" s="422"/>
      <c r="KMA137" s="422"/>
      <c r="KMB137" s="422"/>
      <c r="KMC137" s="422"/>
      <c r="KMD137" s="422"/>
      <c r="KME137" s="422"/>
      <c r="KMF137" s="422"/>
      <c r="KMG137" s="422"/>
      <c r="KMH137" s="422"/>
      <c r="KMI137" s="422"/>
      <c r="KMJ137" s="422"/>
      <c r="KMK137" s="422"/>
      <c r="KML137" s="422"/>
      <c r="KMM137" s="422"/>
      <c r="KMN137" s="422"/>
      <c r="KMO137" s="422"/>
      <c r="KMP137" s="422"/>
      <c r="KMQ137" s="422"/>
      <c r="KMR137" s="422"/>
      <c r="KMS137" s="422"/>
      <c r="KMT137" s="422"/>
      <c r="KMU137" s="422"/>
      <c r="KMV137" s="422"/>
      <c r="KMW137" s="422"/>
      <c r="KMX137" s="422"/>
      <c r="KMY137" s="422"/>
      <c r="KMZ137" s="422"/>
      <c r="KNA137" s="422"/>
      <c r="KNB137" s="422"/>
      <c r="KNC137" s="422"/>
      <c r="KND137" s="422"/>
      <c r="KNE137" s="422"/>
      <c r="KNF137" s="422"/>
      <c r="KNG137" s="422"/>
      <c r="KNH137" s="422"/>
      <c r="KNI137" s="422"/>
      <c r="KNJ137" s="422"/>
      <c r="KNK137" s="422"/>
      <c r="KNL137" s="422"/>
      <c r="KNM137" s="422"/>
      <c r="KNN137" s="422"/>
      <c r="KNO137" s="422"/>
      <c r="KNP137" s="422"/>
      <c r="KNQ137" s="422"/>
      <c r="KNR137" s="422"/>
      <c r="KNS137" s="422"/>
      <c r="KNT137" s="422"/>
      <c r="KNU137" s="422"/>
      <c r="KNV137" s="422"/>
      <c r="KNW137" s="422"/>
      <c r="KNX137" s="422"/>
      <c r="KNY137" s="422"/>
      <c r="KNZ137" s="422"/>
      <c r="KOA137" s="422"/>
      <c r="KOB137" s="422"/>
      <c r="KOC137" s="422"/>
      <c r="KOD137" s="422"/>
      <c r="KOE137" s="422"/>
      <c r="KOF137" s="422"/>
      <c r="KOG137" s="422"/>
      <c r="KOH137" s="422"/>
      <c r="KOI137" s="422"/>
      <c r="KOJ137" s="422"/>
      <c r="KOK137" s="422"/>
      <c r="KOL137" s="422"/>
      <c r="KOM137" s="422"/>
      <c r="KON137" s="422"/>
      <c r="KOO137" s="422"/>
      <c r="KOP137" s="422"/>
      <c r="KOQ137" s="422"/>
      <c r="KOR137" s="422"/>
      <c r="KOS137" s="422"/>
      <c r="KOT137" s="422"/>
      <c r="KOU137" s="422"/>
      <c r="KOV137" s="422"/>
      <c r="KOW137" s="422"/>
      <c r="KOX137" s="422"/>
      <c r="KOY137" s="422"/>
      <c r="KOZ137" s="422"/>
      <c r="KPA137" s="422"/>
      <c r="KPB137" s="422"/>
      <c r="KPC137" s="422"/>
      <c r="KPD137" s="422"/>
      <c r="KPE137" s="422"/>
      <c r="KPF137" s="422"/>
      <c r="KPG137" s="422"/>
      <c r="KPH137" s="422"/>
      <c r="KPI137" s="422"/>
      <c r="KPJ137" s="422"/>
      <c r="KPK137" s="422"/>
      <c r="KPL137" s="422"/>
      <c r="KPM137" s="422"/>
      <c r="KPN137" s="422"/>
      <c r="KPO137" s="422"/>
      <c r="KPP137" s="422"/>
      <c r="KPQ137" s="422"/>
      <c r="KPR137" s="422"/>
      <c r="KPS137" s="422"/>
      <c r="KPT137" s="422"/>
      <c r="KPU137" s="422"/>
      <c r="KPV137" s="422"/>
      <c r="KPW137" s="422"/>
      <c r="KPX137" s="422"/>
      <c r="KPY137" s="422"/>
      <c r="KPZ137" s="422"/>
      <c r="KQA137" s="422"/>
      <c r="KQB137" s="422"/>
      <c r="KQC137" s="422"/>
      <c r="KQD137" s="422"/>
      <c r="KQE137" s="422"/>
      <c r="KQF137" s="422"/>
      <c r="KQG137" s="422"/>
      <c r="KQH137" s="422"/>
      <c r="KQI137" s="422"/>
      <c r="KQJ137" s="422"/>
      <c r="KQK137" s="422"/>
      <c r="KQL137" s="422"/>
      <c r="KQM137" s="422"/>
      <c r="KQN137" s="422"/>
      <c r="KQO137" s="422"/>
      <c r="KQP137" s="422"/>
      <c r="KQQ137" s="422"/>
      <c r="KQR137" s="422"/>
      <c r="KQS137" s="422"/>
      <c r="KQT137" s="422"/>
      <c r="KQU137" s="422"/>
      <c r="KQV137" s="422"/>
      <c r="KQW137" s="422"/>
      <c r="KQX137" s="422"/>
      <c r="KQY137" s="422"/>
      <c r="KQZ137" s="422"/>
      <c r="KRA137" s="422"/>
      <c r="KRB137" s="422"/>
      <c r="KRC137" s="422"/>
      <c r="KRD137" s="422"/>
      <c r="KRE137" s="422"/>
      <c r="KRF137" s="422"/>
      <c r="KRG137" s="422"/>
      <c r="KRH137" s="422"/>
      <c r="KRI137" s="422"/>
      <c r="KRJ137" s="422"/>
      <c r="KRK137" s="422"/>
      <c r="KRL137" s="422"/>
      <c r="KRM137" s="422"/>
      <c r="KRN137" s="422"/>
      <c r="KRO137" s="422"/>
      <c r="KRP137" s="422"/>
      <c r="KRQ137" s="422"/>
      <c r="KRR137" s="422"/>
      <c r="KRS137" s="422"/>
      <c r="KRT137" s="422"/>
      <c r="KRU137" s="422"/>
      <c r="KRV137" s="422"/>
      <c r="KRW137" s="422"/>
      <c r="KRX137" s="422"/>
      <c r="KRY137" s="422"/>
      <c r="KRZ137" s="422"/>
      <c r="KSA137" s="422"/>
      <c r="KSB137" s="422"/>
      <c r="KSC137" s="422"/>
      <c r="KSD137" s="422"/>
      <c r="KSE137" s="422"/>
      <c r="KSF137" s="422"/>
      <c r="KSG137" s="422"/>
      <c r="KSH137" s="422"/>
      <c r="KSI137" s="422"/>
      <c r="KSJ137" s="422"/>
      <c r="KSK137" s="422"/>
      <c r="KSL137" s="422"/>
      <c r="KSM137" s="422"/>
      <c r="KSN137" s="422"/>
      <c r="KSO137" s="422"/>
      <c r="KSP137" s="422"/>
      <c r="KSQ137" s="422"/>
      <c r="KSR137" s="422"/>
      <c r="KSS137" s="422"/>
      <c r="KST137" s="422"/>
      <c r="KSU137" s="422"/>
      <c r="KSV137" s="422"/>
      <c r="KSW137" s="422"/>
      <c r="KSX137" s="422"/>
      <c r="KSY137" s="422"/>
      <c r="KSZ137" s="422"/>
      <c r="KTA137" s="422"/>
      <c r="KTB137" s="422"/>
      <c r="KTC137" s="422"/>
      <c r="KTD137" s="422"/>
      <c r="KTE137" s="422"/>
      <c r="KTF137" s="422"/>
      <c r="KTG137" s="422"/>
      <c r="KTH137" s="422"/>
      <c r="KTI137" s="422"/>
      <c r="KTJ137" s="422"/>
      <c r="KTK137" s="422"/>
      <c r="KTL137" s="422"/>
      <c r="KTM137" s="422"/>
      <c r="KTN137" s="422"/>
      <c r="KTO137" s="422"/>
      <c r="KTP137" s="422"/>
      <c r="KTQ137" s="422"/>
      <c r="KTR137" s="422"/>
      <c r="KTS137" s="422"/>
      <c r="KTT137" s="422"/>
      <c r="KTU137" s="422"/>
      <c r="KTV137" s="422"/>
      <c r="KTW137" s="422"/>
      <c r="KTX137" s="422"/>
      <c r="KTY137" s="422"/>
      <c r="KTZ137" s="422"/>
      <c r="KUA137" s="422"/>
      <c r="KUB137" s="422"/>
      <c r="KUC137" s="422"/>
      <c r="KUD137" s="422"/>
      <c r="KUE137" s="422"/>
      <c r="KUF137" s="422"/>
      <c r="KUG137" s="422"/>
      <c r="KUH137" s="422"/>
      <c r="KUI137" s="422"/>
      <c r="KUJ137" s="422"/>
      <c r="KUK137" s="422"/>
      <c r="KUL137" s="422"/>
      <c r="KUM137" s="422"/>
      <c r="KUN137" s="422"/>
      <c r="KUO137" s="422"/>
      <c r="KUP137" s="422"/>
      <c r="KUQ137" s="422"/>
      <c r="KUR137" s="422"/>
      <c r="KUS137" s="422"/>
      <c r="KUT137" s="422"/>
      <c r="KUU137" s="422"/>
      <c r="KUV137" s="422"/>
      <c r="KUW137" s="422"/>
      <c r="KUX137" s="422"/>
      <c r="KUY137" s="422"/>
      <c r="KUZ137" s="422"/>
      <c r="KVA137" s="422"/>
      <c r="KVB137" s="422"/>
      <c r="KVC137" s="422"/>
      <c r="KVD137" s="422"/>
      <c r="KVE137" s="422"/>
      <c r="KVF137" s="422"/>
      <c r="KVG137" s="422"/>
      <c r="KVH137" s="422"/>
      <c r="KVI137" s="422"/>
      <c r="KVJ137" s="422"/>
      <c r="KVK137" s="422"/>
      <c r="KVL137" s="422"/>
      <c r="KVM137" s="422"/>
      <c r="KVN137" s="422"/>
      <c r="KVO137" s="422"/>
      <c r="KVP137" s="422"/>
      <c r="KVQ137" s="422"/>
      <c r="KVR137" s="422"/>
      <c r="KVS137" s="422"/>
      <c r="KVT137" s="422"/>
      <c r="KVU137" s="422"/>
      <c r="KVV137" s="422"/>
      <c r="KVW137" s="422"/>
      <c r="KVX137" s="422"/>
      <c r="KVY137" s="422"/>
      <c r="KVZ137" s="422"/>
      <c r="KWA137" s="422"/>
      <c r="KWB137" s="422"/>
      <c r="KWC137" s="422"/>
      <c r="KWD137" s="422"/>
      <c r="KWE137" s="422"/>
      <c r="KWF137" s="422"/>
      <c r="KWG137" s="422"/>
      <c r="KWH137" s="422"/>
      <c r="KWI137" s="422"/>
      <c r="KWJ137" s="422"/>
      <c r="KWK137" s="422"/>
      <c r="KWL137" s="422"/>
      <c r="KWM137" s="422"/>
      <c r="KWN137" s="422"/>
      <c r="KWO137" s="422"/>
      <c r="KWP137" s="422"/>
      <c r="KWQ137" s="422"/>
      <c r="KWR137" s="422"/>
      <c r="KWS137" s="422"/>
      <c r="KWT137" s="422"/>
      <c r="KWU137" s="422"/>
      <c r="KWV137" s="422"/>
      <c r="KWW137" s="422"/>
      <c r="KWX137" s="422"/>
      <c r="KWY137" s="422"/>
      <c r="KWZ137" s="422"/>
      <c r="KXA137" s="422"/>
      <c r="KXB137" s="422"/>
      <c r="KXC137" s="422"/>
      <c r="KXD137" s="422"/>
      <c r="KXE137" s="422"/>
      <c r="KXF137" s="422"/>
      <c r="KXG137" s="422"/>
      <c r="KXH137" s="422"/>
      <c r="KXI137" s="422"/>
      <c r="KXJ137" s="422"/>
      <c r="KXK137" s="422"/>
      <c r="KXL137" s="422"/>
      <c r="KXM137" s="422"/>
      <c r="KXN137" s="422"/>
      <c r="KXO137" s="422"/>
      <c r="KXP137" s="422"/>
      <c r="KXQ137" s="422"/>
      <c r="KXR137" s="422"/>
      <c r="KXS137" s="422"/>
      <c r="KXT137" s="422"/>
      <c r="KXU137" s="422"/>
      <c r="KXV137" s="422"/>
      <c r="KXW137" s="422"/>
      <c r="KXX137" s="422"/>
      <c r="KXY137" s="422"/>
      <c r="KXZ137" s="422"/>
      <c r="KYA137" s="422"/>
      <c r="KYB137" s="422"/>
      <c r="KYC137" s="422"/>
      <c r="KYD137" s="422"/>
      <c r="KYE137" s="422"/>
      <c r="KYF137" s="422"/>
      <c r="KYG137" s="422"/>
      <c r="KYH137" s="422"/>
      <c r="KYI137" s="422"/>
      <c r="KYJ137" s="422"/>
      <c r="KYK137" s="422"/>
      <c r="KYL137" s="422"/>
      <c r="KYM137" s="422"/>
      <c r="KYN137" s="422"/>
      <c r="KYO137" s="422"/>
      <c r="KYP137" s="422"/>
      <c r="KYQ137" s="422"/>
      <c r="KYR137" s="422"/>
      <c r="KYS137" s="422"/>
      <c r="KYT137" s="422"/>
      <c r="KYU137" s="422"/>
      <c r="KYV137" s="422"/>
      <c r="KYW137" s="422"/>
      <c r="KYX137" s="422"/>
      <c r="KYY137" s="422"/>
      <c r="KYZ137" s="422"/>
      <c r="KZA137" s="422"/>
      <c r="KZB137" s="422"/>
      <c r="KZC137" s="422"/>
      <c r="KZD137" s="422"/>
      <c r="KZE137" s="422"/>
      <c r="KZF137" s="422"/>
      <c r="KZG137" s="422"/>
      <c r="KZH137" s="422"/>
      <c r="KZI137" s="422"/>
      <c r="KZJ137" s="422"/>
      <c r="KZK137" s="422"/>
      <c r="KZL137" s="422"/>
      <c r="KZM137" s="422"/>
      <c r="KZN137" s="422"/>
      <c r="KZO137" s="422"/>
      <c r="KZP137" s="422"/>
      <c r="KZQ137" s="422"/>
      <c r="KZR137" s="422"/>
      <c r="KZS137" s="422"/>
      <c r="KZT137" s="422"/>
      <c r="KZU137" s="422"/>
      <c r="KZV137" s="422"/>
      <c r="KZW137" s="422"/>
      <c r="KZX137" s="422"/>
      <c r="KZY137" s="422"/>
      <c r="KZZ137" s="422"/>
      <c r="LAA137" s="422"/>
      <c r="LAB137" s="422"/>
      <c r="LAC137" s="422"/>
      <c r="LAD137" s="422"/>
      <c r="LAE137" s="422"/>
      <c r="LAF137" s="422"/>
      <c r="LAG137" s="422"/>
      <c r="LAH137" s="422"/>
      <c r="LAI137" s="422"/>
      <c r="LAJ137" s="422"/>
      <c r="LAK137" s="422"/>
      <c r="LAL137" s="422"/>
      <c r="LAM137" s="422"/>
      <c r="LAN137" s="422"/>
      <c r="LAO137" s="422"/>
      <c r="LAP137" s="422"/>
      <c r="LAQ137" s="422"/>
      <c r="LAR137" s="422"/>
      <c r="LAS137" s="422"/>
      <c r="LAT137" s="422"/>
      <c r="LAU137" s="422"/>
      <c r="LAV137" s="422"/>
      <c r="LAW137" s="422"/>
      <c r="LAX137" s="422"/>
      <c r="LAY137" s="422"/>
      <c r="LAZ137" s="422"/>
      <c r="LBA137" s="422"/>
      <c r="LBB137" s="422"/>
      <c r="LBC137" s="422"/>
      <c r="LBD137" s="422"/>
      <c r="LBE137" s="422"/>
      <c r="LBF137" s="422"/>
      <c r="LBG137" s="422"/>
      <c r="LBH137" s="422"/>
      <c r="LBI137" s="422"/>
      <c r="LBJ137" s="422"/>
      <c r="LBK137" s="422"/>
      <c r="LBL137" s="422"/>
      <c r="LBM137" s="422"/>
      <c r="LBN137" s="422"/>
      <c r="LBO137" s="422"/>
      <c r="LBP137" s="422"/>
      <c r="LBQ137" s="422"/>
      <c r="LBR137" s="422"/>
      <c r="LBS137" s="422"/>
      <c r="LBT137" s="422"/>
      <c r="LBU137" s="422"/>
      <c r="LBV137" s="422"/>
      <c r="LBW137" s="422"/>
      <c r="LBX137" s="422"/>
      <c r="LBY137" s="422"/>
      <c r="LBZ137" s="422"/>
      <c r="LCA137" s="422"/>
      <c r="LCB137" s="422"/>
      <c r="LCC137" s="422"/>
      <c r="LCD137" s="422"/>
      <c r="LCE137" s="422"/>
      <c r="LCF137" s="422"/>
      <c r="LCG137" s="422"/>
      <c r="LCH137" s="422"/>
      <c r="LCI137" s="422"/>
      <c r="LCJ137" s="422"/>
      <c r="LCK137" s="422"/>
      <c r="LCL137" s="422"/>
      <c r="LCM137" s="422"/>
      <c r="LCN137" s="422"/>
      <c r="LCO137" s="422"/>
      <c r="LCP137" s="422"/>
      <c r="LCQ137" s="422"/>
      <c r="LCR137" s="422"/>
      <c r="LCS137" s="422"/>
      <c r="LCT137" s="422"/>
      <c r="LCU137" s="422"/>
      <c r="LCV137" s="422"/>
      <c r="LCW137" s="422"/>
      <c r="LCX137" s="422"/>
      <c r="LCY137" s="422"/>
      <c r="LCZ137" s="422"/>
      <c r="LDA137" s="422"/>
      <c r="LDB137" s="422"/>
      <c r="LDC137" s="422"/>
      <c r="LDD137" s="422"/>
      <c r="LDE137" s="422"/>
      <c r="LDF137" s="422"/>
      <c r="LDG137" s="422"/>
      <c r="LDH137" s="422"/>
      <c r="LDI137" s="422"/>
      <c r="LDJ137" s="422"/>
      <c r="LDK137" s="422"/>
      <c r="LDL137" s="422"/>
      <c r="LDM137" s="422"/>
      <c r="LDN137" s="422"/>
      <c r="LDO137" s="422"/>
      <c r="LDP137" s="422"/>
      <c r="LDQ137" s="422"/>
      <c r="LDR137" s="422"/>
      <c r="LDS137" s="422"/>
      <c r="LDT137" s="422"/>
      <c r="LDU137" s="422"/>
      <c r="LDV137" s="422"/>
      <c r="LDW137" s="422"/>
      <c r="LDX137" s="422"/>
      <c r="LDY137" s="422"/>
      <c r="LDZ137" s="422"/>
      <c r="LEA137" s="422"/>
      <c r="LEB137" s="422"/>
      <c r="LEC137" s="422"/>
      <c r="LED137" s="422"/>
      <c r="LEE137" s="422"/>
      <c r="LEF137" s="422"/>
      <c r="LEG137" s="422"/>
      <c r="LEH137" s="422"/>
      <c r="LEI137" s="422"/>
      <c r="LEJ137" s="422"/>
      <c r="LEK137" s="422"/>
      <c r="LEL137" s="422"/>
      <c r="LEM137" s="422"/>
      <c r="LEN137" s="422"/>
      <c r="LEO137" s="422"/>
      <c r="LEP137" s="422"/>
      <c r="LEQ137" s="422"/>
      <c r="LER137" s="422"/>
      <c r="LES137" s="422"/>
      <c r="LET137" s="422"/>
      <c r="LEU137" s="422"/>
      <c r="LEV137" s="422"/>
      <c r="LEW137" s="422"/>
      <c r="LEX137" s="422"/>
      <c r="LEY137" s="422"/>
      <c r="LEZ137" s="422"/>
      <c r="LFA137" s="422"/>
      <c r="LFB137" s="422"/>
      <c r="LFC137" s="422"/>
      <c r="LFD137" s="422"/>
      <c r="LFE137" s="422"/>
      <c r="LFF137" s="422"/>
      <c r="LFG137" s="422"/>
      <c r="LFH137" s="422"/>
      <c r="LFI137" s="422"/>
      <c r="LFJ137" s="422"/>
      <c r="LFK137" s="422"/>
      <c r="LFL137" s="422"/>
      <c r="LFM137" s="422"/>
      <c r="LFN137" s="422"/>
      <c r="LFO137" s="422"/>
      <c r="LFP137" s="422"/>
      <c r="LFQ137" s="422"/>
      <c r="LFR137" s="422"/>
      <c r="LFS137" s="422"/>
      <c r="LFT137" s="422"/>
      <c r="LFU137" s="422"/>
      <c r="LFV137" s="422"/>
      <c r="LFW137" s="422"/>
      <c r="LFX137" s="422"/>
      <c r="LFY137" s="422"/>
      <c r="LFZ137" s="422"/>
      <c r="LGA137" s="422"/>
      <c r="LGB137" s="422"/>
      <c r="LGC137" s="422"/>
      <c r="LGD137" s="422"/>
      <c r="LGE137" s="422"/>
      <c r="LGF137" s="422"/>
      <c r="LGG137" s="422"/>
      <c r="LGH137" s="422"/>
      <c r="LGI137" s="422"/>
      <c r="LGJ137" s="422"/>
      <c r="LGK137" s="422"/>
      <c r="LGL137" s="422"/>
      <c r="LGM137" s="422"/>
      <c r="LGN137" s="422"/>
      <c r="LGO137" s="422"/>
      <c r="LGP137" s="422"/>
      <c r="LGQ137" s="422"/>
      <c r="LGR137" s="422"/>
      <c r="LGS137" s="422"/>
      <c r="LGT137" s="422"/>
      <c r="LGU137" s="422"/>
      <c r="LGV137" s="422"/>
      <c r="LGW137" s="422"/>
      <c r="LGX137" s="422"/>
      <c r="LGY137" s="422"/>
      <c r="LGZ137" s="422"/>
      <c r="LHA137" s="422"/>
      <c r="LHB137" s="422"/>
      <c r="LHC137" s="422"/>
      <c r="LHD137" s="422"/>
      <c r="LHE137" s="422"/>
      <c r="LHF137" s="422"/>
      <c r="LHG137" s="422"/>
      <c r="LHH137" s="422"/>
      <c r="LHI137" s="422"/>
      <c r="LHJ137" s="422"/>
      <c r="LHK137" s="422"/>
      <c r="LHL137" s="422"/>
      <c r="LHM137" s="422"/>
      <c r="LHN137" s="422"/>
      <c r="LHO137" s="422"/>
      <c r="LHP137" s="422"/>
      <c r="LHQ137" s="422"/>
      <c r="LHR137" s="422"/>
      <c r="LHS137" s="422"/>
      <c r="LHT137" s="422"/>
      <c r="LHU137" s="422"/>
      <c r="LHV137" s="422"/>
      <c r="LHW137" s="422"/>
      <c r="LHX137" s="422"/>
      <c r="LHY137" s="422"/>
      <c r="LHZ137" s="422"/>
      <c r="LIA137" s="422"/>
      <c r="LIB137" s="422"/>
      <c r="LIC137" s="422"/>
      <c r="LID137" s="422"/>
      <c r="LIE137" s="422"/>
      <c r="LIF137" s="422"/>
      <c r="LIG137" s="422"/>
      <c r="LIH137" s="422"/>
      <c r="LII137" s="422"/>
      <c r="LIJ137" s="422"/>
      <c r="LIK137" s="422"/>
      <c r="LIL137" s="422"/>
      <c r="LIM137" s="422"/>
      <c r="LIN137" s="422"/>
      <c r="LIO137" s="422"/>
      <c r="LIP137" s="422"/>
      <c r="LIQ137" s="422"/>
      <c r="LIR137" s="422"/>
      <c r="LIS137" s="422"/>
      <c r="LIT137" s="422"/>
      <c r="LIU137" s="422"/>
      <c r="LIV137" s="422"/>
      <c r="LIW137" s="422"/>
      <c r="LIX137" s="422"/>
      <c r="LIY137" s="422"/>
      <c r="LIZ137" s="422"/>
      <c r="LJA137" s="422"/>
      <c r="LJB137" s="422"/>
      <c r="LJC137" s="422"/>
      <c r="LJD137" s="422"/>
      <c r="LJE137" s="422"/>
      <c r="LJF137" s="422"/>
      <c r="LJG137" s="422"/>
      <c r="LJH137" s="422"/>
      <c r="LJI137" s="422"/>
      <c r="LJJ137" s="422"/>
      <c r="LJK137" s="422"/>
      <c r="LJL137" s="422"/>
      <c r="LJM137" s="422"/>
      <c r="LJN137" s="422"/>
      <c r="LJO137" s="422"/>
      <c r="LJP137" s="422"/>
      <c r="LJQ137" s="422"/>
      <c r="LJR137" s="422"/>
      <c r="LJS137" s="422"/>
      <c r="LJT137" s="422"/>
      <c r="LJU137" s="422"/>
      <c r="LJV137" s="422"/>
      <c r="LJW137" s="422"/>
      <c r="LJX137" s="422"/>
      <c r="LJY137" s="422"/>
      <c r="LJZ137" s="422"/>
      <c r="LKA137" s="422"/>
      <c r="LKB137" s="422"/>
      <c r="LKC137" s="422"/>
      <c r="LKD137" s="422"/>
      <c r="LKE137" s="422"/>
      <c r="LKF137" s="422"/>
      <c r="LKG137" s="422"/>
      <c r="LKH137" s="422"/>
      <c r="LKI137" s="422"/>
      <c r="LKJ137" s="422"/>
      <c r="LKK137" s="422"/>
      <c r="LKL137" s="422"/>
      <c r="LKM137" s="422"/>
      <c r="LKN137" s="422"/>
      <c r="LKO137" s="422"/>
      <c r="LKP137" s="422"/>
      <c r="LKQ137" s="422"/>
      <c r="LKR137" s="422"/>
      <c r="LKS137" s="422"/>
      <c r="LKT137" s="422"/>
      <c r="LKU137" s="422"/>
      <c r="LKV137" s="422"/>
      <c r="LKW137" s="422"/>
      <c r="LKX137" s="422"/>
      <c r="LKY137" s="422"/>
      <c r="LKZ137" s="422"/>
      <c r="LLA137" s="422"/>
      <c r="LLB137" s="422"/>
      <c r="LLC137" s="422"/>
      <c r="LLD137" s="422"/>
      <c r="LLE137" s="422"/>
      <c r="LLF137" s="422"/>
      <c r="LLG137" s="422"/>
      <c r="LLH137" s="422"/>
      <c r="LLI137" s="422"/>
      <c r="LLJ137" s="422"/>
      <c r="LLK137" s="422"/>
      <c r="LLL137" s="422"/>
      <c r="LLM137" s="422"/>
      <c r="LLN137" s="422"/>
      <c r="LLO137" s="422"/>
      <c r="LLP137" s="422"/>
      <c r="LLQ137" s="422"/>
      <c r="LLR137" s="422"/>
      <c r="LLS137" s="422"/>
      <c r="LLT137" s="422"/>
      <c r="LLU137" s="422"/>
      <c r="LLV137" s="422"/>
      <c r="LLW137" s="422"/>
      <c r="LLX137" s="422"/>
      <c r="LLY137" s="422"/>
      <c r="LLZ137" s="422"/>
      <c r="LMA137" s="422"/>
      <c r="LMB137" s="422"/>
      <c r="LMC137" s="422"/>
      <c r="LMD137" s="422"/>
      <c r="LME137" s="422"/>
      <c r="LMF137" s="422"/>
      <c r="LMG137" s="422"/>
      <c r="LMH137" s="422"/>
      <c r="LMI137" s="422"/>
      <c r="LMJ137" s="422"/>
      <c r="LMK137" s="422"/>
      <c r="LML137" s="422"/>
      <c r="LMM137" s="422"/>
      <c r="LMN137" s="422"/>
      <c r="LMO137" s="422"/>
      <c r="LMP137" s="422"/>
      <c r="LMQ137" s="422"/>
      <c r="LMR137" s="422"/>
      <c r="LMS137" s="422"/>
      <c r="LMT137" s="422"/>
      <c r="LMU137" s="422"/>
      <c r="LMV137" s="422"/>
      <c r="LMW137" s="422"/>
      <c r="LMX137" s="422"/>
      <c r="LMY137" s="422"/>
      <c r="LMZ137" s="422"/>
      <c r="LNA137" s="422"/>
      <c r="LNB137" s="422"/>
      <c r="LNC137" s="422"/>
      <c r="LND137" s="422"/>
      <c r="LNE137" s="422"/>
      <c r="LNF137" s="422"/>
      <c r="LNG137" s="422"/>
      <c r="LNH137" s="422"/>
      <c r="LNI137" s="422"/>
      <c r="LNJ137" s="422"/>
      <c r="LNK137" s="422"/>
      <c r="LNL137" s="422"/>
      <c r="LNM137" s="422"/>
      <c r="LNN137" s="422"/>
      <c r="LNO137" s="422"/>
      <c r="LNP137" s="422"/>
      <c r="LNQ137" s="422"/>
      <c r="LNR137" s="422"/>
      <c r="LNS137" s="422"/>
      <c r="LNT137" s="422"/>
      <c r="LNU137" s="422"/>
      <c r="LNV137" s="422"/>
      <c r="LNW137" s="422"/>
      <c r="LNX137" s="422"/>
      <c r="LNY137" s="422"/>
      <c r="LNZ137" s="422"/>
      <c r="LOA137" s="422"/>
      <c r="LOB137" s="422"/>
      <c r="LOC137" s="422"/>
      <c r="LOD137" s="422"/>
      <c r="LOE137" s="422"/>
      <c r="LOF137" s="422"/>
      <c r="LOG137" s="422"/>
      <c r="LOH137" s="422"/>
      <c r="LOI137" s="422"/>
      <c r="LOJ137" s="422"/>
      <c r="LOK137" s="422"/>
      <c r="LOL137" s="422"/>
      <c r="LOM137" s="422"/>
      <c r="LON137" s="422"/>
      <c r="LOO137" s="422"/>
      <c r="LOP137" s="422"/>
      <c r="LOQ137" s="422"/>
      <c r="LOR137" s="422"/>
      <c r="LOS137" s="422"/>
      <c r="LOT137" s="422"/>
      <c r="LOU137" s="422"/>
      <c r="LOV137" s="422"/>
      <c r="LOW137" s="422"/>
      <c r="LOX137" s="422"/>
      <c r="LOY137" s="422"/>
      <c r="LOZ137" s="422"/>
      <c r="LPA137" s="422"/>
      <c r="LPB137" s="422"/>
      <c r="LPC137" s="422"/>
      <c r="LPD137" s="422"/>
      <c r="LPE137" s="422"/>
      <c r="LPF137" s="422"/>
      <c r="LPG137" s="422"/>
      <c r="LPH137" s="422"/>
      <c r="LPI137" s="422"/>
      <c r="LPJ137" s="422"/>
      <c r="LPK137" s="422"/>
      <c r="LPL137" s="422"/>
      <c r="LPM137" s="422"/>
      <c r="LPN137" s="422"/>
      <c r="LPO137" s="422"/>
      <c r="LPP137" s="422"/>
      <c r="LPQ137" s="422"/>
      <c r="LPR137" s="422"/>
      <c r="LPS137" s="422"/>
      <c r="LPT137" s="422"/>
      <c r="LPU137" s="422"/>
      <c r="LPV137" s="422"/>
      <c r="LPW137" s="422"/>
      <c r="LPX137" s="422"/>
      <c r="LPY137" s="422"/>
      <c r="LPZ137" s="422"/>
      <c r="LQA137" s="422"/>
      <c r="LQB137" s="422"/>
      <c r="LQC137" s="422"/>
      <c r="LQD137" s="422"/>
      <c r="LQE137" s="422"/>
      <c r="LQF137" s="422"/>
      <c r="LQG137" s="422"/>
      <c r="LQH137" s="422"/>
      <c r="LQI137" s="422"/>
      <c r="LQJ137" s="422"/>
      <c r="LQK137" s="422"/>
      <c r="LQL137" s="422"/>
      <c r="LQM137" s="422"/>
      <c r="LQN137" s="422"/>
      <c r="LQO137" s="422"/>
      <c r="LQP137" s="422"/>
      <c r="LQQ137" s="422"/>
      <c r="LQR137" s="422"/>
      <c r="LQS137" s="422"/>
      <c r="LQT137" s="422"/>
      <c r="LQU137" s="422"/>
      <c r="LQV137" s="422"/>
      <c r="LQW137" s="422"/>
      <c r="LQX137" s="422"/>
      <c r="LQY137" s="422"/>
      <c r="LQZ137" s="422"/>
      <c r="LRA137" s="422"/>
      <c r="LRB137" s="422"/>
      <c r="LRC137" s="422"/>
      <c r="LRD137" s="422"/>
      <c r="LRE137" s="422"/>
      <c r="LRF137" s="422"/>
      <c r="LRG137" s="422"/>
      <c r="LRH137" s="422"/>
      <c r="LRI137" s="422"/>
      <c r="LRJ137" s="422"/>
      <c r="LRK137" s="422"/>
      <c r="LRL137" s="422"/>
      <c r="LRM137" s="422"/>
      <c r="LRN137" s="422"/>
      <c r="LRO137" s="422"/>
      <c r="LRP137" s="422"/>
      <c r="LRQ137" s="422"/>
      <c r="LRR137" s="422"/>
      <c r="LRS137" s="422"/>
      <c r="LRT137" s="422"/>
      <c r="LRU137" s="422"/>
      <c r="LRV137" s="422"/>
      <c r="LRW137" s="422"/>
      <c r="LRX137" s="422"/>
      <c r="LRY137" s="422"/>
      <c r="LRZ137" s="422"/>
      <c r="LSA137" s="422"/>
      <c r="LSB137" s="422"/>
      <c r="LSC137" s="422"/>
      <c r="LSD137" s="422"/>
      <c r="LSE137" s="422"/>
      <c r="LSF137" s="422"/>
      <c r="LSG137" s="422"/>
      <c r="LSH137" s="422"/>
      <c r="LSI137" s="422"/>
      <c r="LSJ137" s="422"/>
      <c r="LSK137" s="422"/>
      <c r="LSL137" s="422"/>
      <c r="LSM137" s="422"/>
      <c r="LSN137" s="422"/>
      <c r="LSO137" s="422"/>
      <c r="LSP137" s="422"/>
      <c r="LSQ137" s="422"/>
      <c r="LSR137" s="422"/>
      <c r="LSS137" s="422"/>
      <c r="LST137" s="422"/>
      <c r="LSU137" s="422"/>
      <c r="LSV137" s="422"/>
      <c r="LSW137" s="422"/>
      <c r="LSX137" s="422"/>
      <c r="LSY137" s="422"/>
      <c r="LSZ137" s="422"/>
      <c r="LTA137" s="422"/>
      <c r="LTB137" s="422"/>
      <c r="LTC137" s="422"/>
      <c r="LTD137" s="422"/>
      <c r="LTE137" s="422"/>
      <c r="LTF137" s="422"/>
      <c r="LTG137" s="422"/>
      <c r="LTH137" s="422"/>
      <c r="LTI137" s="422"/>
      <c r="LTJ137" s="422"/>
      <c r="LTK137" s="422"/>
      <c r="LTL137" s="422"/>
      <c r="LTM137" s="422"/>
      <c r="LTN137" s="422"/>
      <c r="LTO137" s="422"/>
      <c r="LTP137" s="422"/>
      <c r="LTQ137" s="422"/>
      <c r="LTR137" s="422"/>
      <c r="LTS137" s="422"/>
      <c r="LTT137" s="422"/>
      <c r="LTU137" s="422"/>
      <c r="LTV137" s="422"/>
      <c r="LTW137" s="422"/>
      <c r="LTX137" s="422"/>
      <c r="LTY137" s="422"/>
      <c r="LTZ137" s="422"/>
      <c r="LUA137" s="422"/>
      <c r="LUB137" s="422"/>
      <c r="LUC137" s="422"/>
      <c r="LUD137" s="422"/>
      <c r="LUE137" s="422"/>
      <c r="LUF137" s="422"/>
      <c r="LUG137" s="422"/>
      <c r="LUH137" s="422"/>
      <c r="LUI137" s="422"/>
      <c r="LUJ137" s="422"/>
      <c r="LUK137" s="422"/>
      <c r="LUL137" s="422"/>
      <c r="LUM137" s="422"/>
      <c r="LUN137" s="422"/>
      <c r="LUO137" s="422"/>
      <c r="LUP137" s="422"/>
      <c r="LUQ137" s="422"/>
      <c r="LUR137" s="422"/>
      <c r="LUS137" s="422"/>
      <c r="LUT137" s="422"/>
      <c r="LUU137" s="422"/>
      <c r="LUV137" s="422"/>
      <c r="LUW137" s="422"/>
      <c r="LUX137" s="422"/>
      <c r="LUY137" s="422"/>
      <c r="LUZ137" s="422"/>
      <c r="LVA137" s="422"/>
      <c r="LVB137" s="422"/>
      <c r="LVC137" s="422"/>
      <c r="LVD137" s="422"/>
      <c r="LVE137" s="422"/>
      <c r="LVF137" s="422"/>
      <c r="LVG137" s="422"/>
      <c r="LVH137" s="422"/>
      <c r="LVI137" s="422"/>
      <c r="LVJ137" s="422"/>
      <c r="LVK137" s="422"/>
      <c r="LVL137" s="422"/>
      <c r="LVM137" s="422"/>
      <c r="LVN137" s="422"/>
      <c r="LVO137" s="422"/>
      <c r="LVP137" s="422"/>
      <c r="LVQ137" s="422"/>
      <c r="LVR137" s="422"/>
      <c r="LVS137" s="422"/>
      <c r="LVT137" s="422"/>
      <c r="LVU137" s="422"/>
      <c r="LVV137" s="422"/>
      <c r="LVW137" s="422"/>
      <c r="LVX137" s="422"/>
      <c r="LVY137" s="422"/>
      <c r="LVZ137" s="422"/>
      <c r="LWA137" s="422"/>
      <c r="LWB137" s="422"/>
      <c r="LWC137" s="422"/>
      <c r="LWD137" s="422"/>
      <c r="LWE137" s="422"/>
      <c r="LWF137" s="422"/>
      <c r="LWG137" s="422"/>
      <c r="LWH137" s="422"/>
      <c r="LWI137" s="422"/>
      <c r="LWJ137" s="422"/>
      <c r="LWK137" s="422"/>
      <c r="LWL137" s="422"/>
      <c r="LWM137" s="422"/>
      <c r="LWN137" s="422"/>
      <c r="LWO137" s="422"/>
      <c r="LWP137" s="422"/>
      <c r="LWQ137" s="422"/>
      <c r="LWR137" s="422"/>
      <c r="LWS137" s="422"/>
      <c r="LWT137" s="422"/>
      <c r="LWU137" s="422"/>
      <c r="LWV137" s="422"/>
      <c r="LWW137" s="422"/>
      <c r="LWX137" s="422"/>
      <c r="LWY137" s="422"/>
      <c r="LWZ137" s="422"/>
      <c r="LXA137" s="422"/>
      <c r="LXB137" s="422"/>
      <c r="LXC137" s="422"/>
      <c r="LXD137" s="422"/>
      <c r="LXE137" s="422"/>
      <c r="LXF137" s="422"/>
      <c r="LXG137" s="422"/>
      <c r="LXH137" s="422"/>
      <c r="LXI137" s="422"/>
      <c r="LXJ137" s="422"/>
      <c r="LXK137" s="422"/>
      <c r="LXL137" s="422"/>
      <c r="LXM137" s="422"/>
      <c r="LXN137" s="422"/>
      <c r="LXO137" s="422"/>
      <c r="LXP137" s="422"/>
      <c r="LXQ137" s="422"/>
      <c r="LXR137" s="422"/>
      <c r="LXS137" s="422"/>
      <c r="LXT137" s="422"/>
      <c r="LXU137" s="422"/>
      <c r="LXV137" s="422"/>
      <c r="LXW137" s="422"/>
      <c r="LXX137" s="422"/>
      <c r="LXY137" s="422"/>
      <c r="LXZ137" s="422"/>
      <c r="LYA137" s="422"/>
      <c r="LYB137" s="422"/>
      <c r="LYC137" s="422"/>
      <c r="LYD137" s="422"/>
      <c r="LYE137" s="422"/>
      <c r="LYF137" s="422"/>
      <c r="LYG137" s="422"/>
      <c r="LYH137" s="422"/>
      <c r="LYI137" s="422"/>
      <c r="LYJ137" s="422"/>
      <c r="LYK137" s="422"/>
      <c r="LYL137" s="422"/>
      <c r="LYM137" s="422"/>
      <c r="LYN137" s="422"/>
      <c r="LYO137" s="422"/>
      <c r="LYP137" s="422"/>
      <c r="LYQ137" s="422"/>
      <c r="LYR137" s="422"/>
      <c r="LYS137" s="422"/>
      <c r="LYT137" s="422"/>
      <c r="LYU137" s="422"/>
      <c r="LYV137" s="422"/>
      <c r="LYW137" s="422"/>
      <c r="LYX137" s="422"/>
      <c r="LYY137" s="422"/>
      <c r="LYZ137" s="422"/>
      <c r="LZA137" s="422"/>
      <c r="LZB137" s="422"/>
      <c r="LZC137" s="422"/>
      <c r="LZD137" s="422"/>
      <c r="LZE137" s="422"/>
      <c r="LZF137" s="422"/>
      <c r="LZG137" s="422"/>
      <c r="LZH137" s="422"/>
      <c r="LZI137" s="422"/>
      <c r="LZJ137" s="422"/>
      <c r="LZK137" s="422"/>
      <c r="LZL137" s="422"/>
      <c r="LZM137" s="422"/>
      <c r="LZN137" s="422"/>
      <c r="LZO137" s="422"/>
      <c r="LZP137" s="422"/>
      <c r="LZQ137" s="422"/>
      <c r="LZR137" s="422"/>
      <c r="LZS137" s="422"/>
      <c r="LZT137" s="422"/>
      <c r="LZU137" s="422"/>
      <c r="LZV137" s="422"/>
      <c r="LZW137" s="422"/>
      <c r="LZX137" s="422"/>
      <c r="LZY137" s="422"/>
      <c r="LZZ137" s="422"/>
      <c r="MAA137" s="422"/>
      <c r="MAB137" s="422"/>
      <c r="MAC137" s="422"/>
      <c r="MAD137" s="422"/>
      <c r="MAE137" s="422"/>
      <c r="MAF137" s="422"/>
      <c r="MAG137" s="422"/>
      <c r="MAH137" s="422"/>
      <c r="MAI137" s="422"/>
      <c r="MAJ137" s="422"/>
      <c r="MAK137" s="422"/>
      <c r="MAL137" s="422"/>
      <c r="MAM137" s="422"/>
      <c r="MAN137" s="422"/>
      <c r="MAO137" s="422"/>
      <c r="MAP137" s="422"/>
      <c r="MAQ137" s="422"/>
      <c r="MAR137" s="422"/>
      <c r="MAS137" s="422"/>
      <c r="MAT137" s="422"/>
      <c r="MAU137" s="422"/>
      <c r="MAV137" s="422"/>
      <c r="MAW137" s="422"/>
      <c r="MAX137" s="422"/>
      <c r="MAY137" s="422"/>
      <c r="MAZ137" s="422"/>
      <c r="MBA137" s="422"/>
      <c r="MBB137" s="422"/>
      <c r="MBC137" s="422"/>
      <c r="MBD137" s="422"/>
      <c r="MBE137" s="422"/>
      <c r="MBF137" s="422"/>
      <c r="MBG137" s="422"/>
      <c r="MBH137" s="422"/>
      <c r="MBI137" s="422"/>
      <c r="MBJ137" s="422"/>
      <c r="MBK137" s="422"/>
      <c r="MBL137" s="422"/>
      <c r="MBM137" s="422"/>
      <c r="MBN137" s="422"/>
      <c r="MBO137" s="422"/>
      <c r="MBP137" s="422"/>
      <c r="MBQ137" s="422"/>
      <c r="MBR137" s="422"/>
      <c r="MBS137" s="422"/>
      <c r="MBT137" s="422"/>
      <c r="MBU137" s="422"/>
      <c r="MBV137" s="422"/>
      <c r="MBW137" s="422"/>
      <c r="MBX137" s="422"/>
      <c r="MBY137" s="422"/>
      <c r="MBZ137" s="422"/>
      <c r="MCA137" s="422"/>
      <c r="MCB137" s="422"/>
      <c r="MCC137" s="422"/>
      <c r="MCD137" s="422"/>
      <c r="MCE137" s="422"/>
      <c r="MCF137" s="422"/>
      <c r="MCG137" s="422"/>
      <c r="MCH137" s="422"/>
      <c r="MCI137" s="422"/>
      <c r="MCJ137" s="422"/>
      <c r="MCK137" s="422"/>
      <c r="MCL137" s="422"/>
      <c r="MCM137" s="422"/>
      <c r="MCN137" s="422"/>
      <c r="MCO137" s="422"/>
      <c r="MCP137" s="422"/>
      <c r="MCQ137" s="422"/>
      <c r="MCR137" s="422"/>
      <c r="MCS137" s="422"/>
      <c r="MCT137" s="422"/>
      <c r="MCU137" s="422"/>
      <c r="MCV137" s="422"/>
      <c r="MCW137" s="422"/>
      <c r="MCX137" s="422"/>
      <c r="MCY137" s="422"/>
      <c r="MCZ137" s="422"/>
      <c r="MDA137" s="422"/>
      <c r="MDB137" s="422"/>
      <c r="MDC137" s="422"/>
      <c r="MDD137" s="422"/>
      <c r="MDE137" s="422"/>
      <c r="MDF137" s="422"/>
      <c r="MDG137" s="422"/>
      <c r="MDH137" s="422"/>
      <c r="MDI137" s="422"/>
      <c r="MDJ137" s="422"/>
      <c r="MDK137" s="422"/>
      <c r="MDL137" s="422"/>
      <c r="MDM137" s="422"/>
      <c r="MDN137" s="422"/>
      <c r="MDO137" s="422"/>
      <c r="MDP137" s="422"/>
      <c r="MDQ137" s="422"/>
      <c r="MDR137" s="422"/>
      <c r="MDS137" s="422"/>
      <c r="MDT137" s="422"/>
      <c r="MDU137" s="422"/>
      <c r="MDV137" s="422"/>
      <c r="MDW137" s="422"/>
      <c r="MDX137" s="422"/>
      <c r="MDY137" s="422"/>
      <c r="MDZ137" s="422"/>
      <c r="MEA137" s="422"/>
      <c r="MEB137" s="422"/>
      <c r="MEC137" s="422"/>
      <c r="MED137" s="422"/>
      <c r="MEE137" s="422"/>
      <c r="MEF137" s="422"/>
      <c r="MEG137" s="422"/>
      <c r="MEH137" s="422"/>
      <c r="MEI137" s="422"/>
      <c r="MEJ137" s="422"/>
      <c r="MEK137" s="422"/>
      <c r="MEL137" s="422"/>
      <c r="MEM137" s="422"/>
      <c r="MEN137" s="422"/>
      <c r="MEO137" s="422"/>
      <c r="MEP137" s="422"/>
      <c r="MEQ137" s="422"/>
      <c r="MER137" s="422"/>
      <c r="MES137" s="422"/>
      <c r="MET137" s="422"/>
      <c r="MEU137" s="422"/>
      <c r="MEV137" s="422"/>
      <c r="MEW137" s="422"/>
      <c r="MEX137" s="422"/>
      <c r="MEY137" s="422"/>
      <c r="MEZ137" s="422"/>
      <c r="MFA137" s="422"/>
      <c r="MFB137" s="422"/>
      <c r="MFC137" s="422"/>
      <c r="MFD137" s="422"/>
      <c r="MFE137" s="422"/>
      <c r="MFF137" s="422"/>
      <c r="MFG137" s="422"/>
      <c r="MFH137" s="422"/>
      <c r="MFI137" s="422"/>
      <c r="MFJ137" s="422"/>
      <c r="MFK137" s="422"/>
      <c r="MFL137" s="422"/>
      <c r="MFM137" s="422"/>
      <c r="MFN137" s="422"/>
      <c r="MFO137" s="422"/>
      <c r="MFP137" s="422"/>
      <c r="MFQ137" s="422"/>
      <c r="MFR137" s="422"/>
      <c r="MFS137" s="422"/>
      <c r="MFT137" s="422"/>
      <c r="MFU137" s="422"/>
      <c r="MFV137" s="422"/>
      <c r="MFW137" s="422"/>
      <c r="MFX137" s="422"/>
      <c r="MFY137" s="422"/>
      <c r="MFZ137" s="422"/>
      <c r="MGA137" s="422"/>
      <c r="MGB137" s="422"/>
      <c r="MGC137" s="422"/>
      <c r="MGD137" s="422"/>
      <c r="MGE137" s="422"/>
      <c r="MGF137" s="422"/>
      <c r="MGG137" s="422"/>
      <c r="MGH137" s="422"/>
      <c r="MGI137" s="422"/>
      <c r="MGJ137" s="422"/>
      <c r="MGK137" s="422"/>
      <c r="MGL137" s="422"/>
      <c r="MGM137" s="422"/>
      <c r="MGN137" s="422"/>
      <c r="MGO137" s="422"/>
      <c r="MGP137" s="422"/>
      <c r="MGQ137" s="422"/>
      <c r="MGR137" s="422"/>
      <c r="MGS137" s="422"/>
      <c r="MGT137" s="422"/>
      <c r="MGU137" s="422"/>
      <c r="MGV137" s="422"/>
      <c r="MGW137" s="422"/>
      <c r="MGX137" s="422"/>
      <c r="MGY137" s="422"/>
      <c r="MGZ137" s="422"/>
      <c r="MHA137" s="422"/>
      <c r="MHB137" s="422"/>
      <c r="MHC137" s="422"/>
      <c r="MHD137" s="422"/>
      <c r="MHE137" s="422"/>
      <c r="MHF137" s="422"/>
      <c r="MHG137" s="422"/>
      <c r="MHH137" s="422"/>
      <c r="MHI137" s="422"/>
      <c r="MHJ137" s="422"/>
      <c r="MHK137" s="422"/>
      <c r="MHL137" s="422"/>
      <c r="MHM137" s="422"/>
      <c r="MHN137" s="422"/>
      <c r="MHO137" s="422"/>
      <c r="MHP137" s="422"/>
      <c r="MHQ137" s="422"/>
      <c r="MHR137" s="422"/>
      <c r="MHS137" s="422"/>
      <c r="MHT137" s="422"/>
      <c r="MHU137" s="422"/>
      <c r="MHV137" s="422"/>
      <c r="MHW137" s="422"/>
      <c r="MHX137" s="422"/>
      <c r="MHY137" s="422"/>
      <c r="MHZ137" s="422"/>
      <c r="MIA137" s="422"/>
      <c r="MIB137" s="422"/>
      <c r="MIC137" s="422"/>
      <c r="MID137" s="422"/>
      <c r="MIE137" s="422"/>
      <c r="MIF137" s="422"/>
      <c r="MIG137" s="422"/>
      <c r="MIH137" s="422"/>
      <c r="MII137" s="422"/>
      <c r="MIJ137" s="422"/>
      <c r="MIK137" s="422"/>
      <c r="MIL137" s="422"/>
      <c r="MIM137" s="422"/>
      <c r="MIN137" s="422"/>
      <c r="MIO137" s="422"/>
      <c r="MIP137" s="422"/>
      <c r="MIQ137" s="422"/>
      <c r="MIR137" s="422"/>
      <c r="MIS137" s="422"/>
      <c r="MIT137" s="422"/>
      <c r="MIU137" s="422"/>
      <c r="MIV137" s="422"/>
      <c r="MIW137" s="422"/>
      <c r="MIX137" s="422"/>
      <c r="MIY137" s="422"/>
      <c r="MIZ137" s="422"/>
      <c r="MJA137" s="422"/>
      <c r="MJB137" s="422"/>
      <c r="MJC137" s="422"/>
      <c r="MJD137" s="422"/>
      <c r="MJE137" s="422"/>
      <c r="MJF137" s="422"/>
      <c r="MJG137" s="422"/>
      <c r="MJH137" s="422"/>
      <c r="MJI137" s="422"/>
      <c r="MJJ137" s="422"/>
      <c r="MJK137" s="422"/>
      <c r="MJL137" s="422"/>
      <c r="MJM137" s="422"/>
      <c r="MJN137" s="422"/>
      <c r="MJO137" s="422"/>
      <c r="MJP137" s="422"/>
      <c r="MJQ137" s="422"/>
      <c r="MJR137" s="422"/>
      <c r="MJS137" s="422"/>
      <c r="MJT137" s="422"/>
      <c r="MJU137" s="422"/>
      <c r="MJV137" s="422"/>
      <c r="MJW137" s="422"/>
      <c r="MJX137" s="422"/>
      <c r="MJY137" s="422"/>
      <c r="MJZ137" s="422"/>
      <c r="MKA137" s="422"/>
      <c r="MKB137" s="422"/>
      <c r="MKC137" s="422"/>
      <c r="MKD137" s="422"/>
      <c r="MKE137" s="422"/>
      <c r="MKF137" s="422"/>
      <c r="MKG137" s="422"/>
      <c r="MKH137" s="422"/>
      <c r="MKI137" s="422"/>
      <c r="MKJ137" s="422"/>
      <c r="MKK137" s="422"/>
      <c r="MKL137" s="422"/>
      <c r="MKM137" s="422"/>
      <c r="MKN137" s="422"/>
      <c r="MKO137" s="422"/>
      <c r="MKP137" s="422"/>
      <c r="MKQ137" s="422"/>
      <c r="MKR137" s="422"/>
      <c r="MKS137" s="422"/>
      <c r="MKT137" s="422"/>
      <c r="MKU137" s="422"/>
      <c r="MKV137" s="422"/>
      <c r="MKW137" s="422"/>
      <c r="MKX137" s="422"/>
      <c r="MKY137" s="422"/>
      <c r="MKZ137" s="422"/>
      <c r="MLA137" s="422"/>
      <c r="MLB137" s="422"/>
      <c r="MLC137" s="422"/>
      <c r="MLD137" s="422"/>
      <c r="MLE137" s="422"/>
      <c r="MLF137" s="422"/>
      <c r="MLG137" s="422"/>
      <c r="MLH137" s="422"/>
      <c r="MLI137" s="422"/>
      <c r="MLJ137" s="422"/>
      <c r="MLK137" s="422"/>
      <c r="MLL137" s="422"/>
      <c r="MLM137" s="422"/>
      <c r="MLN137" s="422"/>
      <c r="MLO137" s="422"/>
      <c r="MLP137" s="422"/>
      <c r="MLQ137" s="422"/>
      <c r="MLR137" s="422"/>
      <c r="MLS137" s="422"/>
      <c r="MLT137" s="422"/>
      <c r="MLU137" s="422"/>
      <c r="MLV137" s="422"/>
      <c r="MLW137" s="422"/>
      <c r="MLX137" s="422"/>
      <c r="MLY137" s="422"/>
      <c r="MLZ137" s="422"/>
      <c r="MMA137" s="422"/>
      <c r="MMB137" s="422"/>
      <c r="MMC137" s="422"/>
      <c r="MMD137" s="422"/>
      <c r="MME137" s="422"/>
      <c r="MMF137" s="422"/>
      <c r="MMG137" s="422"/>
      <c r="MMH137" s="422"/>
      <c r="MMI137" s="422"/>
      <c r="MMJ137" s="422"/>
      <c r="MMK137" s="422"/>
      <c r="MML137" s="422"/>
      <c r="MMM137" s="422"/>
      <c r="MMN137" s="422"/>
      <c r="MMO137" s="422"/>
      <c r="MMP137" s="422"/>
      <c r="MMQ137" s="422"/>
      <c r="MMR137" s="422"/>
      <c r="MMS137" s="422"/>
      <c r="MMT137" s="422"/>
      <c r="MMU137" s="422"/>
      <c r="MMV137" s="422"/>
      <c r="MMW137" s="422"/>
      <c r="MMX137" s="422"/>
      <c r="MMY137" s="422"/>
      <c r="MMZ137" s="422"/>
      <c r="MNA137" s="422"/>
      <c r="MNB137" s="422"/>
      <c r="MNC137" s="422"/>
      <c r="MND137" s="422"/>
      <c r="MNE137" s="422"/>
      <c r="MNF137" s="422"/>
      <c r="MNG137" s="422"/>
      <c r="MNH137" s="422"/>
      <c r="MNI137" s="422"/>
      <c r="MNJ137" s="422"/>
      <c r="MNK137" s="422"/>
      <c r="MNL137" s="422"/>
      <c r="MNM137" s="422"/>
      <c r="MNN137" s="422"/>
      <c r="MNO137" s="422"/>
      <c r="MNP137" s="422"/>
      <c r="MNQ137" s="422"/>
      <c r="MNR137" s="422"/>
      <c r="MNS137" s="422"/>
      <c r="MNT137" s="422"/>
      <c r="MNU137" s="422"/>
      <c r="MNV137" s="422"/>
      <c r="MNW137" s="422"/>
      <c r="MNX137" s="422"/>
      <c r="MNY137" s="422"/>
      <c r="MNZ137" s="422"/>
      <c r="MOA137" s="422"/>
      <c r="MOB137" s="422"/>
      <c r="MOC137" s="422"/>
      <c r="MOD137" s="422"/>
      <c r="MOE137" s="422"/>
      <c r="MOF137" s="422"/>
      <c r="MOG137" s="422"/>
      <c r="MOH137" s="422"/>
      <c r="MOI137" s="422"/>
      <c r="MOJ137" s="422"/>
      <c r="MOK137" s="422"/>
      <c r="MOL137" s="422"/>
      <c r="MOM137" s="422"/>
      <c r="MON137" s="422"/>
      <c r="MOO137" s="422"/>
      <c r="MOP137" s="422"/>
      <c r="MOQ137" s="422"/>
      <c r="MOR137" s="422"/>
      <c r="MOS137" s="422"/>
      <c r="MOT137" s="422"/>
      <c r="MOU137" s="422"/>
      <c r="MOV137" s="422"/>
      <c r="MOW137" s="422"/>
      <c r="MOX137" s="422"/>
      <c r="MOY137" s="422"/>
      <c r="MOZ137" s="422"/>
      <c r="MPA137" s="422"/>
      <c r="MPB137" s="422"/>
      <c r="MPC137" s="422"/>
      <c r="MPD137" s="422"/>
      <c r="MPE137" s="422"/>
      <c r="MPF137" s="422"/>
      <c r="MPG137" s="422"/>
      <c r="MPH137" s="422"/>
      <c r="MPI137" s="422"/>
      <c r="MPJ137" s="422"/>
      <c r="MPK137" s="422"/>
      <c r="MPL137" s="422"/>
      <c r="MPM137" s="422"/>
      <c r="MPN137" s="422"/>
      <c r="MPO137" s="422"/>
      <c r="MPP137" s="422"/>
      <c r="MPQ137" s="422"/>
      <c r="MPR137" s="422"/>
      <c r="MPS137" s="422"/>
      <c r="MPT137" s="422"/>
      <c r="MPU137" s="422"/>
      <c r="MPV137" s="422"/>
      <c r="MPW137" s="422"/>
      <c r="MPX137" s="422"/>
      <c r="MPY137" s="422"/>
      <c r="MPZ137" s="422"/>
      <c r="MQA137" s="422"/>
      <c r="MQB137" s="422"/>
      <c r="MQC137" s="422"/>
      <c r="MQD137" s="422"/>
      <c r="MQE137" s="422"/>
      <c r="MQF137" s="422"/>
      <c r="MQG137" s="422"/>
      <c r="MQH137" s="422"/>
      <c r="MQI137" s="422"/>
      <c r="MQJ137" s="422"/>
      <c r="MQK137" s="422"/>
      <c r="MQL137" s="422"/>
      <c r="MQM137" s="422"/>
      <c r="MQN137" s="422"/>
      <c r="MQO137" s="422"/>
      <c r="MQP137" s="422"/>
      <c r="MQQ137" s="422"/>
      <c r="MQR137" s="422"/>
      <c r="MQS137" s="422"/>
      <c r="MQT137" s="422"/>
      <c r="MQU137" s="422"/>
      <c r="MQV137" s="422"/>
      <c r="MQW137" s="422"/>
      <c r="MQX137" s="422"/>
      <c r="MQY137" s="422"/>
      <c r="MQZ137" s="422"/>
      <c r="MRA137" s="422"/>
      <c r="MRB137" s="422"/>
      <c r="MRC137" s="422"/>
      <c r="MRD137" s="422"/>
      <c r="MRE137" s="422"/>
      <c r="MRF137" s="422"/>
      <c r="MRG137" s="422"/>
      <c r="MRH137" s="422"/>
      <c r="MRI137" s="422"/>
      <c r="MRJ137" s="422"/>
      <c r="MRK137" s="422"/>
      <c r="MRL137" s="422"/>
      <c r="MRM137" s="422"/>
      <c r="MRN137" s="422"/>
      <c r="MRO137" s="422"/>
      <c r="MRP137" s="422"/>
      <c r="MRQ137" s="422"/>
      <c r="MRR137" s="422"/>
      <c r="MRS137" s="422"/>
      <c r="MRT137" s="422"/>
      <c r="MRU137" s="422"/>
      <c r="MRV137" s="422"/>
      <c r="MRW137" s="422"/>
      <c r="MRX137" s="422"/>
      <c r="MRY137" s="422"/>
      <c r="MRZ137" s="422"/>
      <c r="MSA137" s="422"/>
      <c r="MSB137" s="422"/>
      <c r="MSC137" s="422"/>
      <c r="MSD137" s="422"/>
      <c r="MSE137" s="422"/>
      <c r="MSF137" s="422"/>
      <c r="MSG137" s="422"/>
      <c r="MSH137" s="422"/>
      <c r="MSI137" s="422"/>
      <c r="MSJ137" s="422"/>
      <c r="MSK137" s="422"/>
      <c r="MSL137" s="422"/>
      <c r="MSM137" s="422"/>
      <c r="MSN137" s="422"/>
      <c r="MSO137" s="422"/>
      <c r="MSP137" s="422"/>
      <c r="MSQ137" s="422"/>
      <c r="MSR137" s="422"/>
      <c r="MSS137" s="422"/>
      <c r="MST137" s="422"/>
      <c r="MSU137" s="422"/>
      <c r="MSV137" s="422"/>
      <c r="MSW137" s="422"/>
      <c r="MSX137" s="422"/>
      <c r="MSY137" s="422"/>
      <c r="MSZ137" s="422"/>
      <c r="MTA137" s="422"/>
      <c r="MTB137" s="422"/>
      <c r="MTC137" s="422"/>
      <c r="MTD137" s="422"/>
      <c r="MTE137" s="422"/>
      <c r="MTF137" s="422"/>
      <c r="MTG137" s="422"/>
      <c r="MTH137" s="422"/>
      <c r="MTI137" s="422"/>
      <c r="MTJ137" s="422"/>
      <c r="MTK137" s="422"/>
      <c r="MTL137" s="422"/>
      <c r="MTM137" s="422"/>
      <c r="MTN137" s="422"/>
      <c r="MTO137" s="422"/>
      <c r="MTP137" s="422"/>
      <c r="MTQ137" s="422"/>
      <c r="MTR137" s="422"/>
      <c r="MTS137" s="422"/>
      <c r="MTT137" s="422"/>
      <c r="MTU137" s="422"/>
      <c r="MTV137" s="422"/>
      <c r="MTW137" s="422"/>
      <c r="MTX137" s="422"/>
      <c r="MTY137" s="422"/>
      <c r="MTZ137" s="422"/>
      <c r="MUA137" s="422"/>
      <c r="MUB137" s="422"/>
      <c r="MUC137" s="422"/>
      <c r="MUD137" s="422"/>
      <c r="MUE137" s="422"/>
      <c r="MUF137" s="422"/>
      <c r="MUG137" s="422"/>
      <c r="MUH137" s="422"/>
      <c r="MUI137" s="422"/>
      <c r="MUJ137" s="422"/>
      <c r="MUK137" s="422"/>
      <c r="MUL137" s="422"/>
      <c r="MUM137" s="422"/>
      <c r="MUN137" s="422"/>
      <c r="MUO137" s="422"/>
      <c r="MUP137" s="422"/>
      <c r="MUQ137" s="422"/>
      <c r="MUR137" s="422"/>
      <c r="MUS137" s="422"/>
      <c r="MUT137" s="422"/>
      <c r="MUU137" s="422"/>
      <c r="MUV137" s="422"/>
      <c r="MUW137" s="422"/>
      <c r="MUX137" s="422"/>
      <c r="MUY137" s="422"/>
      <c r="MUZ137" s="422"/>
      <c r="MVA137" s="422"/>
      <c r="MVB137" s="422"/>
      <c r="MVC137" s="422"/>
      <c r="MVD137" s="422"/>
      <c r="MVE137" s="422"/>
      <c r="MVF137" s="422"/>
      <c r="MVG137" s="422"/>
      <c r="MVH137" s="422"/>
      <c r="MVI137" s="422"/>
      <c r="MVJ137" s="422"/>
      <c r="MVK137" s="422"/>
      <c r="MVL137" s="422"/>
      <c r="MVM137" s="422"/>
      <c r="MVN137" s="422"/>
      <c r="MVO137" s="422"/>
      <c r="MVP137" s="422"/>
      <c r="MVQ137" s="422"/>
      <c r="MVR137" s="422"/>
      <c r="MVS137" s="422"/>
      <c r="MVT137" s="422"/>
      <c r="MVU137" s="422"/>
      <c r="MVV137" s="422"/>
      <c r="MVW137" s="422"/>
      <c r="MVX137" s="422"/>
      <c r="MVY137" s="422"/>
      <c r="MVZ137" s="422"/>
      <c r="MWA137" s="422"/>
      <c r="MWB137" s="422"/>
      <c r="MWC137" s="422"/>
      <c r="MWD137" s="422"/>
      <c r="MWE137" s="422"/>
      <c r="MWF137" s="422"/>
      <c r="MWG137" s="422"/>
      <c r="MWH137" s="422"/>
      <c r="MWI137" s="422"/>
      <c r="MWJ137" s="422"/>
      <c r="MWK137" s="422"/>
      <c r="MWL137" s="422"/>
      <c r="MWM137" s="422"/>
      <c r="MWN137" s="422"/>
      <c r="MWO137" s="422"/>
      <c r="MWP137" s="422"/>
      <c r="MWQ137" s="422"/>
      <c r="MWR137" s="422"/>
      <c r="MWS137" s="422"/>
      <c r="MWT137" s="422"/>
      <c r="MWU137" s="422"/>
      <c r="MWV137" s="422"/>
      <c r="MWW137" s="422"/>
      <c r="MWX137" s="422"/>
      <c r="MWY137" s="422"/>
      <c r="MWZ137" s="422"/>
      <c r="MXA137" s="422"/>
      <c r="MXB137" s="422"/>
      <c r="MXC137" s="422"/>
      <c r="MXD137" s="422"/>
      <c r="MXE137" s="422"/>
      <c r="MXF137" s="422"/>
      <c r="MXG137" s="422"/>
      <c r="MXH137" s="422"/>
      <c r="MXI137" s="422"/>
      <c r="MXJ137" s="422"/>
      <c r="MXK137" s="422"/>
      <c r="MXL137" s="422"/>
      <c r="MXM137" s="422"/>
      <c r="MXN137" s="422"/>
      <c r="MXO137" s="422"/>
      <c r="MXP137" s="422"/>
      <c r="MXQ137" s="422"/>
      <c r="MXR137" s="422"/>
      <c r="MXS137" s="422"/>
      <c r="MXT137" s="422"/>
      <c r="MXU137" s="422"/>
      <c r="MXV137" s="422"/>
      <c r="MXW137" s="422"/>
      <c r="MXX137" s="422"/>
      <c r="MXY137" s="422"/>
      <c r="MXZ137" s="422"/>
      <c r="MYA137" s="422"/>
      <c r="MYB137" s="422"/>
      <c r="MYC137" s="422"/>
      <c r="MYD137" s="422"/>
      <c r="MYE137" s="422"/>
      <c r="MYF137" s="422"/>
      <c r="MYG137" s="422"/>
      <c r="MYH137" s="422"/>
      <c r="MYI137" s="422"/>
      <c r="MYJ137" s="422"/>
      <c r="MYK137" s="422"/>
      <c r="MYL137" s="422"/>
      <c r="MYM137" s="422"/>
      <c r="MYN137" s="422"/>
      <c r="MYO137" s="422"/>
      <c r="MYP137" s="422"/>
      <c r="MYQ137" s="422"/>
      <c r="MYR137" s="422"/>
      <c r="MYS137" s="422"/>
      <c r="MYT137" s="422"/>
      <c r="MYU137" s="422"/>
      <c r="MYV137" s="422"/>
      <c r="MYW137" s="422"/>
      <c r="MYX137" s="422"/>
      <c r="MYY137" s="422"/>
      <c r="MYZ137" s="422"/>
      <c r="MZA137" s="422"/>
      <c r="MZB137" s="422"/>
      <c r="MZC137" s="422"/>
      <c r="MZD137" s="422"/>
      <c r="MZE137" s="422"/>
      <c r="MZF137" s="422"/>
      <c r="MZG137" s="422"/>
      <c r="MZH137" s="422"/>
      <c r="MZI137" s="422"/>
      <c r="MZJ137" s="422"/>
      <c r="MZK137" s="422"/>
      <c r="MZL137" s="422"/>
      <c r="MZM137" s="422"/>
      <c r="MZN137" s="422"/>
      <c r="MZO137" s="422"/>
      <c r="MZP137" s="422"/>
      <c r="MZQ137" s="422"/>
      <c r="MZR137" s="422"/>
      <c r="MZS137" s="422"/>
      <c r="MZT137" s="422"/>
      <c r="MZU137" s="422"/>
      <c r="MZV137" s="422"/>
      <c r="MZW137" s="422"/>
      <c r="MZX137" s="422"/>
      <c r="MZY137" s="422"/>
      <c r="MZZ137" s="422"/>
      <c r="NAA137" s="422"/>
      <c r="NAB137" s="422"/>
      <c r="NAC137" s="422"/>
      <c r="NAD137" s="422"/>
      <c r="NAE137" s="422"/>
      <c r="NAF137" s="422"/>
      <c r="NAG137" s="422"/>
      <c r="NAH137" s="422"/>
      <c r="NAI137" s="422"/>
      <c r="NAJ137" s="422"/>
      <c r="NAK137" s="422"/>
      <c r="NAL137" s="422"/>
      <c r="NAM137" s="422"/>
      <c r="NAN137" s="422"/>
      <c r="NAO137" s="422"/>
      <c r="NAP137" s="422"/>
      <c r="NAQ137" s="422"/>
      <c r="NAR137" s="422"/>
      <c r="NAS137" s="422"/>
      <c r="NAT137" s="422"/>
      <c r="NAU137" s="422"/>
      <c r="NAV137" s="422"/>
      <c r="NAW137" s="422"/>
      <c r="NAX137" s="422"/>
      <c r="NAY137" s="422"/>
      <c r="NAZ137" s="422"/>
      <c r="NBA137" s="422"/>
      <c r="NBB137" s="422"/>
      <c r="NBC137" s="422"/>
      <c r="NBD137" s="422"/>
      <c r="NBE137" s="422"/>
      <c r="NBF137" s="422"/>
      <c r="NBG137" s="422"/>
      <c r="NBH137" s="422"/>
      <c r="NBI137" s="422"/>
      <c r="NBJ137" s="422"/>
      <c r="NBK137" s="422"/>
      <c r="NBL137" s="422"/>
      <c r="NBM137" s="422"/>
      <c r="NBN137" s="422"/>
      <c r="NBO137" s="422"/>
      <c r="NBP137" s="422"/>
      <c r="NBQ137" s="422"/>
      <c r="NBR137" s="422"/>
      <c r="NBS137" s="422"/>
      <c r="NBT137" s="422"/>
      <c r="NBU137" s="422"/>
      <c r="NBV137" s="422"/>
      <c r="NBW137" s="422"/>
      <c r="NBX137" s="422"/>
      <c r="NBY137" s="422"/>
      <c r="NBZ137" s="422"/>
      <c r="NCA137" s="422"/>
      <c r="NCB137" s="422"/>
      <c r="NCC137" s="422"/>
      <c r="NCD137" s="422"/>
      <c r="NCE137" s="422"/>
      <c r="NCF137" s="422"/>
      <c r="NCG137" s="422"/>
      <c r="NCH137" s="422"/>
      <c r="NCI137" s="422"/>
      <c r="NCJ137" s="422"/>
      <c r="NCK137" s="422"/>
      <c r="NCL137" s="422"/>
      <c r="NCM137" s="422"/>
      <c r="NCN137" s="422"/>
      <c r="NCO137" s="422"/>
      <c r="NCP137" s="422"/>
      <c r="NCQ137" s="422"/>
      <c r="NCR137" s="422"/>
      <c r="NCS137" s="422"/>
      <c r="NCT137" s="422"/>
      <c r="NCU137" s="422"/>
      <c r="NCV137" s="422"/>
      <c r="NCW137" s="422"/>
      <c r="NCX137" s="422"/>
      <c r="NCY137" s="422"/>
      <c r="NCZ137" s="422"/>
      <c r="NDA137" s="422"/>
      <c r="NDB137" s="422"/>
      <c r="NDC137" s="422"/>
      <c r="NDD137" s="422"/>
      <c r="NDE137" s="422"/>
      <c r="NDF137" s="422"/>
      <c r="NDG137" s="422"/>
      <c r="NDH137" s="422"/>
      <c r="NDI137" s="422"/>
      <c r="NDJ137" s="422"/>
      <c r="NDK137" s="422"/>
      <c r="NDL137" s="422"/>
      <c r="NDM137" s="422"/>
      <c r="NDN137" s="422"/>
      <c r="NDO137" s="422"/>
      <c r="NDP137" s="422"/>
      <c r="NDQ137" s="422"/>
      <c r="NDR137" s="422"/>
      <c r="NDS137" s="422"/>
      <c r="NDT137" s="422"/>
      <c r="NDU137" s="422"/>
      <c r="NDV137" s="422"/>
      <c r="NDW137" s="422"/>
      <c r="NDX137" s="422"/>
      <c r="NDY137" s="422"/>
      <c r="NDZ137" s="422"/>
      <c r="NEA137" s="422"/>
      <c r="NEB137" s="422"/>
      <c r="NEC137" s="422"/>
      <c r="NED137" s="422"/>
      <c r="NEE137" s="422"/>
      <c r="NEF137" s="422"/>
      <c r="NEG137" s="422"/>
      <c r="NEH137" s="422"/>
      <c r="NEI137" s="422"/>
      <c r="NEJ137" s="422"/>
      <c r="NEK137" s="422"/>
      <c r="NEL137" s="422"/>
      <c r="NEM137" s="422"/>
      <c r="NEN137" s="422"/>
      <c r="NEO137" s="422"/>
      <c r="NEP137" s="422"/>
      <c r="NEQ137" s="422"/>
      <c r="NER137" s="422"/>
      <c r="NES137" s="422"/>
      <c r="NET137" s="422"/>
      <c r="NEU137" s="422"/>
      <c r="NEV137" s="422"/>
      <c r="NEW137" s="422"/>
      <c r="NEX137" s="422"/>
      <c r="NEY137" s="422"/>
      <c r="NEZ137" s="422"/>
      <c r="NFA137" s="422"/>
      <c r="NFB137" s="422"/>
      <c r="NFC137" s="422"/>
      <c r="NFD137" s="422"/>
      <c r="NFE137" s="422"/>
      <c r="NFF137" s="422"/>
      <c r="NFG137" s="422"/>
      <c r="NFH137" s="422"/>
      <c r="NFI137" s="422"/>
      <c r="NFJ137" s="422"/>
      <c r="NFK137" s="422"/>
      <c r="NFL137" s="422"/>
      <c r="NFM137" s="422"/>
      <c r="NFN137" s="422"/>
      <c r="NFO137" s="422"/>
      <c r="NFP137" s="422"/>
      <c r="NFQ137" s="422"/>
      <c r="NFR137" s="422"/>
      <c r="NFS137" s="422"/>
      <c r="NFT137" s="422"/>
      <c r="NFU137" s="422"/>
      <c r="NFV137" s="422"/>
      <c r="NFW137" s="422"/>
      <c r="NFX137" s="422"/>
      <c r="NFY137" s="422"/>
      <c r="NFZ137" s="422"/>
      <c r="NGA137" s="422"/>
      <c r="NGB137" s="422"/>
      <c r="NGC137" s="422"/>
      <c r="NGD137" s="422"/>
      <c r="NGE137" s="422"/>
      <c r="NGF137" s="422"/>
      <c r="NGG137" s="422"/>
      <c r="NGH137" s="422"/>
      <c r="NGI137" s="422"/>
      <c r="NGJ137" s="422"/>
      <c r="NGK137" s="422"/>
      <c r="NGL137" s="422"/>
      <c r="NGM137" s="422"/>
      <c r="NGN137" s="422"/>
      <c r="NGO137" s="422"/>
      <c r="NGP137" s="422"/>
      <c r="NGQ137" s="422"/>
      <c r="NGR137" s="422"/>
      <c r="NGS137" s="422"/>
      <c r="NGT137" s="422"/>
      <c r="NGU137" s="422"/>
      <c r="NGV137" s="422"/>
      <c r="NGW137" s="422"/>
      <c r="NGX137" s="422"/>
      <c r="NGY137" s="422"/>
      <c r="NGZ137" s="422"/>
      <c r="NHA137" s="422"/>
      <c r="NHB137" s="422"/>
      <c r="NHC137" s="422"/>
      <c r="NHD137" s="422"/>
      <c r="NHE137" s="422"/>
      <c r="NHF137" s="422"/>
      <c r="NHG137" s="422"/>
      <c r="NHH137" s="422"/>
      <c r="NHI137" s="422"/>
      <c r="NHJ137" s="422"/>
      <c r="NHK137" s="422"/>
      <c r="NHL137" s="422"/>
      <c r="NHM137" s="422"/>
      <c r="NHN137" s="422"/>
      <c r="NHO137" s="422"/>
      <c r="NHP137" s="422"/>
      <c r="NHQ137" s="422"/>
      <c r="NHR137" s="422"/>
      <c r="NHS137" s="422"/>
      <c r="NHT137" s="422"/>
      <c r="NHU137" s="422"/>
      <c r="NHV137" s="422"/>
      <c r="NHW137" s="422"/>
      <c r="NHX137" s="422"/>
      <c r="NHY137" s="422"/>
      <c r="NHZ137" s="422"/>
      <c r="NIA137" s="422"/>
      <c r="NIB137" s="422"/>
      <c r="NIC137" s="422"/>
      <c r="NID137" s="422"/>
      <c r="NIE137" s="422"/>
      <c r="NIF137" s="422"/>
      <c r="NIG137" s="422"/>
      <c r="NIH137" s="422"/>
      <c r="NII137" s="422"/>
      <c r="NIJ137" s="422"/>
      <c r="NIK137" s="422"/>
      <c r="NIL137" s="422"/>
      <c r="NIM137" s="422"/>
      <c r="NIN137" s="422"/>
      <c r="NIO137" s="422"/>
      <c r="NIP137" s="422"/>
      <c r="NIQ137" s="422"/>
      <c r="NIR137" s="422"/>
      <c r="NIS137" s="422"/>
      <c r="NIT137" s="422"/>
      <c r="NIU137" s="422"/>
      <c r="NIV137" s="422"/>
      <c r="NIW137" s="422"/>
      <c r="NIX137" s="422"/>
      <c r="NIY137" s="422"/>
      <c r="NIZ137" s="422"/>
      <c r="NJA137" s="422"/>
      <c r="NJB137" s="422"/>
      <c r="NJC137" s="422"/>
      <c r="NJD137" s="422"/>
      <c r="NJE137" s="422"/>
      <c r="NJF137" s="422"/>
      <c r="NJG137" s="422"/>
      <c r="NJH137" s="422"/>
      <c r="NJI137" s="422"/>
      <c r="NJJ137" s="422"/>
      <c r="NJK137" s="422"/>
      <c r="NJL137" s="422"/>
      <c r="NJM137" s="422"/>
      <c r="NJN137" s="422"/>
      <c r="NJO137" s="422"/>
      <c r="NJP137" s="422"/>
      <c r="NJQ137" s="422"/>
      <c r="NJR137" s="422"/>
      <c r="NJS137" s="422"/>
      <c r="NJT137" s="422"/>
      <c r="NJU137" s="422"/>
      <c r="NJV137" s="422"/>
      <c r="NJW137" s="422"/>
      <c r="NJX137" s="422"/>
      <c r="NJY137" s="422"/>
      <c r="NJZ137" s="422"/>
      <c r="NKA137" s="422"/>
      <c r="NKB137" s="422"/>
      <c r="NKC137" s="422"/>
      <c r="NKD137" s="422"/>
      <c r="NKE137" s="422"/>
      <c r="NKF137" s="422"/>
      <c r="NKG137" s="422"/>
      <c r="NKH137" s="422"/>
      <c r="NKI137" s="422"/>
      <c r="NKJ137" s="422"/>
      <c r="NKK137" s="422"/>
      <c r="NKL137" s="422"/>
      <c r="NKM137" s="422"/>
      <c r="NKN137" s="422"/>
      <c r="NKO137" s="422"/>
      <c r="NKP137" s="422"/>
      <c r="NKQ137" s="422"/>
      <c r="NKR137" s="422"/>
      <c r="NKS137" s="422"/>
      <c r="NKT137" s="422"/>
      <c r="NKU137" s="422"/>
      <c r="NKV137" s="422"/>
      <c r="NKW137" s="422"/>
      <c r="NKX137" s="422"/>
      <c r="NKY137" s="422"/>
      <c r="NKZ137" s="422"/>
      <c r="NLA137" s="422"/>
      <c r="NLB137" s="422"/>
      <c r="NLC137" s="422"/>
      <c r="NLD137" s="422"/>
      <c r="NLE137" s="422"/>
      <c r="NLF137" s="422"/>
      <c r="NLG137" s="422"/>
      <c r="NLH137" s="422"/>
      <c r="NLI137" s="422"/>
      <c r="NLJ137" s="422"/>
      <c r="NLK137" s="422"/>
      <c r="NLL137" s="422"/>
      <c r="NLM137" s="422"/>
      <c r="NLN137" s="422"/>
      <c r="NLO137" s="422"/>
      <c r="NLP137" s="422"/>
      <c r="NLQ137" s="422"/>
      <c r="NLR137" s="422"/>
      <c r="NLS137" s="422"/>
      <c r="NLT137" s="422"/>
      <c r="NLU137" s="422"/>
      <c r="NLV137" s="422"/>
      <c r="NLW137" s="422"/>
      <c r="NLX137" s="422"/>
      <c r="NLY137" s="422"/>
      <c r="NLZ137" s="422"/>
      <c r="NMA137" s="422"/>
      <c r="NMB137" s="422"/>
      <c r="NMC137" s="422"/>
      <c r="NMD137" s="422"/>
      <c r="NME137" s="422"/>
      <c r="NMF137" s="422"/>
      <c r="NMG137" s="422"/>
      <c r="NMH137" s="422"/>
      <c r="NMI137" s="422"/>
      <c r="NMJ137" s="422"/>
      <c r="NMK137" s="422"/>
      <c r="NML137" s="422"/>
      <c r="NMM137" s="422"/>
      <c r="NMN137" s="422"/>
      <c r="NMO137" s="422"/>
      <c r="NMP137" s="422"/>
      <c r="NMQ137" s="422"/>
      <c r="NMR137" s="422"/>
      <c r="NMS137" s="422"/>
      <c r="NMT137" s="422"/>
      <c r="NMU137" s="422"/>
      <c r="NMV137" s="422"/>
      <c r="NMW137" s="422"/>
      <c r="NMX137" s="422"/>
      <c r="NMY137" s="422"/>
      <c r="NMZ137" s="422"/>
      <c r="NNA137" s="422"/>
      <c r="NNB137" s="422"/>
      <c r="NNC137" s="422"/>
      <c r="NND137" s="422"/>
      <c r="NNE137" s="422"/>
      <c r="NNF137" s="422"/>
      <c r="NNG137" s="422"/>
      <c r="NNH137" s="422"/>
      <c r="NNI137" s="422"/>
      <c r="NNJ137" s="422"/>
      <c r="NNK137" s="422"/>
      <c r="NNL137" s="422"/>
      <c r="NNM137" s="422"/>
      <c r="NNN137" s="422"/>
      <c r="NNO137" s="422"/>
      <c r="NNP137" s="422"/>
      <c r="NNQ137" s="422"/>
      <c r="NNR137" s="422"/>
      <c r="NNS137" s="422"/>
      <c r="NNT137" s="422"/>
      <c r="NNU137" s="422"/>
      <c r="NNV137" s="422"/>
      <c r="NNW137" s="422"/>
      <c r="NNX137" s="422"/>
      <c r="NNY137" s="422"/>
      <c r="NNZ137" s="422"/>
      <c r="NOA137" s="422"/>
      <c r="NOB137" s="422"/>
      <c r="NOC137" s="422"/>
      <c r="NOD137" s="422"/>
      <c r="NOE137" s="422"/>
      <c r="NOF137" s="422"/>
      <c r="NOG137" s="422"/>
      <c r="NOH137" s="422"/>
      <c r="NOI137" s="422"/>
      <c r="NOJ137" s="422"/>
      <c r="NOK137" s="422"/>
      <c r="NOL137" s="422"/>
      <c r="NOM137" s="422"/>
      <c r="NON137" s="422"/>
      <c r="NOO137" s="422"/>
      <c r="NOP137" s="422"/>
      <c r="NOQ137" s="422"/>
      <c r="NOR137" s="422"/>
      <c r="NOS137" s="422"/>
      <c r="NOT137" s="422"/>
      <c r="NOU137" s="422"/>
      <c r="NOV137" s="422"/>
      <c r="NOW137" s="422"/>
      <c r="NOX137" s="422"/>
      <c r="NOY137" s="422"/>
      <c r="NOZ137" s="422"/>
      <c r="NPA137" s="422"/>
      <c r="NPB137" s="422"/>
      <c r="NPC137" s="422"/>
      <c r="NPD137" s="422"/>
      <c r="NPE137" s="422"/>
      <c r="NPF137" s="422"/>
      <c r="NPG137" s="422"/>
      <c r="NPH137" s="422"/>
      <c r="NPI137" s="422"/>
      <c r="NPJ137" s="422"/>
      <c r="NPK137" s="422"/>
      <c r="NPL137" s="422"/>
      <c r="NPM137" s="422"/>
      <c r="NPN137" s="422"/>
      <c r="NPO137" s="422"/>
      <c r="NPP137" s="422"/>
      <c r="NPQ137" s="422"/>
      <c r="NPR137" s="422"/>
      <c r="NPS137" s="422"/>
      <c r="NPT137" s="422"/>
      <c r="NPU137" s="422"/>
      <c r="NPV137" s="422"/>
      <c r="NPW137" s="422"/>
      <c r="NPX137" s="422"/>
      <c r="NPY137" s="422"/>
      <c r="NPZ137" s="422"/>
      <c r="NQA137" s="422"/>
      <c r="NQB137" s="422"/>
      <c r="NQC137" s="422"/>
      <c r="NQD137" s="422"/>
      <c r="NQE137" s="422"/>
      <c r="NQF137" s="422"/>
      <c r="NQG137" s="422"/>
      <c r="NQH137" s="422"/>
      <c r="NQI137" s="422"/>
      <c r="NQJ137" s="422"/>
      <c r="NQK137" s="422"/>
      <c r="NQL137" s="422"/>
      <c r="NQM137" s="422"/>
      <c r="NQN137" s="422"/>
      <c r="NQO137" s="422"/>
      <c r="NQP137" s="422"/>
      <c r="NQQ137" s="422"/>
      <c r="NQR137" s="422"/>
      <c r="NQS137" s="422"/>
      <c r="NQT137" s="422"/>
      <c r="NQU137" s="422"/>
      <c r="NQV137" s="422"/>
      <c r="NQW137" s="422"/>
      <c r="NQX137" s="422"/>
      <c r="NQY137" s="422"/>
      <c r="NQZ137" s="422"/>
      <c r="NRA137" s="422"/>
      <c r="NRB137" s="422"/>
      <c r="NRC137" s="422"/>
      <c r="NRD137" s="422"/>
      <c r="NRE137" s="422"/>
      <c r="NRF137" s="422"/>
      <c r="NRG137" s="422"/>
      <c r="NRH137" s="422"/>
      <c r="NRI137" s="422"/>
      <c r="NRJ137" s="422"/>
      <c r="NRK137" s="422"/>
      <c r="NRL137" s="422"/>
      <c r="NRM137" s="422"/>
      <c r="NRN137" s="422"/>
      <c r="NRO137" s="422"/>
      <c r="NRP137" s="422"/>
      <c r="NRQ137" s="422"/>
      <c r="NRR137" s="422"/>
      <c r="NRS137" s="422"/>
      <c r="NRT137" s="422"/>
      <c r="NRU137" s="422"/>
      <c r="NRV137" s="422"/>
      <c r="NRW137" s="422"/>
      <c r="NRX137" s="422"/>
      <c r="NRY137" s="422"/>
      <c r="NRZ137" s="422"/>
      <c r="NSA137" s="422"/>
      <c r="NSB137" s="422"/>
      <c r="NSC137" s="422"/>
      <c r="NSD137" s="422"/>
      <c r="NSE137" s="422"/>
      <c r="NSF137" s="422"/>
      <c r="NSG137" s="422"/>
      <c r="NSH137" s="422"/>
      <c r="NSI137" s="422"/>
      <c r="NSJ137" s="422"/>
      <c r="NSK137" s="422"/>
      <c r="NSL137" s="422"/>
      <c r="NSM137" s="422"/>
      <c r="NSN137" s="422"/>
      <c r="NSO137" s="422"/>
      <c r="NSP137" s="422"/>
      <c r="NSQ137" s="422"/>
      <c r="NSR137" s="422"/>
      <c r="NSS137" s="422"/>
      <c r="NST137" s="422"/>
      <c r="NSU137" s="422"/>
      <c r="NSV137" s="422"/>
      <c r="NSW137" s="422"/>
      <c r="NSX137" s="422"/>
      <c r="NSY137" s="422"/>
      <c r="NSZ137" s="422"/>
      <c r="NTA137" s="422"/>
      <c r="NTB137" s="422"/>
      <c r="NTC137" s="422"/>
      <c r="NTD137" s="422"/>
      <c r="NTE137" s="422"/>
      <c r="NTF137" s="422"/>
      <c r="NTG137" s="422"/>
      <c r="NTH137" s="422"/>
      <c r="NTI137" s="422"/>
      <c r="NTJ137" s="422"/>
      <c r="NTK137" s="422"/>
      <c r="NTL137" s="422"/>
      <c r="NTM137" s="422"/>
      <c r="NTN137" s="422"/>
      <c r="NTO137" s="422"/>
      <c r="NTP137" s="422"/>
      <c r="NTQ137" s="422"/>
      <c r="NTR137" s="422"/>
      <c r="NTS137" s="422"/>
      <c r="NTT137" s="422"/>
      <c r="NTU137" s="422"/>
      <c r="NTV137" s="422"/>
      <c r="NTW137" s="422"/>
      <c r="NTX137" s="422"/>
      <c r="NTY137" s="422"/>
      <c r="NTZ137" s="422"/>
      <c r="NUA137" s="422"/>
      <c r="NUB137" s="422"/>
      <c r="NUC137" s="422"/>
      <c r="NUD137" s="422"/>
      <c r="NUE137" s="422"/>
      <c r="NUF137" s="422"/>
      <c r="NUG137" s="422"/>
      <c r="NUH137" s="422"/>
      <c r="NUI137" s="422"/>
      <c r="NUJ137" s="422"/>
      <c r="NUK137" s="422"/>
      <c r="NUL137" s="422"/>
      <c r="NUM137" s="422"/>
      <c r="NUN137" s="422"/>
      <c r="NUO137" s="422"/>
      <c r="NUP137" s="422"/>
      <c r="NUQ137" s="422"/>
      <c r="NUR137" s="422"/>
      <c r="NUS137" s="422"/>
      <c r="NUT137" s="422"/>
      <c r="NUU137" s="422"/>
      <c r="NUV137" s="422"/>
      <c r="NUW137" s="422"/>
      <c r="NUX137" s="422"/>
      <c r="NUY137" s="422"/>
      <c r="NUZ137" s="422"/>
      <c r="NVA137" s="422"/>
      <c r="NVB137" s="422"/>
      <c r="NVC137" s="422"/>
      <c r="NVD137" s="422"/>
      <c r="NVE137" s="422"/>
      <c r="NVF137" s="422"/>
      <c r="NVG137" s="422"/>
      <c r="NVH137" s="422"/>
      <c r="NVI137" s="422"/>
      <c r="NVJ137" s="422"/>
      <c r="NVK137" s="422"/>
      <c r="NVL137" s="422"/>
      <c r="NVM137" s="422"/>
      <c r="NVN137" s="422"/>
      <c r="NVO137" s="422"/>
      <c r="NVP137" s="422"/>
      <c r="NVQ137" s="422"/>
      <c r="NVR137" s="422"/>
      <c r="NVS137" s="422"/>
      <c r="NVT137" s="422"/>
      <c r="NVU137" s="422"/>
      <c r="NVV137" s="422"/>
      <c r="NVW137" s="422"/>
      <c r="NVX137" s="422"/>
      <c r="NVY137" s="422"/>
      <c r="NVZ137" s="422"/>
      <c r="NWA137" s="422"/>
      <c r="NWB137" s="422"/>
      <c r="NWC137" s="422"/>
      <c r="NWD137" s="422"/>
      <c r="NWE137" s="422"/>
      <c r="NWF137" s="422"/>
      <c r="NWG137" s="422"/>
      <c r="NWH137" s="422"/>
      <c r="NWI137" s="422"/>
      <c r="NWJ137" s="422"/>
      <c r="NWK137" s="422"/>
      <c r="NWL137" s="422"/>
      <c r="NWM137" s="422"/>
      <c r="NWN137" s="422"/>
      <c r="NWO137" s="422"/>
      <c r="NWP137" s="422"/>
      <c r="NWQ137" s="422"/>
      <c r="NWR137" s="422"/>
      <c r="NWS137" s="422"/>
      <c r="NWT137" s="422"/>
      <c r="NWU137" s="422"/>
      <c r="NWV137" s="422"/>
      <c r="NWW137" s="422"/>
      <c r="NWX137" s="422"/>
      <c r="NWY137" s="422"/>
      <c r="NWZ137" s="422"/>
      <c r="NXA137" s="422"/>
      <c r="NXB137" s="422"/>
      <c r="NXC137" s="422"/>
      <c r="NXD137" s="422"/>
      <c r="NXE137" s="422"/>
      <c r="NXF137" s="422"/>
      <c r="NXG137" s="422"/>
      <c r="NXH137" s="422"/>
      <c r="NXI137" s="422"/>
      <c r="NXJ137" s="422"/>
      <c r="NXK137" s="422"/>
      <c r="NXL137" s="422"/>
      <c r="NXM137" s="422"/>
      <c r="NXN137" s="422"/>
      <c r="NXO137" s="422"/>
      <c r="NXP137" s="422"/>
      <c r="NXQ137" s="422"/>
      <c r="NXR137" s="422"/>
      <c r="NXS137" s="422"/>
      <c r="NXT137" s="422"/>
      <c r="NXU137" s="422"/>
      <c r="NXV137" s="422"/>
      <c r="NXW137" s="422"/>
      <c r="NXX137" s="422"/>
      <c r="NXY137" s="422"/>
      <c r="NXZ137" s="422"/>
      <c r="NYA137" s="422"/>
      <c r="NYB137" s="422"/>
      <c r="NYC137" s="422"/>
      <c r="NYD137" s="422"/>
      <c r="NYE137" s="422"/>
      <c r="NYF137" s="422"/>
      <c r="NYG137" s="422"/>
      <c r="NYH137" s="422"/>
      <c r="NYI137" s="422"/>
      <c r="NYJ137" s="422"/>
      <c r="NYK137" s="422"/>
      <c r="NYL137" s="422"/>
      <c r="NYM137" s="422"/>
      <c r="NYN137" s="422"/>
      <c r="NYO137" s="422"/>
      <c r="NYP137" s="422"/>
      <c r="NYQ137" s="422"/>
      <c r="NYR137" s="422"/>
      <c r="NYS137" s="422"/>
      <c r="NYT137" s="422"/>
      <c r="NYU137" s="422"/>
      <c r="NYV137" s="422"/>
      <c r="NYW137" s="422"/>
      <c r="NYX137" s="422"/>
      <c r="NYY137" s="422"/>
      <c r="NYZ137" s="422"/>
      <c r="NZA137" s="422"/>
      <c r="NZB137" s="422"/>
      <c r="NZC137" s="422"/>
      <c r="NZD137" s="422"/>
      <c r="NZE137" s="422"/>
      <c r="NZF137" s="422"/>
      <c r="NZG137" s="422"/>
      <c r="NZH137" s="422"/>
      <c r="NZI137" s="422"/>
      <c r="NZJ137" s="422"/>
      <c r="NZK137" s="422"/>
      <c r="NZL137" s="422"/>
      <c r="NZM137" s="422"/>
      <c r="NZN137" s="422"/>
      <c r="NZO137" s="422"/>
      <c r="NZP137" s="422"/>
      <c r="NZQ137" s="422"/>
      <c r="NZR137" s="422"/>
      <c r="NZS137" s="422"/>
      <c r="NZT137" s="422"/>
      <c r="NZU137" s="422"/>
      <c r="NZV137" s="422"/>
      <c r="NZW137" s="422"/>
      <c r="NZX137" s="422"/>
      <c r="NZY137" s="422"/>
      <c r="NZZ137" s="422"/>
      <c r="OAA137" s="422"/>
      <c r="OAB137" s="422"/>
      <c r="OAC137" s="422"/>
      <c r="OAD137" s="422"/>
      <c r="OAE137" s="422"/>
      <c r="OAF137" s="422"/>
      <c r="OAG137" s="422"/>
      <c r="OAH137" s="422"/>
      <c r="OAI137" s="422"/>
      <c r="OAJ137" s="422"/>
      <c r="OAK137" s="422"/>
      <c r="OAL137" s="422"/>
      <c r="OAM137" s="422"/>
      <c r="OAN137" s="422"/>
      <c r="OAO137" s="422"/>
      <c r="OAP137" s="422"/>
      <c r="OAQ137" s="422"/>
      <c r="OAR137" s="422"/>
      <c r="OAS137" s="422"/>
      <c r="OAT137" s="422"/>
      <c r="OAU137" s="422"/>
      <c r="OAV137" s="422"/>
      <c r="OAW137" s="422"/>
      <c r="OAX137" s="422"/>
      <c r="OAY137" s="422"/>
      <c r="OAZ137" s="422"/>
      <c r="OBA137" s="422"/>
      <c r="OBB137" s="422"/>
      <c r="OBC137" s="422"/>
      <c r="OBD137" s="422"/>
      <c r="OBE137" s="422"/>
      <c r="OBF137" s="422"/>
      <c r="OBG137" s="422"/>
      <c r="OBH137" s="422"/>
      <c r="OBI137" s="422"/>
      <c r="OBJ137" s="422"/>
      <c r="OBK137" s="422"/>
      <c r="OBL137" s="422"/>
      <c r="OBM137" s="422"/>
      <c r="OBN137" s="422"/>
      <c r="OBO137" s="422"/>
      <c r="OBP137" s="422"/>
      <c r="OBQ137" s="422"/>
      <c r="OBR137" s="422"/>
      <c r="OBS137" s="422"/>
      <c r="OBT137" s="422"/>
      <c r="OBU137" s="422"/>
      <c r="OBV137" s="422"/>
      <c r="OBW137" s="422"/>
      <c r="OBX137" s="422"/>
      <c r="OBY137" s="422"/>
      <c r="OBZ137" s="422"/>
      <c r="OCA137" s="422"/>
      <c r="OCB137" s="422"/>
      <c r="OCC137" s="422"/>
      <c r="OCD137" s="422"/>
      <c r="OCE137" s="422"/>
      <c r="OCF137" s="422"/>
      <c r="OCG137" s="422"/>
      <c r="OCH137" s="422"/>
      <c r="OCI137" s="422"/>
      <c r="OCJ137" s="422"/>
      <c r="OCK137" s="422"/>
      <c r="OCL137" s="422"/>
      <c r="OCM137" s="422"/>
      <c r="OCN137" s="422"/>
      <c r="OCO137" s="422"/>
      <c r="OCP137" s="422"/>
      <c r="OCQ137" s="422"/>
      <c r="OCR137" s="422"/>
      <c r="OCS137" s="422"/>
      <c r="OCT137" s="422"/>
      <c r="OCU137" s="422"/>
      <c r="OCV137" s="422"/>
      <c r="OCW137" s="422"/>
      <c r="OCX137" s="422"/>
      <c r="OCY137" s="422"/>
      <c r="OCZ137" s="422"/>
      <c r="ODA137" s="422"/>
      <c r="ODB137" s="422"/>
      <c r="ODC137" s="422"/>
      <c r="ODD137" s="422"/>
      <c r="ODE137" s="422"/>
      <c r="ODF137" s="422"/>
      <c r="ODG137" s="422"/>
      <c r="ODH137" s="422"/>
      <c r="ODI137" s="422"/>
      <c r="ODJ137" s="422"/>
      <c r="ODK137" s="422"/>
      <c r="ODL137" s="422"/>
      <c r="ODM137" s="422"/>
      <c r="ODN137" s="422"/>
      <c r="ODO137" s="422"/>
      <c r="ODP137" s="422"/>
      <c r="ODQ137" s="422"/>
      <c r="ODR137" s="422"/>
      <c r="ODS137" s="422"/>
      <c r="ODT137" s="422"/>
      <c r="ODU137" s="422"/>
      <c r="ODV137" s="422"/>
      <c r="ODW137" s="422"/>
      <c r="ODX137" s="422"/>
      <c r="ODY137" s="422"/>
      <c r="ODZ137" s="422"/>
      <c r="OEA137" s="422"/>
      <c r="OEB137" s="422"/>
      <c r="OEC137" s="422"/>
      <c r="OED137" s="422"/>
      <c r="OEE137" s="422"/>
      <c r="OEF137" s="422"/>
      <c r="OEG137" s="422"/>
      <c r="OEH137" s="422"/>
      <c r="OEI137" s="422"/>
      <c r="OEJ137" s="422"/>
      <c r="OEK137" s="422"/>
      <c r="OEL137" s="422"/>
      <c r="OEM137" s="422"/>
      <c r="OEN137" s="422"/>
      <c r="OEO137" s="422"/>
      <c r="OEP137" s="422"/>
      <c r="OEQ137" s="422"/>
      <c r="OER137" s="422"/>
      <c r="OES137" s="422"/>
      <c r="OET137" s="422"/>
      <c r="OEU137" s="422"/>
      <c r="OEV137" s="422"/>
      <c r="OEW137" s="422"/>
      <c r="OEX137" s="422"/>
      <c r="OEY137" s="422"/>
      <c r="OEZ137" s="422"/>
      <c r="OFA137" s="422"/>
      <c r="OFB137" s="422"/>
      <c r="OFC137" s="422"/>
      <c r="OFD137" s="422"/>
      <c r="OFE137" s="422"/>
      <c r="OFF137" s="422"/>
      <c r="OFG137" s="422"/>
      <c r="OFH137" s="422"/>
      <c r="OFI137" s="422"/>
      <c r="OFJ137" s="422"/>
      <c r="OFK137" s="422"/>
      <c r="OFL137" s="422"/>
      <c r="OFM137" s="422"/>
      <c r="OFN137" s="422"/>
      <c r="OFO137" s="422"/>
      <c r="OFP137" s="422"/>
      <c r="OFQ137" s="422"/>
      <c r="OFR137" s="422"/>
      <c r="OFS137" s="422"/>
      <c r="OFT137" s="422"/>
      <c r="OFU137" s="422"/>
      <c r="OFV137" s="422"/>
      <c r="OFW137" s="422"/>
      <c r="OFX137" s="422"/>
      <c r="OFY137" s="422"/>
      <c r="OFZ137" s="422"/>
      <c r="OGA137" s="422"/>
      <c r="OGB137" s="422"/>
      <c r="OGC137" s="422"/>
      <c r="OGD137" s="422"/>
      <c r="OGE137" s="422"/>
      <c r="OGF137" s="422"/>
      <c r="OGG137" s="422"/>
      <c r="OGH137" s="422"/>
      <c r="OGI137" s="422"/>
      <c r="OGJ137" s="422"/>
      <c r="OGK137" s="422"/>
      <c r="OGL137" s="422"/>
      <c r="OGM137" s="422"/>
      <c r="OGN137" s="422"/>
      <c r="OGO137" s="422"/>
      <c r="OGP137" s="422"/>
      <c r="OGQ137" s="422"/>
      <c r="OGR137" s="422"/>
      <c r="OGS137" s="422"/>
      <c r="OGT137" s="422"/>
      <c r="OGU137" s="422"/>
      <c r="OGV137" s="422"/>
      <c r="OGW137" s="422"/>
      <c r="OGX137" s="422"/>
      <c r="OGY137" s="422"/>
      <c r="OGZ137" s="422"/>
      <c r="OHA137" s="422"/>
      <c r="OHB137" s="422"/>
      <c r="OHC137" s="422"/>
      <c r="OHD137" s="422"/>
      <c r="OHE137" s="422"/>
      <c r="OHF137" s="422"/>
      <c r="OHG137" s="422"/>
      <c r="OHH137" s="422"/>
      <c r="OHI137" s="422"/>
      <c r="OHJ137" s="422"/>
      <c r="OHK137" s="422"/>
      <c r="OHL137" s="422"/>
      <c r="OHM137" s="422"/>
      <c r="OHN137" s="422"/>
      <c r="OHO137" s="422"/>
      <c r="OHP137" s="422"/>
      <c r="OHQ137" s="422"/>
      <c r="OHR137" s="422"/>
      <c r="OHS137" s="422"/>
      <c r="OHT137" s="422"/>
      <c r="OHU137" s="422"/>
      <c r="OHV137" s="422"/>
      <c r="OHW137" s="422"/>
      <c r="OHX137" s="422"/>
      <c r="OHY137" s="422"/>
      <c r="OHZ137" s="422"/>
      <c r="OIA137" s="422"/>
      <c r="OIB137" s="422"/>
      <c r="OIC137" s="422"/>
      <c r="OID137" s="422"/>
      <c r="OIE137" s="422"/>
      <c r="OIF137" s="422"/>
      <c r="OIG137" s="422"/>
      <c r="OIH137" s="422"/>
      <c r="OII137" s="422"/>
      <c r="OIJ137" s="422"/>
      <c r="OIK137" s="422"/>
      <c r="OIL137" s="422"/>
      <c r="OIM137" s="422"/>
      <c r="OIN137" s="422"/>
      <c r="OIO137" s="422"/>
      <c r="OIP137" s="422"/>
      <c r="OIQ137" s="422"/>
      <c r="OIR137" s="422"/>
      <c r="OIS137" s="422"/>
      <c r="OIT137" s="422"/>
      <c r="OIU137" s="422"/>
      <c r="OIV137" s="422"/>
      <c r="OIW137" s="422"/>
      <c r="OIX137" s="422"/>
      <c r="OIY137" s="422"/>
      <c r="OIZ137" s="422"/>
      <c r="OJA137" s="422"/>
      <c r="OJB137" s="422"/>
      <c r="OJC137" s="422"/>
      <c r="OJD137" s="422"/>
      <c r="OJE137" s="422"/>
      <c r="OJF137" s="422"/>
      <c r="OJG137" s="422"/>
      <c r="OJH137" s="422"/>
      <c r="OJI137" s="422"/>
      <c r="OJJ137" s="422"/>
      <c r="OJK137" s="422"/>
      <c r="OJL137" s="422"/>
      <c r="OJM137" s="422"/>
      <c r="OJN137" s="422"/>
      <c r="OJO137" s="422"/>
      <c r="OJP137" s="422"/>
      <c r="OJQ137" s="422"/>
      <c r="OJR137" s="422"/>
      <c r="OJS137" s="422"/>
      <c r="OJT137" s="422"/>
      <c r="OJU137" s="422"/>
      <c r="OJV137" s="422"/>
      <c r="OJW137" s="422"/>
      <c r="OJX137" s="422"/>
      <c r="OJY137" s="422"/>
      <c r="OJZ137" s="422"/>
      <c r="OKA137" s="422"/>
      <c r="OKB137" s="422"/>
      <c r="OKC137" s="422"/>
      <c r="OKD137" s="422"/>
      <c r="OKE137" s="422"/>
      <c r="OKF137" s="422"/>
      <c r="OKG137" s="422"/>
      <c r="OKH137" s="422"/>
      <c r="OKI137" s="422"/>
      <c r="OKJ137" s="422"/>
      <c r="OKK137" s="422"/>
      <c r="OKL137" s="422"/>
      <c r="OKM137" s="422"/>
      <c r="OKN137" s="422"/>
      <c r="OKO137" s="422"/>
      <c r="OKP137" s="422"/>
      <c r="OKQ137" s="422"/>
      <c r="OKR137" s="422"/>
      <c r="OKS137" s="422"/>
      <c r="OKT137" s="422"/>
      <c r="OKU137" s="422"/>
      <c r="OKV137" s="422"/>
      <c r="OKW137" s="422"/>
      <c r="OKX137" s="422"/>
      <c r="OKY137" s="422"/>
      <c r="OKZ137" s="422"/>
      <c r="OLA137" s="422"/>
      <c r="OLB137" s="422"/>
      <c r="OLC137" s="422"/>
      <c r="OLD137" s="422"/>
      <c r="OLE137" s="422"/>
      <c r="OLF137" s="422"/>
      <c r="OLG137" s="422"/>
      <c r="OLH137" s="422"/>
      <c r="OLI137" s="422"/>
      <c r="OLJ137" s="422"/>
      <c r="OLK137" s="422"/>
      <c r="OLL137" s="422"/>
      <c r="OLM137" s="422"/>
      <c r="OLN137" s="422"/>
      <c r="OLO137" s="422"/>
      <c r="OLP137" s="422"/>
      <c r="OLQ137" s="422"/>
      <c r="OLR137" s="422"/>
      <c r="OLS137" s="422"/>
      <c r="OLT137" s="422"/>
      <c r="OLU137" s="422"/>
      <c r="OLV137" s="422"/>
      <c r="OLW137" s="422"/>
      <c r="OLX137" s="422"/>
      <c r="OLY137" s="422"/>
      <c r="OLZ137" s="422"/>
      <c r="OMA137" s="422"/>
      <c r="OMB137" s="422"/>
      <c r="OMC137" s="422"/>
      <c r="OMD137" s="422"/>
      <c r="OME137" s="422"/>
      <c r="OMF137" s="422"/>
      <c r="OMG137" s="422"/>
      <c r="OMH137" s="422"/>
      <c r="OMI137" s="422"/>
      <c r="OMJ137" s="422"/>
      <c r="OMK137" s="422"/>
      <c r="OML137" s="422"/>
      <c r="OMM137" s="422"/>
      <c r="OMN137" s="422"/>
      <c r="OMO137" s="422"/>
      <c r="OMP137" s="422"/>
      <c r="OMQ137" s="422"/>
      <c r="OMR137" s="422"/>
      <c r="OMS137" s="422"/>
      <c r="OMT137" s="422"/>
      <c r="OMU137" s="422"/>
      <c r="OMV137" s="422"/>
      <c r="OMW137" s="422"/>
      <c r="OMX137" s="422"/>
      <c r="OMY137" s="422"/>
      <c r="OMZ137" s="422"/>
      <c r="ONA137" s="422"/>
      <c r="ONB137" s="422"/>
      <c r="ONC137" s="422"/>
      <c r="OND137" s="422"/>
      <c r="ONE137" s="422"/>
      <c r="ONF137" s="422"/>
      <c r="ONG137" s="422"/>
      <c r="ONH137" s="422"/>
      <c r="ONI137" s="422"/>
      <c r="ONJ137" s="422"/>
      <c r="ONK137" s="422"/>
      <c r="ONL137" s="422"/>
      <c r="ONM137" s="422"/>
      <c r="ONN137" s="422"/>
      <c r="ONO137" s="422"/>
      <c r="ONP137" s="422"/>
      <c r="ONQ137" s="422"/>
      <c r="ONR137" s="422"/>
      <c r="ONS137" s="422"/>
      <c r="ONT137" s="422"/>
      <c r="ONU137" s="422"/>
      <c r="ONV137" s="422"/>
      <c r="ONW137" s="422"/>
      <c r="ONX137" s="422"/>
      <c r="ONY137" s="422"/>
      <c r="ONZ137" s="422"/>
      <c r="OOA137" s="422"/>
      <c r="OOB137" s="422"/>
      <c r="OOC137" s="422"/>
      <c r="OOD137" s="422"/>
      <c r="OOE137" s="422"/>
      <c r="OOF137" s="422"/>
      <c r="OOG137" s="422"/>
      <c r="OOH137" s="422"/>
      <c r="OOI137" s="422"/>
      <c r="OOJ137" s="422"/>
      <c r="OOK137" s="422"/>
      <c r="OOL137" s="422"/>
      <c r="OOM137" s="422"/>
      <c r="OON137" s="422"/>
      <c r="OOO137" s="422"/>
      <c r="OOP137" s="422"/>
      <c r="OOQ137" s="422"/>
      <c r="OOR137" s="422"/>
      <c r="OOS137" s="422"/>
      <c r="OOT137" s="422"/>
      <c r="OOU137" s="422"/>
      <c r="OOV137" s="422"/>
      <c r="OOW137" s="422"/>
      <c r="OOX137" s="422"/>
      <c r="OOY137" s="422"/>
      <c r="OOZ137" s="422"/>
      <c r="OPA137" s="422"/>
      <c r="OPB137" s="422"/>
      <c r="OPC137" s="422"/>
      <c r="OPD137" s="422"/>
      <c r="OPE137" s="422"/>
      <c r="OPF137" s="422"/>
      <c r="OPG137" s="422"/>
      <c r="OPH137" s="422"/>
      <c r="OPI137" s="422"/>
      <c r="OPJ137" s="422"/>
      <c r="OPK137" s="422"/>
      <c r="OPL137" s="422"/>
      <c r="OPM137" s="422"/>
      <c r="OPN137" s="422"/>
      <c r="OPO137" s="422"/>
      <c r="OPP137" s="422"/>
      <c r="OPQ137" s="422"/>
      <c r="OPR137" s="422"/>
      <c r="OPS137" s="422"/>
      <c r="OPT137" s="422"/>
      <c r="OPU137" s="422"/>
      <c r="OPV137" s="422"/>
      <c r="OPW137" s="422"/>
      <c r="OPX137" s="422"/>
      <c r="OPY137" s="422"/>
      <c r="OPZ137" s="422"/>
      <c r="OQA137" s="422"/>
      <c r="OQB137" s="422"/>
      <c r="OQC137" s="422"/>
      <c r="OQD137" s="422"/>
      <c r="OQE137" s="422"/>
      <c r="OQF137" s="422"/>
      <c r="OQG137" s="422"/>
      <c r="OQH137" s="422"/>
      <c r="OQI137" s="422"/>
      <c r="OQJ137" s="422"/>
      <c r="OQK137" s="422"/>
      <c r="OQL137" s="422"/>
      <c r="OQM137" s="422"/>
      <c r="OQN137" s="422"/>
      <c r="OQO137" s="422"/>
      <c r="OQP137" s="422"/>
      <c r="OQQ137" s="422"/>
      <c r="OQR137" s="422"/>
      <c r="OQS137" s="422"/>
      <c r="OQT137" s="422"/>
      <c r="OQU137" s="422"/>
      <c r="OQV137" s="422"/>
      <c r="OQW137" s="422"/>
      <c r="OQX137" s="422"/>
      <c r="OQY137" s="422"/>
      <c r="OQZ137" s="422"/>
      <c r="ORA137" s="422"/>
      <c r="ORB137" s="422"/>
      <c r="ORC137" s="422"/>
      <c r="ORD137" s="422"/>
      <c r="ORE137" s="422"/>
      <c r="ORF137" s="422"/>
      <c r="ORG137" s="422"/>
      <c r="ORH137" s="422"/>
      <c r="ORI137" s="422"/>
      <c r="ORJ137" s="422"/>
      <c r="ORK137" s="422"/>
      <c r="ORL137" s="422"/>
      <c r="ORM137" s="422"/>
      <c r="ORN137" s="422"/>
      <c r="ORO137" s="422"/>
      <c r="ORP137" s="422"/>
      <c r="ORQ137" s="422"/>
      <c r="ORR137" s="422"/>
      <c r="ORS137" s="422"/>
      <c r="ORT137" s="422"/>
      <c r="ORU137" s="422"/>
      <c r="ORV137" s="422"/>
      <c r="ORW137" s="422"/>
      <c r="ORX137" s="422"/>
      <c r="ORY137" s="422"/>
      <c r="ORZ137" s="422"/>
      <c r="OSA137" s="422"/>
      <c r="OSB137" s="422"/>
      <c r="OSC137" s="422"/>
      <c r="OSD137" s="422"/>
      <c r="OSE137" s="422"/>
      <c r="OSF137" s="422"/>
      <c r="OSG137" s="422"/>
      <c r="OSH137" s="422"/>
      <c r="OSI137" s="422"/>
      <c r="OSJ137" s="422"/>
      <c r="OSK137" s="422"/>
      <c r="OSL137" s="422"/>
      <c r="OSM137" s="422"/>
      <c r="OSN137" s="422"/>
      <c r="OSO137" s="422"/>
      <c r="OSP137" s="422"/>
      <c r="OSQ137" s="422"/>
      <c r="OSR137" s="422"/>
      <c r="OSS137" s="422"/>
      <c r="OST137" s="422"/>
      <c r="OSU137" s="422"/>
      <c r="OSV137" s="422"/>
      <c r="OSW137" s="422"/>
      <c r="OSX137" s="422"/>
      <c r="OSY137" s="422"/>
      <c r="OSZ137" s="422"/>
      <c r="OTA137" s="422"/>
      <c r="OTB137" s="422"/>
      <c r="OTC137" s="422"/>
      <c r="OTD137" s="422"/>
      <c r="OTE137" s="422"/>
      <c r="OTF137" s="422"/>
      <c r="OTG137" s="422"/>
      <c r="OTH137" s="422"/>
      <c r="OTI137" s="422"/>
      <c r="OTJ137" s="422"/>
      <c r="OTK137" s="422"/>
      <c r="OTL137" s="422"/>
      <c r="OTM137" s="422"/>
      <c r="OTN137" s="422"/>
      <c r="OTO137" s="422"/>
      <c r="OTP137" s="422"/>
      <c r="OTQ137" s="422"/>
      <c r="OTR137" s="422"/>
      <c r="OTS137" s="422"/>
      <c r="OTT137" s="422"/>
      <c r="OTU137" s="422"/>
      <c r="OTV137" s="422"/>
      <c r="OTW137" s="422"/>
      <c r="OTX137" s="422"/>
      <c r="OTY137" s="422"/>
      <c r="OTZ137" s="422"/>
      <c r="OUA137" s="422"/>
      <c r="OUB137" s="422"/>
      <c r="OUC137" s="422"/>
      <c r="OUD137" s="422"/>
      <c r="OUE137" s="422"/>
      <c r="OUF137" s="422"/>
      <c r="OUG137" s="422"/>
      <c r="OUH137" s="422"/>
      <c r="OUI137" s="422"/>
      <c r="OUJ137" s="422"/>
      <c r="OUK137" s="422"/>
      <c r="OUL137" s="422"/>
      <c r="OUM137" s="422"/>
      <c r="OUN137" s="422"/>
      <c r="OUO137" s="422"/>
      <c r="OUP137" s="422"/>
      <c r="OUQ137" s="422"/>
      <c r="OUR137" s="422"/>
      <c r="OUS137" s="422"/>
      <c r="OUT137" s="422"/>
      <c r="OUU137" s="422"/>
      <c r="OUV137" s="422"/>
      <c r="OUW137" s="422"/>
      <c r="OUX137" s="422"/>
      <c r="OUY137" s="422"/>
      <c r="OUZ137" s="422"/>
      <c r="OVA137" s="422"/>
      <c r="OVB137" s="422"/>
      <c r="OVC137" s="422"/>
      <c r="OVD137" s="422"/>
      <c r="OVE137" s="422"/>
      <c r="OVF137" s="422"/>
      <c r="OVG137" s="422"/>
      <c r="OVH137" s="422"/>
      <c r="OVI137" s="422"/>
      <c r="OVJ137" s="422"/>
      <c r="OVK137" s="422"/>
      <c r="OVL137" s="422"/>
      <c r="OVM137" s="422"/>
      <c r="OVN137" s="422"/>
      <c r="OVO137" s="422"/>
      <c r="OVP137" s="422"/>
      <c r="OVQ137" s="422"/>
      <c r="OVR137" s="422"/>
      <c r="OVS137" s="422"/>
      <c r="OVT137" s="422"/>
      <c r="OVU137" s="422"/>
      <c r="OVV137" s="422"/>
      <c r="OVW137" s="422"/>
      <c r="OVX137" s="422"/>
      <c r="OVY137" s="422"/>
      <c r="OVZ137" s="422"/>
      <c r="OWA137" s="422"/>
      <c r="OWB137" s="422"/>
      <c r="OWC137" s="422"/>
      <c r="OWD137" s="422"/>
      <c r="OWE137" s="422"/>
      <c r="OWF137" s="422"/>
      <c r="OWG137" s="422"/>
      <c r="OWH137" s="422"/>
      <c r="OWI137" s="422"/>
      <c r="OWJ137" s="422"/>
      <c r="OWK137" s="422"/>
      <c r="OWL137" s="422"/>
      <c r="OWM137" s="422"/>
      <c r="OWN137" s="422"/>
      <c r="OWO137" s="422"/>
      <c r="OWP137" s="422"/>
      <c r="OWQ137" s="422"/>
      <c r="OWR137" s="422"/>
      <c r="OWS137" s="422"/>
      <c r="OWT137" s="422"/>
      <c r="OWU137" s="422"/>
      <c r="OWV137" s="422"/>
      <c r="OWW137" s="422"/>
      <c r="OWX137" s="422"/>
      <c r="OWY137" s="422"/>
      <c r="OWZ137" s="422"/>
      <c r="OXA137" s="422"/>
      <c r="OXB137" s="422"/>
      <c r="OXC137" s="422"/>
      <c r="OXD137" s="422"/>
      <c r="OXE137" s="422"/>
      <c r="OXF137" s="422"/>
      <c r="OXG137" s="422"/>
      <c r="OXH137" s="422"/>
      <c r="OXI137" s="422"/>
      <c r="OXJ137" s="422"/>
      <c r="OXK137" s="422"/>
      <c r="OXL137" s="422"/>
      <c r="OXM137" s="422"/>
      <c r="OXN137" s="422"/>
      <c r="OXO137" s="422"/>
      <c r="OXP137" s="422"/>
      <c r="OXQ137" s="422"/>
      <c r="OXR137" s="422"/>
      <c r="OXS137" s="422"/>
      <c r="OXT137" s="422"/>
      <c r="OXU137" s="422"/>
      <c r="OXV137" s="422"/>
      <c r="OXW137" s="422"/>
      <c r="OXX137" s="422"/>
      <c r="OXY137" s="422"/>
      <c r="OXZ137" s="422"/>
      <c r="OYA137" s="422"/>
      <c r="OYB137" s="422"/>
      <c r="OYC137" s="422"/>
      <c r="OYD137" s="422"/>
      <c r="OYE137" s="422"/>
      <c r="OYF137" s="422"/>
      <c r="OYG137" s="422"/>
      <c r="OYH137" s="422"/>
      <c r="OYI137" s="422"/>
      <c r="OYJ137" s="422"/>
      <c r="OYK137" s="422"/>
      <c r="OYL137" s="422"/>
      <c r="OYM137" s="422"/>
      <c r="OYN137" s="422"/>
      <c r="OYO137" s="422"/>
      <c r="OYP137" s="422"/>
      <c r="OYQ137" s="422"/>
      <c r="OYR137" s="422"/>
      <c r="OYS137" s="422"/>
      <c r="OYT137" s="422"/>
      <c r="OYU137" s="422"/>
      <c r="OYV137" s="422"/>
      <c r="OYW137" s="422"/>
      <c r="OYX137" s="422"/>
      <c r="OYY137" s="422"/>
      <c r="OYZ137" s="422"/>
      <c r="OZA137" s="422"/>
      <c r="OZB137" s="422"/>
      <c r="OZC137" s="422"/>
      <c r="OZD137" s="422"/>
      <c r="OZE137" s="422"/>
      <c r="OZF137" s="422"/>
      <c r="OZG137" s="422"/>
      <c r="OZH137" s="422"/>
      <c r="OZI137" s="422"/>
      <c r="OZJ137" s="422"/>
      <c r="OZK137" s="422"/>
      <c r="OZL137" s="422"/>
      <c r="OZM137" s="422"/>
      <c r="OZN137" s="422"/>
      <c r="OZO137" s="422"/>
      <c r="OZP137" s="422"/>
      <c r="OZQ137" s="422"/>
      <c r="OZR137" s="422"/>
      <c r="OZS137" s="422"/>
      <c r="OZT137" s="422"/>
      <c r="OZU137" s="422"/>
      <c r="OZV137" s="422"/>
      <c r="OZW137" s="422"/>
      <c r="OZX137" s="422"/>
      <c r="OZY137" s="422"/>
      <c r="OZZ137" s="422"/>
      <c r="PAA137" s="422"/>
      <c r="PAB137" s="422"/>
      <c r="PAC137" s="422"/>
      <c r="PAD137" s="422"/>
      <c r="PAE137" s="422"/>
      <c r="PAF137" s="422"/>
      <c r="PAG137" s="422"/>
      <c r="PAH137" s="422"/>
      <c r="PAI137" s="422"/>
      <c r="PAJ137" s="422"/>
      <c r="PAK137" s="422"/>
      <c r="PAL137" s="422"/>
      <c r="PAM137" s="422"/>
      <c r="PAN137" s="422"/>
      <c r="PAO137" s="422"/>
      <c r="PAP137" s="422"/>
      <c r="PAQ137" s="422"/>
      <c r="PAR137" s="422"/>
      <c r="PAS137" s="422"/>
      <c r="PAT137" s="422"/>
      <c r="PAU137" s="422"/>
      <c r="PAV137" s="422"/>
      <c r="PAW137" s="422"/>
      <c r="PAX137" s="422"/>
      <c r="PAY137" s="422"/>
      <c r="PAZ137" s="422"/>
      <c r="PBA137" s="422"/>
      <c r="PBB137" s="422"/>
      <c r="PBC137" s="422"/>
      <c r="PBD137" s="422"/>
      <c r="PBE137" s="422"/>
      <c r="PBF137" s="422"/>
      <c r="PBG137" s="422"/>
      <c r="PBH137" s="422"/>
      <c r="PBI137" s="422"/>
      <c r="PBJ137" s="422"/>
      <c r="PBK137" s="422"/>
      <c r="PBL137" s="422"/>
      <c r="PBM137" s="422"/>
      <c r="PBN137" s="422"/>
      <c r="PBO137" s="422"/>
      <c r="PBP137" s="422"/>
      <c r="PBQ137" s="422"/>
      <c r="PBR137" s="422"/>
      <c r="PBS137" s="422"/>
      <c r="PBT137" s="422"/>
      <c r="PBU137" s="422"/>
      <c r="PBV137" s="422"/>
      <c r="PBW137" s="422"/>
      <c r="PBX137" s="422"/>
      <c r="PBY137" s="422"/>
      <c r="PBZ137" s="422"/>
      <c r="PCA137" s="422"/>
      <c r="PCB137" s="422"/>
      <c r="PCC137" s="422"/>
      <c r="PCD137" s="422"/>
      <c r="PCE137" s="422"/>
      <c r="PCF137" s="422"/>
      <c r="PCG137" s="422"/>
      <c r="PCH137" s="422"/>
      <c r="PCI137" s="422"/>
      <c r="PCJ137" s="422"/>
      <c r="PCK137" s="422"/>
      <c r="PCL137" s="422"/>
      <c r="PCM137" s="422"/>
      <c r="PCN137" s="422"/>
      <c r="PCO137" s="422"/>
      <c r="PCP137" s="422"/>
      <c r="PCQ137" s="422"/>
      <c r="PCR137" s="422"/>
      <c r="PCS137" s="422"/>
      <c r="PCT137" s="422"/>
      <c r="PCU137" s="422"/>
      <c r="PCV137" s="422"/>
      <c r="PCW137" s="422"/>
      <c r="PCX137" s="422"/>
      <c r="PCY137" s="422"/>
      <c r="PCZ137" s="422"/>
      <c r="PDA137" s="422"/>
      <c r="PDB137" s="422"/>
      <c r="PDC137" s="422"/>
      <c r="PDD137" s="422"/>
      <c r="PDE137" s="422"/>
      <c r="PDF137" s="422"/>
      <c r="PDG137" s="422"/>
      <c r="PDH137" s="422"/>
      <c r="PDI137" s="422"/>
      <c r="PDJ137" s="422"/>
      <c r="PDK137" s="422"/>
      <c r="PDL137" s="422"/>
      <c r="PDM137" s="422"/>
      <c r="PDN137" s="422"/>
      <c r="PDO137" s="422"/>
      <c r="PDP137" s="422"/>
      <c r="PDQ137" s="422"/>
      <c r="PDR137" s="422"/>
      <c r="PDS137" s="422"/>
      <c r="PDT137" s="422"/>
      <c r="PDU137" s="422"/>
      <c r="PDV137" s="422"/>
      <c r="PDW137" s="422"/>
      <c r="PDX137" s="422"/>
      <c r="PDY137" s="422"/>
      <c r="PDZ137" s="422"/>
      <c r="PEA137" s="422"/>
      <c r="PEB137" s="422"/>
      <c r="PEC137" s="422"/>
      <c r="PED137" s="422"/>
      <c r="PEE137" s="422"/>
      <c r="PEF137" s="422"/>
      <c r="PEG137" s="422"/>
      <c r="PEH137" s="422"/>
      <c r="PEI137" s="422"/>
      <c r="PEJ137" s="422"/>
      <c r="PEK137" s="422"/>
      <c r="PEL137" s="422"/>
      <c r="PEM137" s="422"/>
      <c r="PEN137" s="422"/>
      <c r="PEO137" s="422"/>
      <c r="PEP137" s="422"/>
      <c r="PEQ137" s="422"/>
      <c r="PER137" s="422"/>
      <c r="PES137" s="422"/>
      <c r="PET137" s="422"/>
      <c r="PEU137" s="422"/>
      <c r="PEV137" s="422"/>
      <c r="PEW137" s="422"/>
      <c r="PEX137" s="422"/>
      <c r="PEY137" s="422"/>
      <c r="PEZ137" s="422"/>
      <c r="PFA137" s="422"/>
      <c r="PFB137" s="422"/>
      <c r="PFC137" s="422"/>
      <c r="PFD137" s="422"/>
      <c r="PFE137" s="422"/>
      <c r="PFF137" s="422"/>
      <c r="PFG137" s="422"/>
      <c r="PFH137" s="422"/>
      <c r="PFI137" s="422"/>
      <c r="PFJ137" s="422"/>
      <c r="PFK137" s="422"/>
      <c r="PFL137" s="422"/>
      <c r="PFM137" s="422"/>
      <c r="PFN137" s="422"/>
      <c r="PFO137" s="422"/>
      <c r="PFP137" s="422"/>
      <c r="PFQ137" s="422"/>
      <c r="PFR137" s="422"/>
      <c r="PFS137" s="422"/>
      <c r="PFT137" s="422"/>
      <c r="PFU137" s="422"/>
      <c r="PFV137" s="422"/>
      <c r="PFW137" s="422"/>
      <c r="PFX137" s="422"/>
      <c r="PFY137" s="422"/>
      <c r="PFZ137" s="422"/>
      <c r="PGA137" s="422"/>
      <c r="PGB137" s="422"/>
      <c r="PGC137" s="422"/>
      <c r="PGD137" s="422"/>
      <c r="PGE137" s="422"/>
      <c r="PGF137" s="422"/>
      <c r="PGG137" s="422"/>
      <c r="PGH137" s="422"/>
      <c r="PGI137" s="422"/>
      <c r="PGJ137" s="422"/>
      <c r="PGK137" s="422"/>
      <c r="PGL137" s="422"/>
      <c r="PGM137" s="422"/>
      <c r="PGN137" s="422"/>
      <c r="PGO137" s="422"/>
      <c r="PGP137" s="422"/>
      <c r="PGQ137" s="422"/>
      <c r="PGR137" s="422"/>
      <c r="PGS137" s="422"/>
      <c r="PGT137" s="422"/>
      <c r="PGU137" s="422"/>
      <c r="PGV137" s="422"/>
      <c r="PGW137" s="422"/>
      <c r="PGX137" s="422"/>
      <c r="PGY137" s="422"/>
      <c r="PGZ137" s="422"/>
      <c r="PHA137" s="422"/>
      <c r="PHB137" s="422"/>
      <c r="PHC137" s="422"/>
      <c r="PHD137" s="422"/>
      <c r="PHE137" s="422"/>
      <c r="PHF137" s="422"/>
      <c r="PHG137" s="422"/>
      <c r="PHH137" s="422"/>
      <c r="PHI137" s="422"/>
      <c r="PHJ137" s="422"/>
      <c r="PHK137" s="422"/>
      <c r="PHL137" s="422"/>
      <c r="PHM137" s="422"/>
      <c r="PHN137" s="422"/>
      <c r="PHO137" s="422"/>
      <c r="PHP137" s="422"/>
      <c r="PHQ137" s="422"/>
      <c r="PHR137" s="422"/>
      <c r="PHS137" s="422"/>
      <c r="PHT137" s="422"/>
      <c r="PHU137" s="422"/>
      <c r="PHV137" s="422"/>
      <c r="PHW137" s="422"/>
      <c r="PHX137" s="422"/>
      <c r="PHY137" s="422"/>
      <c r="PHZ137" s="422"/>
      <c r="PIA137" s="422"/>
      <c r="PIB137" s="422"/>
      <c r="PIC137" s="422"/>
      <c r="PID137" s="422"/>
      <c r="PIE137" s="422"/>
      <c r="PIF137" s="422"/>
      <c r="PIG137" s="422"/>
      <c r="PIH137" s="422"/>
      <c r="PII137" s="422"/>
      <c r="PIJ137" s="422"/>
      <c r="PIK137" s="422"/>
      <c r="PIL137" s="422"/>
      <c r="PIM137" s="422"/>
      <c r="PIN137" s="422"/>
      <c r="PIO137" s="422"/>
      <c r="PIP137" s="422"/>
      <c r="PIQ137" s="422"/>
      <c r="PIR137" s="422"/>
      <c r="PIS137" s="422"/>
      <c r="PIT137" s="422"/>
      <c r="PIU137" s="422"/>
      <c r="PIV137" s="422"/>
      <c r="PIW137" s="422"/>
      <c r="PIX137" s="422"/>
      <c r="PIY137" s="422"/>
      <c r="PIZ137" s="422"/>
      <c r="PJA137" s="422"/>
      <c r="PJB137" s="422"/>
      <c r="PJC137" s="422"/>
      <c r="PJD137" s="422"/>
      <c r="PJE137" s="422"/>
      <c r="PJF137" s="422"/>
      <c r="PJG137" s="422"/>
      <c r="PJH137" s="422"/>
      <c r="PJI137" s="422"/>
      <c r="PJJ137" s="422"/>
      <c r="PJK137" s="422"/>
      <c r="PJL137" s="422"/>
      <c r="PJM137" s="422"/>
      <c r="PJN137" s="422"/>
      <c r="PJO137" s="422"/>
      <c r="PJP137" s="422"/>
      <c r="PJQ137" s="422"/>
      <c r="PJR137" s="422"/>
      <c r="PJS137" s="422"/>
      <c r="PJT137" s="422"/>
      <c r="PJU137" s="422"/>
      <c r="PJV137" s="422"/>
      <c r="PJW137" s="422"/>
      <c r="PJX137" s="422"/>
      <c r="PJY137" s="422"/>
      <c r="PJZ137" s="422"/>
      <c r="PKA137" s="422"/>
      <c r="PKB137" s="422"/>
      <c r="PKC137" s="422"/>
      <c r="PKD137" s="422"/>
      <c r="PKE137" s="422"/>
      <c r="PKF137" s="422"/>
      <c r="PKG137" s="422"/>
      <c r="PKH137" s="422"/>
      <c r="PKI137" s="422"/>
      <c r="PKJ137" s="422"/>
      <c r="PKK137" s="422"/>
      <c r="PKL137" s="422"/>
      <c r="PKM137" s="422"/>
      <c r="PKN137" s="422"/>
      <c r="PKO137" s="422"/>
      <c r="PKP137" s="422"/>
      <c r="PKQ137" s="422"/>
      <c r="PKR137" s="422"/>
      <c r="PKS137" s="422"/>
      <c r="PKT137" s="422"/>
      <c r="PKU137" s="422"/>
      <c r="PKV137" s="422"/>
      <c r="PKW137" s="422"/>
      <c r="PKX137" s="422"/>
      <c r="PKY137" s="422"/>
      <c r="PKZ137" s="422"/>
      <c r="PLA137" s="422"/>
      <c r="PLB137" s="422"/>
      <c r="PLC137" s="422"/>
      <c r="PLD137" s="422"/>
      <c r="PLE137" s="422"/>
      <c r="PLF137" s="422"/>
      <c r="PLG137" s="422"/>
      <c r="PLH137" s="422"/>
      <c r="PLI137" s="422"/>
      <c r="PLJ137" s="422"/>
      <c r="PLK137" s="422"/>
      <c r="PLL137" s="422"/>
      <c r="PLM137" s="422"/>
      <c r="PLN137" s="422"/>
      <c r="PLO137" s="422"/>
      <c r="PLP137" s="422"/>
      <c r="PLQ137" s="422"/>
      <c r="PLR137" s="422"/>
      <c r="PLS137" s="422"/>
      <c r="PLT137" s="422"/>
      <c r="PLU137" s="422"/>
      <c r="PLV137" s="422"/>
      <c r="PLW137" s="422"/>
      <c r="PLX137" s="422"/>
      <c r="PLY137" s="422"/>
      <c r="PLZ137" s="422"/>
      <c r="PMA137" s="422"/>
      <c r="PMB137" s="422"/>
      <c r="PMC137" s="422"/>
      <c r="PMD137" s="422"/>
      <c r="PME137" s="422"/>
      <c r="PMF137" s="422"/>
      <c r="PMG137" s="422"/>
      <c r="PMH137" s="422"/>
      <c r="PMI137" s="422"/>
      <c r="PMJ137" s="422"/>
      <c r="PMK137" s="422"/>
      <c r="PML137" s="422"/>
      <c r="PMM137" s="422"/>
      <c r="PMN137" s="422"/>
      <c r="PMO137" s="422"/>
      <c r="PMP137" s="422"/>
      <c r="PMQ137" s="422"/>
      <c r="PMR137" s="422"/>
      <c r="PMS137" s="422"/>
      <c r="PMT137" s="422"/>
      <c r="PMU137" s="422"/>
      <c r="PMV137" s="422"/>
      <c r="PMW137" s="422"/>
      <c r="PMX137" s="422"/>
      <c r="PMY137" s="422"/>
      <c r="PMZ137" s="422"/>
      <c r="PNA137" s="422"/>
      <c r="PNB137" s="422"/>
      <c r="PNC137" s="422"/>
      <c r="PND137" s="422"/>
      <c r="PNE137" s="422"/>
      <c r="PNF137" s="422"/>
      <c r="PNG137" s="422"/>
      <c r="PNH137" s="422"/>
      <c r="PNI137" s="422"/>
      <c r="PNJ137" s="422"/>
      <c r="PNK137" s="422"/>
      <c r="PNL137" s="422"/>
      <c r="PNM137" s="422"/>
      <c r="PNN137" s="422"/>
      <c r="PNO137" s="422"/>
      <c r="PNP137" s="422"/>
      <c r="PNQ137" s="422"/>
      <c r="PNR137" s="422"/>
      <c r="PNS137" s="422"/>
      <c r="PNT137" s="422"/>
      <c r="PNU137" s="422"/>
      <c r="PNV137" s="422"/>
      <c r="PNW137" s="422"/>
      <c r="PNX137" s="422"/>
      <c r="PNY137" s="422"/>
      <c r="PNZ137" s="422"/>
      <c r="POA137" s="422"/>
      <c r="POB137" s="422"/>
      <c r="POC137" s="422"/>
      <c r="POD137" s="422"/>
      <c r="POE137" s="422"/>
      <c r="POF137" s="422"/>
      <c r="POG137" s="422"/>
      <c r="POH137" s="422"/>
      <c r="POI137" s="422"/>
      <c r="POJ137" s="422"/>
      <c r="POK137" s="422"/>
      <c r="POL137" s="422"/>
      <c r="POM137" s="422"/>
      <c r="PON137" s="422"/>
      <c r="POO137" s="422"/>
      <c r="POP137" s="422"/>
      <c r="POQ137" s="422"/>
      <c r="POR137" s="422"/>
      <c r="POS137" s="422"/>
      <c r="POT137" s="422"/>
      <c r="POU137" s="422"/>
      <c r="POV137" s="422"/>
      <c r="POW137" s="422"/>
      <c r="POX137" s="422"/>
      <c r="POY137" s="422"/>
      <c r="POZ137" s="422"/>
      <c r="PPA137" s="422"/>
      <c r="PPB137" s="422"/>
      <c r="PPC137" s="422"/>
      <c r="PPD137" s="422"/>
      <c r="PPE137" s="422"/>
      <c r="PPF137" s="422"/>
      <c r="PPG137" s="422"/>
      <c r="PPH137" s="422"/>
      <c r="PPI137" s="422"/>
      <c r="PPJ137" s="422"/>
      <c r="PPK137" s="422"/>
      <c r="PPL137" s="422"/>
      <c r="PPM137" s="422"/>
      <c r="PPN137" s="422"/>
      <c r="PPO137" s="422"/>
      <c r="PPP137" s="422"/>
      <c r="PPQ137" s="422"/>
      <c r="PPR137" s="422"/>
      <c r="PPS137" s="422"/>
      <c r="PPT137" s="422"/>
      <c r="PPU137" s="422"/>
      <c r="PPV137" s="422"/>
      <c r="PPW137" s="422"/>
      <c r="PPX137" s="422"/>
      <c r="PPY137" s="422"/>
      <c r="PPZ137" s="422"/>
      <c r="PQA137" s="422"/>
      <c r="PQB137" s="422"/>
      <c r="PQC137" s="422"/>
      <c r="PQD137" s="422"/>
      <c r="PQE137" s="422"/>
      <c r="PQF137" s="422"/>
      <c r="PQG137" s="422"/>
      <c r="PQH137" s="422"/>
      <c r="PQI137" s="422"/>
      <c r="PQJ137" s="422"/>
      <c r="PQK137" s="422"/>
      <c r="PQL137" s="422"/>
      <c r="PQM137" s="422"/>
      <c r="PQN137" s="422"/>
      <c r="PQO137" s="422"/>
      <c r="PQP137" s="422"/>
      <c r="PQQ137" s="422"/>
      <c r="PQR137" s="422"/>
      <c r="PQS137" s="422"/>
      <c r="PQT137" s="422"/>
      <c r="PQU137" s="422"/>
      <c r="PQV137" s="422"/>
      <c r="PQW137" s="422"/>
      <c r="PQX137" s="422"/>
      <c r="PQY137" s="422"/>
      <c r="PQZ137" s="422"/>
      <c r="PRA137" s="422"/>
      <c r="PRB137" s="422"/>
      <c r="PRC137" s="422"/>
      <c r="PRD137" s="422"/>
      <c r="PRE137" s="422"/>
      <c r="PRF137" s="422"/>
      <c r="PRG137" s="422"/>
      <c r="PRH137" s="422"/>
      <c r="PRI137" s="422"/>
      <c r="PRJ137" s="422"/>
      <c r="PRK137" s="422"/>
      <c r="PRL137" s="422"/>
      <c r="PRM137" s="422"/>
      <c r="PRN137" s="422"/>
      <c r="PRO137" s="422"/>
      <c r="PRP137" s="422"/>
      <c r="PRQ137" s="422"/>
      <c r="PRR137" s="422"/>
      <c r="PRS137" s="422"/>
      <c r="PRT137" s="422"/>
      <c r="PRU137" s="422"/>
      <c r="PRV137" s="422"/>
      <c r="PRW137" s="422"/>
      <c r="PRX137" s="422"/>
      <c r="PRY137" s="422"/>
      <c r="PRZ137" s="422"/>
      <c r="PSA137" s="422"/>
      <c r="PSB137" s="422"/>
      <c r="PSC137" s="422"/>
      <c r="PSD137" s="422"/>
      <c r="PSE137" s="422"/>
      <c r="PSF137" s="422"/>
      <c r="PSG137" s="422"/>
      <c r="PSH137" s="422"/>
      <c r="PSI137" s="422"/>
      <c r="PSJ137" s="422"/>
      <c r="PSK137" s="422"/>
      <c r="PSL137" s="422"/>
      <c r="PSM137" s="422"/>
      <c r="PSN137" s="422"/>
      <c r="PSO137" s="422"/>
      <c r="PSP137" s="422"/>
      <c r="PSQ137" s="422"/>
      <c r="PSR137" s="422"/>
      <c r="PSS137" s="422"/>
      <c r="PST137" s="422"/>
      <c r="PSU137" s="422"/>
      <c r="PSV137" s="422"/>
      <c r="PSW137" s="422"/>
      <c r="PSX137" s="422"/>
      <c r="PSY137" s="422"/>
      <c r="PSZ137" s="422"/>
      <c r="PTA137" s="422"/>
      <c r="PTB137" s="422"/>
      <c r="PTC137" s="422"/>
      <c r="PTD137" s="422"/>
      <c r="PTE137" s="422"/>
      <c r="PTF137" s="422"/>
      <c r="PTG137" s="422"/>
      <c r="PTH137" s="422"/>
      <c r="PTI137" s="422"/>
      <c r="PTJ137" s="422"/>
      <c r="PTK137" s="422"/>
      <c r="PTL137" s="422"/>
      <c r="PTM137" s="422"/>
      <c r="PTN137" s="422"/>
      <c r="PTO137" s="422"/>
      <c r="PTP137" s="422"/>
      <c r="PTQ137" s="422"/>
      <c r="PTR137" s="422"/>
      <c r="PTS137" s="422"/>
      <c r="PTT137" s="422"/>
      <c r="PTU137" s="422"/>
      <c r="PTV137" s="422"/>
      <c r="PTW137" s="422"/>
      <c r="PTX137" s="422"/>
      <c r="PTY137" s="422"/>
      <c r="PTZ137" s="422"/>
      <c r="PUA137" s="422"/>
      <c r="PUB137" s="422"/>
      <c r="PUC137" s="422"/>
      <c r="PUD137" s="422"/>
      <c r="PUE137" s="422"/>
      <c r="PUF137" s="422"/>
      <c r="PUG137" s="422"/>
      <c r="PUH137" s="422"/>
      <c r="PUI137" s="422"/>
      <c r="PUJ137" s="422"/>
      <c r="PUK137" s="422"/>
      <c r="PUL137" s="422"/>
      <c r="PUM137" s="422"/>
      <c r="PUN137" s="422"/>
      <c r="PUO137" s="422"/>
      <c r="PUP137" s="422"/>
      <c r="PUQ137" s="422"/>
      <c r="PUR137" s="422"/>
      <c r="PUS137" s="422"/>
      <c r="PUT137" s="422"/>
      <c r="PUU137" s="422"/>
      <c r="PUV137" s="422"/>
      <c r="PUW137" s="422"/>
      <c r="PUX137" s="422"/>
      <c r="PUY137" s="422"/>
      <c r="PUZ137" s="422"/>
      <c r="PVA137" s="422"/>
      <c r="PVB137" s="422"/>
      <c r="PVC137" s="422"/>
      <c r="PVD137" s="422"/>
      <c r="PVE137" s="422"/>
      <c r="PVF137" s="422"/>
      <c r="PVG137" s="422"/>
      <c r="PVH137" s="422"/>
      <c r="PVI137" s="422"/>
      <c r="PVJ137" s="422"/>
      <c r="PVK137" s="422"/>
      <c r="PVL137" s="422"/>
      <c r="PVM137" s="422"/>
      <c r="PVN137" s="422"/>
      <c r="PVO137" s="422"/>
      <c r="PVP137" s="422"/>
      <c r="PVQ137" s="422"/>
      <c r="PVR137" s="422"/>
      <c r="PVS137" s="422"/>
      <c r="PVT137" s="422"/>
      <c r="PVU137" s="422"/>
      <c r="PVV137" s="422"/>
      <c r="PVW137" s="422"/>
      <c r="PVX137" s="422"/>
      <c r="PVY137" s="422"/>
      <c r="PVZ137" s="422"/>
      <c r="PWA137" s="422"/>
      <c r="PWB137" s="422"/>
      <c r="PWC137" s="422"/>
      <c r="PWD137" s="422"/>
      <c r="PWE137" s="422"/>
      <c r="PWF137" s="422"/>
      <c r="PWG137" s="422"/>
      <c r="PWH137" s="422"/>
      <c r="PWI137" s="422"/>
      <c r="PWJ137" s="422"/>
      <c r="PWK137" s="422"/>
      <c r="PWL137" s="422"/>
      <c r="PWM137" s="422"/>
      <c r="PWN137" s="422"/>
      <c r="PWO137" s="422"/>
      <c r="PWP137" s="422"/>
      <c r="PWQ137" s="422"/>
      <c r="PWR137" s="422"/>
      <c r="PWS137" s="422"/>
      <c r="PWT137" s="422"/>
      <c r="PWU137" s="422"/>
      <c r="PWV137" s="422"/>
      <c r="PWW137" s="422"/>
      <c r="PWX137" s="422"/>
      <c r="PWY137" s="422"/>
      <c r="PWZ137" s="422"/>
      <c r="PXA137" s="422"/>
      <c r="PXB137" s="422"/>
      <c r="PXC137" s="422"/>
      <c r="PXD137" s="422"/>
      <c r="PXE137" s="422"/>
      <c r="PXF137" s="422"/>
      <c r="PXG137" s="422"/>
      <c r="PXH137" s="422"/>
      <c r="PXI137" s="422"/>
      <c r="PXJ137" s="422"/>
      <c r="PXK137" s="422"/>
      <c r="PXL137" s="422"/>
      <c r="PXM137" s="422"/>
      <c r="PXN137" s="422"/>
      <c r="PXO137" s="422"/>
      <c r="PXP137" s="422"/>
      <c r="PXQ137" s="422"/>
      <c r="PXR137" s="422"/>
      <c r="PXS137" s="422"/>
      <c r="PXT137" s="422"/>
      <c r="PXU137" s="422"/>
      <c r="PXV137" s="422"/>
      <c r="PXW137" s="422"/>
      <c r="PXX137" s="422"/>
      <c r="PXY137" s="422"/>
      <c r="PXZ137" s="422"/>
      <c r="PYA137" s="422"/>
      <c r="PYB137" s="422"/>
      <c r="PYC137" s="422"/>
      <c r="PYD137" s="422"/>
      <c r="PYE137" s="422"/>
      <c r="PYF137" s="422"/>
      <c r="PYG137" s="422"/>
      <c r="PYH137" s="422"/>
      <c r="PYI137" s="422"/>
      <c r="PYJ137" s="422"/>
      <c r="PYK137" s="422"/>
      <c r="PYL137" s="422"/>
      <c r="PYM137" s="422"/>
      <c r="PYN137" s="422"/>
      <c r="PYO137" s="422"/>
      <c r="PYP137" s="422"/>
      <c r="PYQ137" s="422"/>
      <c r="PYR137" s="422"/>
      <c r="PYS137" s="422"/>
      <c r="PYT137" s="422"/>
      <c r="PYU137" s="422"/>
      <c r="PYV137" s="422"/>
      <c r="PYW137" s="422"/>
      <c r="PYX137" s="422"/>
      <c r="PYY137" s="422"/>
      <c r="PYZ137" s="422"/>
      <c r="PZA137" s="422"/>
      <c r="PZB137" s="422"/>
      <c r="PZC137" s="422"/>
      <c r="PZD137" s="422"/>
      <c r="PZE137" s="422"/>
      <c r="PZF137" s="422"/>
      <c r="PZG137" s="422"/>
      <c r="PZH137" s="422"/>
      <c r="PZI137" s="422"/>
      <c r="PZJ137" s="422"/>
      <c r="PZK137" s="422"/>
      <c r="PZL137" s="422"/>
      <c r="PZM137" s="422"/>
      <c r="PZN137" s="422"/>
      <c r="PZO137" s="422"/>
      <c r="PZP137" s="422"/>
      <c r="PZQ137" s="422"/>
      <c r="PZR137" s="422"/>
      <c r="PZS137" s="422"/>
      <c r="PZT137" s="422"/>
      <c r="PZU137" s="422"/>
      <c r="PZV137" s="422"/>
      <c r="PZW137" s="422"/>
      <c r="PZX137" s="422"/>
      <c r="PZY137" s="422"/>
      <c r="PZZ137" s="422"/>
      <c r="QAA137" s="422"/>
      <c r="QAB137" s="422"/>
      <c r="QAC137" s="422"/>
      <c r="QAD137" s="422"/>
      <c r="QAE137" s="422"/>
      <c r="QAF137" s="422"/>
      <c r="QAG137" s="422"/>
      <c r="QAH137" s="422"/>
      <c r="QAI137" s="422"/>
      <c r="QAJ137" s="422"/>
      <c r="QAK137" s="422"/>
      <c r="QAL137" s="422"/>
      <c r="QAM137" s="422"/>
      <c r="QAN137" s="422"/>
      <c r="QAO137" s="422"/>
      <c r="QAP137" s="422"/>
      <c r="QAQ137" s="422"/>
      <c r="QAR137" s="422"/>
      <c r="QAS137" s="422"/>
      <c r="QAT137" s="422"/>
      <c r="QAU137" s="422"/>
      <c r="QAV137" s="422"/>
      <c r="QAW137" s="422"/>
      <c r="QAX137" s="422"/>
      <c r="QAY137" s="422"/>
      <c r="QAZ137" s="422"/>
      <c r="QBA137" s="422"/>
      <c r="QBB137" s="422"/>
      <c r="QBC137" s="422"/>
      <c r="QBD137" s="422"/>
      <c r="QBE137" s="422"/>
      <c r="QBF137" s="422"/>
      <c r="QBG137" s="422"/>
      <c r="QBH137" s="422"/>
      <c r="QBI137" s="422"/>
      <c r="QBJ137" s="422"/>
      <c r="QBK137" s="422"/>
      <c r="QBL137" s="422"/>
      <c r="QBM137" s="422"/>
      <c r="QBN137" s="422"/>
      <c r="QBO137" s="422"/>
      <c r="QBP137" s="422"/>
      <c r="QBQ137" s="422"/>
      <c r="QBR137" s="422"/>
      <c r="QBS137" s="422"/>
      <c r="QBT137" s="422"/>
      <c r="QBU137" s="422"/>
      <c r="QBV137" s="422"/>
      <c r="QBW137" s="422"/>
      <c r="QBX137" s="422"/>
      <c r="QBY137" s="422"/>
      <c r="QBZ137" s="422"/>
      <c r="QCA137" s="422"/>
      <c r="QCB137" s="422"/>
      <c r="QCC137" s="422"/>
      <c r="QCD137" s="422"/>
      <c r="QCE137" s="422"/>
      <c r="QCF137" s="422"/>
      <c r="QCG137" s="422"/>
      <c r="QCH137" s="422"/>
      <c r="QCI137" s="422"/>
      <c r="QCJ137" s="422"/>
      <c r="QCK137" s="422"/>
      <c r="QCL137" s="422"/>
      <c r="QCM137" s="422"/>
      <c r="QCN137" s="422"/>
      <c r="QCO137" s="422"/>
      <c r="QCP137" s="422"/>
      <c r="QCQ137" s="422"/>
      <c r="QCR137" s="422"/>
      <c r="QCS137" s="422"/>
      <c r="QCT137" s="422"/>
      <c r="QCU137" s="422"/>
      <c r="QCV137" s="422"/>
      <c r="QCW137" s="422"/>
      <c r="QCX137" s="422"/>
      <c r="QCY137" s="422"/>
      <c r="QCZ137" s="422"/>
      <c r="QDA137" s="422"/>
      <c r="QDB137" s="422"/>
      <c r="QDC137" s="422"/>
      <c r="QDD137" s="422"/>
      <c r="QDE137" s="422"/>
      <c r="QDF137" s="422"/>
      <c r="QDG137" s="422"/>
      <c r="QDH137" s="422"/>
      <c r="QDI137" s="422"/>
      <c r="QDJ137" s="422"/>
      <c r="QDK137" s="422"/>
      <c r="QDL137" s="422"/>
      <c r="QDM137" s="422"/>
      <c r="QDN137" s="422"/>
      <c r="QDO137" s="422"/>
      <c r="QDP137" s="422"/>
      <c r="QDQ137" s="422"/>
      <c r="QDR137" s="422"/>
      <c r="QDS137" s="422"/>
      <c r="QDT137" s="422"/>
      <c r="QDU137" s="422"/>
      <c r="QDV137" s="422"/>
      <c r="QDW137" s="422"/>
      <c r="QDX137" s="422"/>
      <c r="QDY137" s="422"/>
      <c r="QDZ137" s="422"/>
      <c r="QEA137" s="422"/>
      <c r="QEB137" s="422"/>
      <c r="QEC137" s="422"/>
      <c r="QED137" s="422"/>
      <c r="QEE137" s="422"/>
      <c r="QEF137" s="422"/>
      <c r="QEG137" s="422"/>
      <c r="QEH137" s="422"/>
      <c r="QEI137" s="422"/>
      <c r="QEJ137" s="422"/>
      <c r="QEK137" s="422"/>
      <c r="QEL137" s="422"/>
      <c r="QEM137" s="422"/>
      <c r="QEN137" s="422"/>
      <c r="QEO137" s="422"/>
      <c r="QEP137" s="422"/>
      <c r="QEQ137" s="422"/>
      <c r="QER137" s="422"/>
      <c r="QES137" s="422"/>
      <c r="QET137" s="422"/>
      <c r="QEU137" s="422"/>
      <c r="QEV137" s="422"/>
      <c r="QEW137" s="422"/>
      <c r="QEX137" s="422"/>
      <c r="QEY137" s="422"/>
      <c r="QEZ137" s="422"/>
      <c r="QFA137" s="422"/>
      <c r="QFB137" s="422"/>
      <c r="QFC137" s="422"/>
      <c r="QFD137" s="422"/>
      <c r="QFE137" s="422"/>
      <c r="QFF137" s="422"/>
      <c r="QFG137" s="422"/>
      <c r="QFH137" s="422"/>
      <c r="QFI137" s="422"/>
      <c r="QFJ137" s="422"/>
      <c r="QFK137" s="422"/>
      <c r="QFL137" s="422"/>
      <c r="QFM137" s="422"/>
      <c r="QFN137" s="422"/>
      <c r="QFO137" s="422"/>
      <c r="QFP137" s="422"/>
      <c r="QFQ137" s="422"/>
      <c r="QFR137" s="422"/>
      <c r="QFS137" s="422"/>
      <c r="QFT137" s="422"/>
      <c r="QFU137" s="422"/>
      <c r="QFV137" s="422"/>
      <c r="QFW137" s="422"/>
      <c r="QFX137" s="422"/>
      <c r="QFY137" s="422"/>
      <c r="QFZ137" s="422"/>
      <c r="QGA137" s="422"/>
      <c r="QGB137" s="422"/>
      <c r="QGC137" s="422"/>
      <c r="QGD137" s="422"/>
      <c r="QGE137" s="422"/>
      <c r="QGF137" s="422"/>
      <c r="QGG137" s="422"/>
      <c r="QGH137" s="422"/>
      <c r="QGI137" s="422"/>
      <c r="QGJ137" s="422"/>
      <c r="QGK137" s="422"/>
      <c r="QGL137" s="422"/>
      <c r="QGM137" s="422"/>
      <c r="QGN137" s="422"/>
      <c r="QGO137" s="422"/>
      <c r="QGP137" s="422"/>
      <c r="QGQ137" s="422"/>
      <c r="QGR137" s="422"/>
      <c r="QGS137" s="422"/>
      <c r="QGT137" s="422"/>
      <c r="QGU137" s="422"/>
      <c r="QGV137" s="422"/>
      <c r="QGW137" s="422"/>
      <c r="QGX137" s="422"/>
      <c r="QGY137" s="422"/>
      <c r="QGZ137" s="422"/>
      <c r="QHA137" s="422"/>
      <c r="QHB137" s="422"/>
      <c r="QHC137" s="422"/>
      <c r="QHD137" s="422"/>
      <c r="QHE137" s="422"/>
      <c r="QHF137" s="422"/>
      <c r="QHG137" s="422"/>
      <c r="QHH137" s="422"/>
      <c r="QHI137" s="422"/>
      <c r="QHJ137" s="422"/>
      <c r="QHK137" s="422"/>
      <c r="QHL137" s="422"/>
      <c r="QHM137" s="422"/>
      <c r="QHN137" s="422"/>
      <c r="QHO137" s="422"/>
      <c r="QHP137" s="422"/>
      <c r="QHQ137" s="422"/>
      <c r="QHR137" s="422"/>
      <c r="QHS137" s="422"/>
      <c r="QHT137" s="422"/>
      <c r="QHU137" s="422"/>
      <c r="QHV137" s="422"/>
      <c r="QHW137" s="422"/>
      <c r="QHX137" s="422"/>
      <c r="QHY137" s="422"/>
      <c r="QHZ137" s="422"/>
      <c r="QIA137" s="422"/>
      <c r="QIB137" s="422"/>
      <c r="QIC137" s="422"/>
      <c r="QID137" s="422"/>
      <c r="QIE137" s="422"/>
      <c r="QIF137" s="422"/>
      <c r="QIG137" s="422"/>
      <c r="QIH137" s="422"/>
      <c r="QII137" s="422"/>
      <c r="QIJ137" s="422"/>
      <c r="QIK137" s="422"/>
      <c r="QIL137" s="422"/>
      <c r="QIM137" s="422"/>
      <c r="QIN137" s="422"/>
      <c r="QIO137" s="422"/>
      <c r="QIP137" s="422"/>
      <c r="QIQ137" s="422"/>
      <c r="QIR137" s="422"/>
      <c r="QIS137" s="422"/>
      <c r="QIT137" s="422"/>
      <c r="QIU137" s="422"/>
      <c r="QIV137" s="422"/>
      <c r="QIW137" s="422"/>
      <c r="QIX137" s="422"/>
      <c r="QIY137" s="422"/>
      <c r="QIZ137" s="422"/>
      <c r="QJA137" s="422"/>
      <c r="QJB137" s="422"/>
      <c r="QJC137" s="422"/>
      <c r="QJD137" s="422"/>
      <c r="QJE137" s="422"/>
      <c r="QJF137" s="422"/>
      <c r="QJG137" s="422"/>
      <c r="QJH137" s="422"/>
      <c r="QJI137" s="422"/>
      <c r="QJJ137" s="422"/>
      <c r="QJK137" s="422"/>
      <c r="QJL137" s="422"/>
      <c r="QJM137" s="422"/>
      <c r="QJN137" s="422"/>
      <c r="QJO137" s="422"/>
      <c r="QJP137" s="422"/>
      <c r="QJQ137" s="422"/>
      <c r="QJR137" s="422"/>
      <c r="QJS137" s="422"/>
      <c r="QJT137" s="422"/>
      <c r="QJU137" s="422"/>
      <c r="QJV137" s="422"/>
      <c r="QJW137" s="422"/>
      <c r="QJX137" s="422"/>
      <c r="QJY137" s="422"/>
      <c r="QJZ137" s="422"/>
      <c r="QKA137" s="422"/>
      <c r="QKB137" s="422"/>
      <c r="QKC137" s="422"/>
      <c r="QKD137" s="422"/>
      <c r="QKE137" s="422"/>
      <c r="QKF137" s="422"/>
      <c r="QKG137" s="422"/>
      <c r="QKH137" s="422"/>
      <c r="QKI137" s="422"/>
      <c r="QKJ137" s="422"/>
      <c r="QKK137" s="422"/>
      <c r="QKL137" s="422"/>
      <c r="QKM137" s="422"/>
      <c r="QKN137" s="422"/>
      <c r="QKO137" s="422"/>
      <c r="QKP137" s="422"/>
      <c r="QKQ137" s="422"/>
      <c r="QKR137" s="422"/>
      <c r="QKS137" s="422"/>
      <c r="QKT137" s="422"/>
      <c r="QKU137" s="422"/>
      <c r="QKV137" s="422"/>
      <c r="QKW137" s="422"/>
      <c r="QKX137" s="422"/>
      <c r="QKY137" s="422"/>
      <c r="QKZ137" s="422"/>
      <c r="QLA137" s="422"/>
      <c r="QLB137" s="422"/>
      <c r="QLC137" s="422"/>
      <c r="QLD137" s="422"/>
      <c r="QLE137" s="422"/>
      <c r="QLF137" s="422"/>
      <c r="QLG137" s="422"/>
      <c r="QLH137" s="422"/>
      <c r="QLI137" s="422"/>
      <c r="QLJ137" s="422"/>
      <c r="QLK137" s="422"/>
      <c r="QLL137" s="422"/>
      <c r="QLM137" s="422"/>
      <c r="QLN137" s="422"/>
      <c r="QLO137" s="422"/>
      <c r="QLP137" s="422"/>
      <c r="QLQ137" s="422"/>
      <c r="QLR137" s="422"/>
      <c r="QLS137" s="422"/>
      <c r="QLT137" s="422"/>
      <c r="QLU137" s="422"/>
      <c r="QLV137" s="422"/>
      <c r="QLW137" s="422"/>
      <c r="QLX137" s="422"/>
      <c r="QLY137" s="422"/>
      <c r="QLZ137" s="422"/>
      <c r="QMA137" s="422"/>
      <c r="QMB137" s="422"/>
      <c r="QMC137" s="422"/>
      <c r="QMD137" s="422"/>
      <c r="QME137" s="422"/>
      <c r="QMF137" s="422"/>
      <c r="QMG137" s="422"/>
      <c r="QMH137" s="422"/>
      <c r="QMI137" s="422"/>
      <c r="QMJ137" s="422"/>
      <c r="QMK137" s="422"/>
      <c r="QML137" s="422"/>
      <c r="QMM137" s="422"/>
      <c r="QMN137" s="422"/>
      <c r="QMO137" s="422"/>
      <c r="QMP137" s="422"/>
      <c r="QMQ137" s="422"/>
      <c r="QMR137" s="422"/>
      <c r="QMS137" s="422"/>
      <c r="QMT137" s="422"/>
      <c r="QMU137" s="422"/>
      <c r="QMV137" s="422"/>
      <c r="QMW137" s="422"/>
      <c r="QMX137" s="422"/>
      <c r="QMY137" s="422"/>
      <c r="QMZ137" s="422"/>
      <c r="QNA137" s="422"/>
      <c r="QNB137" s="422"/>
      <c r="QNC137" s="422"/>
      <c r="QND137" s="422"/>
      <c r="QNE137" s="422"/>
      <c r="QNF137" s="422"/>
      <c r="QNG137" s="422"/>
      <c r="QNH137" s="422"/>
      <c r="QNI137" s="422"/>
      <c r="QNJ137" s="422"/>
      <c r="QNK137" s="422"/>
      <c r="QNL137" s="422"/>
      <c r="QNM137" s="422"/>
      <c r="QNN137" s="422"/>
      <c r="QNO137" s="422"/>
      <c r="QNP137" s="422"/>
      <c r="QNQ137" s="422"/>
      <c r="QNR137" s="422"/>
      <c r="QNS137" s="422"/>
      <c r="QNT137" s="422"/>
      <c r="QNU137" s="422"/>
      <c r="QNV137" s="422"/>
      <c r="QNW137" s="422"/>
      <c r="QNX137" s="422"/>
      <c r="QNY137" s="422"/>
      <c r="QNZ137" s="422"/>
      <c r="QOA137" s="422"/>
      <c r="QOB137" s="422"/>
      <c r="QOC137" s="422"/>
      <c r="QOD137" s="422"/>
      <c r="QOE137" s="422"/>
      <c r="QOF137" s="422"/>
      <c r="QOG137" s="422"/>
      <c r="QOH137" s="422"/>
      <c r="QOI137" s="422"/>
      <c r="QOJ137" s="422"/>
      <c r="QOK137" s="422"/>
      <c r="QOL137" s="422"/>
      <c r="QOM137" s="422"/>
      <c r="QON137" s="422"/>
      <c r="QOO137" s="422"/>
      <c r="QOP137" s="422"/>
      <c r="QOQ137" s="422"/>
      <c r="QOR137" s="422"/>
      <c r="QOS137" s="422"/>
      <c r="QOT137" s="422"/>
      <c r="QOU137" s="422"/>
      <c r="QOV137" s="422"/>
      <c r="QOW137" s="422"/>
      <c r="QOX137" s="422"/>
      <c r="QOY137" s="422"/>
      <c r="QOZ137" s="422"/>
      <c r="QPA137" s="422"/>
      <c r="QPB137" s="422"/>
      <c r="QPC137" s="422"/>
      <c r="QPD137" s="422"/>
      <c r="QPE137" s="422"/>
      <c r="QPF137" s="422"/>
      <c r="QPG137" s="422"/>
      <c r="QPH137" s="422"/>
      <c r="QPI137" s="422"/>
      <c r="QPJ137" s="422"/>
      <c r="QPK137" s="422"/>
      <c r="QPL137" s="422"/>
      <c r="QPM137" s="422"/>
      <c r="QPN137" s="422"/>
      <c r="QPO137" s="422"/>
      <c r="QPP137" s="422"/>
      <c r="QPQ137" s="422"/>
      <c r="QPR137" s="422"/>
      <c r="QPS137" s="422"/>
      <c r="QPT137" s="422"/>
      <c r="QPU137" s="422"/>
      <c r="QPV137" s="422"/>
      <c r="QPW137" s="422"/>
      <c r="QPX137" s="422"/>
      <c r="QPY137" s="422"/>
      <c r="QPZ137" s="422"/>
      <c r="QQA137" s="422"/>
      <c r="QQB137" s="422"/>
      <c r="QQC137" s="422"/>
      <c r="QQD137" s="422"/>
      <c r="QQE137" s="422"/>
      <c r="QQF137" s="422"/>
      <c r="QQG137" s="422"/>
      <c r="QQH137" s="422"/>
      <c r="QQI137" s="422"/>
      <c r="QQJ137" s="422"/>
      <c r="QQK137" s="422"/>
      <c r="QQL137" s="422"/>
      <c r="QQM137" s="422"/>
      <c r="QQN137" s="422"/>
      <c r="QQO137" s="422"/>
      <c r="QQP137" s="422"/>
      <c r="QQQ137" s="422"/>
      <c r="QQR137" s="422"/>
      <c r="QQS137" s="422"/>
      <c r="QQT137" s="422"/>
      <c r="QQU137" s="422"/>
      <c r="QQV137" s="422"/>
      <c r="QQW137" s="422"/>
      <c r="QQX137" s="422"/>
      <c r="QQY137" s="422"/>
      <c r="QQZ137" s="422"/>
      <c r="QRA137" s="422"/>
      <c r="QRB137" s="422"/>
      <c r="QRC137" s="422"/>
      <c r="QRD137" s="422"/>
      <c r="QRE137" s="422"/>
      <c r="QRF137" s="422"/>
      <c r="QRG137" s="422"/>
      <c r="QRH137" s="422"/>
      <c r="QRI137" s="422"/>
      <c r="QRJ137" s="422"/>
      <c r="QRK137" s="422"/>
      <c r="QRL137" s="422"/>
      <c r="QRM137" s="422"/>
      <c r="QRN137" s="422"/>
      <c r="QRO137" s="422"/>
      <c r="QRP137" s="422"/>
      <c r="QRQ137" s="422"/>
      <c r="QRR137" s="422"/>
      <c r="QRS137" s="422"/>
      <c r="QRT137" s="422"/>
      <c r="QRU137" s="422"/>
      <c r="QRV137" s="422"/>
      <c r="QRW137" s="422"/>
      <c r="QRX137" s="422"/>
      <c r="QRY137" s="422"/>
      <c r="QRZ137" s="422"/>
      <c r="QSA137" s="422"/>
      <c r="QSB137" s="422"/>
      <c r="QSC137" s="422"/>
      <c r="QSD137" s="422"/>
      <c r="QSE137" s="422"/>
      <c r="QSF137" s="422"/>
      <c r="QSG137" s="422"/>
      <c r="QSH137" s="422"/>
      <c r="QSI137" s="422"/>
      <c r="QSJ137" s="422"/>
      <c r="QSK137" s="422"/>
      <c r="QSL137" s="422"/>
      <c r="QSM137" s="422"/>
      <c r="QSN137" s="422"/>
      <c r="QSO137" s="422"/>
      <c r="QSP137" s="422"/>
      <c r="QSQ137" s="422"/>
      <c r="QSR137" s="422"/>
      <c r="QSS137" s="422"/>
      <c r="QST137" s="422"/>
      <c r="QSU137" s="422"/>
      <c r="QSV137" s="422"/>
      <c r="QSW137" s="422"/>
      <c r="QSX137" s="422"/>
      <c r="QSY137" s="422"/>
      <c r="QSZ137" s="422"/>
      <c r="QTA137" s="422"/>
      <c r="QTB137" s="422"/>
      <c r="QTC137" s="422"/>
      <c r="QTD137" s="422"/>
      <c r="QTE137" s="422"/>
      <c r="QTF137" s="422"/>
      <c r="QTG137" s="422"/>
      <c r="QTH137" s="422"/>
      <c r="QTI137" s="422"/>
      <c r="QTJ137" s="422"/>
      <c r="QTK137" s="422"/>
      <c r="QTL137" s="422"/>
      <c r="QTM137" s="422"/>
      <c r="QTN137" s="422"/>
      <c r="QTO137" s="422"/>
      <c r="QTP137" s="422"/>
      <c r="QTQ137" s="422"/>
      <c r="QTR137" s="422"/>
      <c r="QTS137" s="422"/>
      <c r="QTT137" s="422"/>
      <c r="QTU137" s="422"/>
      <c r="QTV137" s="422"/>
      <c r="QTW137" s="422"/>
      <c r="QTX137" s="422"/>
      <c r="QTY137" s="422"/>
      <c r="QTZ137" s="422"/>
      <c r="QUA137" s="422"/>
      <c r="QUB137" s="422"/>
      <c r="QUC137" s="422"/>
      <c r="QUD137" s="422"/>
      <c r="QUE137" s="422"/>
      <c r="QUF137" s="422"/>
      <c r="QUG137" s="422"/>
      <c r="QUH137" s="422"/>
      <c r="QUI137" s="422"/>
      <c r="QUJ137" s="422"/>
      <c r="QUK137" s="422"/>
      <c r="QUL137" s="422"/>
      <c r="QUM137" s="422"/>
      <c r="QUN137" s="422"/>
      <c r="QUO137" s="422"/>
      <c r="QUP137" s="422"/>
      <c r="QUQ137" s="422"/>
      <c r="QUR137" s="422"/>
      <c r="QUS137" s="422"/>
      <c r="QUT137" s="422"/>
      <c r="QUU137" s="422"/>
      <c r="QUV137" s="422"/>
      <c r="QUW137" s="422"/>
      <c r="QUX137" s="422"/>
      <c r="QUY137" s="422"/>
      <c r="QUZ137" s="422"/>
      <c r="QVA137" s="422"/>
      <c r="QVB137" s="422"/>
      <c r="QVC137" s="422"/>
      <c r="QVD137" s="422"/>
      <c r="QVE137" s="422"/>
      <c r="QVF137" s="422"/>
      <c r="QVG137" s="422"/>
      <c r="QVH137" s="422"/>
      <c r="QVI137" s="422"/>
      <c r="QVJ137" s="422"/>
      <c r="QVK137" s="422"/>
      <c r="QVL137" s="422"/>
      <c r="QVM137" s="422"/>
      <c r="QVN137" s="422"/>
      <c r="QVO137" s="422"/>
      <c r="QVP137" s="422"/>
      <c r="QVQ137" s="422"/>
      <c r="QVR137" s="422"/>
      <c r="QVS137" s="422"/>
      <c r="QVT137" s="422"/>
      <c r="QVU137" s="422"/>
      <c r="QVV137" s="422"/>
      <c r="QVW137" s="422"/>
      <c r="QVX137" s="422"/>
      <c r="QVY137" s="422"/>
      <c r="QVZ137" s="422"/>
      <c r="QWA137" s="422"/>
      <c r="QWB137" s="422"/>
      <c r="QWC137" s="422"/>
      <c r="QWD137" s="422"/>
      <c r="QWE137" s="422"/>
      <c r="QWF137" s="422"/>
      <c r="QWG137" s="422"/>
      <c r="QWH137" s="422"/>
      <c r="QWI137" s="422"/>
      <c r="QWJ137" s="422"/>
      <c r="QWK137" s="422"/>
      <c r="QWL137" s="422"/>
      <c r="QWM137" s="422"/>
      <c r="QWN137" s="422"/>
      <c r="QWO137" s="422"/>
      <c r="QWP137" s="422"/>
      <c r="QWQ137" s="422"/>
      <c r="QWR137" s="422"/>
      <c r="QWS137" s="422"/>
      <c r="QWT137" s="422"/>
      <c r="QWU137" s="422"/>
      <c r="QWV137" s="422"/>
      <c r="QWW137" s="422"/>
      <c r="QWX137" s="422"/>
      <c r="QWY137" s="422"/>
      <c r="QWZ137" s="422"/>
      <c r="QXA137" s="422"/>
      <c r="QXB137" s="422"/>
      <c r="QXC137" s="422"/>
      <c r="QXD137" s="422"/>
      <c r="QXE137" s="422"/>
      <c r="QXF137" s="422"/>
      <c r="QXG137" s="422"/>
      <c r="QXH137" s="422"/>
      <c r="QXI137" s="422"/>
      <c r="QXJ137" s="422"/>
      <c r="QXK137" s="422"/>
      <c r="QXL137" s="422"/>
      <c r="QXM137" s="422"/>
      <c r="QXN137" s="422"/>
      <c r="QXO137" s="422"/>
      <c r="QXP137" s="422"/>
      <c r="QXQ137" s="422"/>
      <c r="QXR137" s="422"/>
      <c r="QXS137" s="422"/>
      <c r="QXT137" s="422"/>
      <c r="QXU137" s="422"/>
      <c r="QXV137" s="422"/>
      <c r="QXW137" s="422"/>
      <c r="QXX137" s="422"/>
      <c r="QXY137" s="422"/>
      <c r="QXZ137" s="422"/>
      <c r="QYA137" s="422"/>
      <c r="QYB137" s="422"/>
      <c r="QYC137" s="422"/>
      <c r="QYD137" s="422"/>
      <c r="QYE137" s="422"/>
      <c r="QYF137" s="422"/>
      <c r="QYG137" s="422"/>
      <c r="QYH137" s="422"/>
      <c r="QYI137" s="422"/>
      <c r="QYJ137" s="422"/>
      <c r="QYK137" s="422"/>
      <c r="QYL137" s="422"/>
      <c r="QYM137" s="422"/>
      <c r="QYN137" s="422"/>
      <c r="QYO137" s="422"/>
      <c r="QYP137" s="422"/>
      <c r="QYQ137" s="422"/>
      <c r="QYR137" s="422"/>
      <c r="QYS137" s="422"/>
      <c r="QYT137" s="422"/>
      <c r="QYU137" s="422"/>
      <c r="QYV137" s="422"/>
      <c r="QYW137" s="422"/>
      <c r="QYX137" s="422"/>
      <c r="QYY137" s="422"/>
      <c r="QYZ137" s="422"/>
      <c r="QZA137" s="422"/>
      <c r="QZB137" s="422"/>
      <c r="QZC137" s="422"/>
      <c r="QZD137" s="422"/>
      <c r="QZE137" s="422"/>
      <c r="QZF137" s="422"/>
      <c r="QZG137" s="422"/>
      <c r="QZH137" s="422"/>
      <c r="QZI137" s="422"/>
      <c r="QZJ137" s="422"/>
      <c r="QZK137" s="422"/>
      <c r="QZL137" s="422"/>
      <c r="QZM137" s="422"/>
      <c r="QZN137" s="422"/>
      <c r="QZO137" s="422"/>
      <c r="QZP137" s="422"/>
      <c r="QZQ137" s="422"/>
      <c r="QZR137" s="422"/>
      <c r="QZS137" s="422"/>
      <c r="QZT137" s="422"/>
      <c r="QZU137" s="422"/>
      <c r="QZV137" s="422"/>
      <c r="QZW137" s="422"/>
      <c r="QZX137" s="422"/>
      <c r="QZY137" s="422"/>
      <c r="QZZ137" s="422"/>
      <c r="RAA137" s="422"/>
      <c r="RAB137" s="422"/>
      <c r="RAC137" s="422"/>
      <c r="RAD137" s="422"/>
      <c r="RAE137" s="422"/>
      <c r="RAF137" s="422"/>
      <c r="RAG137" s="422"/>
      <c r="RAH137" s="422"/>
      <c r="RAI137" s="422"/>
      <c r="RAJ137" s="422"/>
      <c r="RAK137" s="422"/>
      <c r="RAL137" s="422"/>
      <c r="RAM137" s="422"/>
      <c r="RAN137" s="422"/>
      <c r="RAO137" s="422"/>
      <c r="RAP137" s="422"/>
      <c r="RAQ137" s="422"/>
      <c r="RAR137" s="422"/>
      <c r="RAS137" s="422"/>
      <c r="RAT137" s="422"/>
      <c r="RAU137" s="422"/>
      <c r="RAV137" s="422"/>
      <c r="RAW137" s="422"/>
      <c r="RAX137" s="422"/>
      <c r="RAY137" s="422"/>
      <c r="RAZ137" s="422"/>
      <c r="RBA137" s="422"/>
      <c r="RBB137" s="422"/>
      <c r="RBC137" s="422"/>
      <c r="RBD137" s="422"/>
      <c r="RBE137" s="422"/>
      <c r="RBF137" s="422"/>
      <c r="RBG137" s="422"/>
      <c r="RBH137" s="422"/>
      <c r="RBI137" s="422"/>
      <c r="RBJ137" s="422"/>
      <c r="RBK137" s="422"/>
      <c r="RBL137" s="422"/>
      <c r="RBM137" s="422"/>
      <c r="RBN137" s="422"/>
      <c r="RBO137" s="422"/>
      <c r="RBP137" s="422"/>
      <c r="RBQ137" s="422"/>
      <c r="RBR137" s="422"/>
      <c r="RBS137" s="422"/>
      <c r="RBT137" s="422"/>
      <c r="RBU137" s="422"/>
      <c r="RBV137" s="422"/>
      <c r="RBW137" s="422"/>
      <c r="RBX137" s="422"/>
      <c r="RBY137" s="422"/>
      <c r="RBZ137" s="422"/>
      <c r="RCA137" s="422"/>
      <c r="RCB137" s="422"/>
      <c r="RCC137" s="422"/>
      <c r="RCD137" s="422"/>
      <c r="RCE137" s="422"/>
      <c r="RCF137" s="422"/>
      <c r="RCG137" s="422"/>
      <c r="RCH137" s="422"/>
      <c r="RCI137" s="422"/>
      <c r="RCJ137" s="422"/>
      <c r="RCK137" s="422"/>
      <c r="RCL137" s="422"/>
      <c r="RCM137" s="422"/>
      <c r="RCN137" s="422"/>
      <c r="RCO137" s="422"/>
      <c r="RCP137" s="422"/>
      <c r="RCQ137" s="422"/>
      <c r="RCR137" s="422"/>
      <c r="RCS137" s="422"/>
      <c r="RCT137" s="422"/>
      <c r="RCU137" s="422"/>
      <c r="RCV137" s="422"/>
      <c r="RCW137" s="422"/>
      <c r="RCX137" s="422"/>
      <c r="RCY137" s="422"/>
      <c r="RCZ137" s="422"/>
      <c r="RDA137" s="422"/>
      <c r="RDB137" s="422"/>
      <c r="RDC137" s="422"/>
      <c r="RDD137" s="422"/>
      <c r="RDE137" s="422"/>
      <c r="RDF137" s="422"/>
      <c r="RDG137" s="422"/>
      <c r="RDH137" s="422"/>
      <c r="RDI137" s="422"/>
      <c r="RDJ137" s="422"/>
      <c r="RDK137" s="422"/>
      <c r="RDL137" s="422"/>
      <c r="RDM137" s="422"/>
      <c r="RDN137" s="422"/>
      <c r="RDO137" s="422"/>
      <c r="RDP137" s="422"/>
      <c r="RDQ137" s="422"/>
      <c r="RDR137" s="422"/>
      <c r="RDS137" s="422"/>
      <c r="RDT137" s="422"/>
      <c r="RDU137" s="422"/>
      <c r="RDV137" s="422"/>
      <c r="RDW137" s="422"/>
      <c r="RDX137" s="422"/>
      <c r="RDY137" s="422"/>
      <c r="RDZ137" s="422"/>
      <c r="REA137" s="422"/>
      <c r="REB137" s="422"/>
      <c r="REC137" s="422"/>
      <c r="RED137" s="422"/>
      <c r="REE137" s="422"/>
      <c r="REF137" s="422"/>
      <c r="REG137" s="422"/>
      <c r="REH137" s="422"/>
      <c r="REI137" s="422"/>
      <c r="REJ137" s="422"/>
      <c r="REK137" s="422"/>
      <c r="REL137" s="422"/>
      <c r="REM137" s="422"/>
      <c r="REN137" s="422"/>
      <c r="REO137" s="422"/>
      <c r="REP137" s="422"/>
      <c r="REQ137" s="422"/>
      <c r="RER137" s="422"/>
      <c r="RES137" s="422"/>
      <c r="RET137" s="422"/>
      <c r="REU137" s="422"/>
      <c r="REV137" s="422"/>
      <c r="REW137" s="422"/>
      <c r="REX137" s="422"/>
      <c r="REY137" s="422"/>
      <c r="REZ137" s="422"/>
      <c r="RFA137" s="422"/>
      <c r="RFB137" s="422"/>
      <c r="RFC137" s="422"/>
      <c r="RFD137" s="422"/>
      <c r="RFE137" s="422"/>
      <c r="RFF137" s="422"/>
      <c r="RFG137" s="422"/>
      <c r="RFH137" s="422"/>
      <c r="RFI137" s="422"/>
      <c r="RFJ137" s="422"/>
      <c r="RFK137" s="422"/>
      <c r="RFL137" s="422"/>
      <c r="RFM137" s="422"/>
      <c r="RFN137" s="422"/>
      <c r="RFO137" s="422"/>
      <c r="RFP137" s="422"/>
      <c r="RFQ137" s="422"/>
      <c r="RFR137" s="422"/>
      <c r="RFS137" s="422"/>
      <c r="RFT137" s="422"/>
      <c r="RFU137" s="422"/>
      <c r="RFV137" s="422"/>
      <c r="RFW137" s="422"/>
      <c r="RFX137" s="422"/>
      <c r="RFY137" s="422"/>
      <c r="RFZ137" s="422"/>
      <c r="RGA137" s="422"/>
      <c r="RGB137" s="422"/>
      <c r="RGC137" s="422"/>
      <c r="RGD137" s="422"/>
      <c r="RGE137" s="422"/>
      <c r="RGF137" s="422"/>
      <c r="RGG137" s="422"/>
      <c r="RGH137" s="422"/>
      <c r="RGI137" s="422"/>
      <c r="RGJ137" s="422"/>
      <c r="RGK137" s="422"/>
      <c r="RGL137" s="422"/>
      <c r="RGM137" s="422"/>
      <c r="RGN137" s="422"/>
      <c r="RGO137" s="422"/>
      <c r="RGP137" s="422"/>
      <c r="RGQ137" s="422"/>
      <c r="RGR137" s="422"/>
      <c r="RGS137" s="422"/>
      <c r="RGT137" s="422"/>
      <c r="RGU137" s="422"/>
      <c r="RGV137" s="422"/>
      <c r="RGW137" s="422"/>
      <c r="RGX137" s="422"/>
      <c r="RGY137" s="422"/>
      <c r="RGZ137" s="422"/>
      <c r="RHA137" s="422"/>
      <c r="RHB137" s="422"/>
      <c r="RHC137" s="422"/>
      <c r="RHD137" s="422"/>
      <c r="RHE137" s="422"/>
      <c r="RHF137" s="422"/>
      <c r="RHG137" s="422"/>
      <c r="RHH137" s="422"/>
      <c r="RHI137" s="422"/>
      <c r="RHJ137" s="422"/>
      <c r="RHK137" s="422"/>
      <c r="RHL137" s="422"/>
      <c r="RHM137" s="422"/>
      <c r="RHN137" s="422"/>
      <c r="RHO137" s="422"/>
      <c r="RHP137" s="422"/>
      <c r="RHQ137" s="422"/>
      <c r="RHR137" s="422"/>
      <c r="RHS137" s="422"/>
      <c r="RHT137" s="422"/>
      <c r="RHU137" s="422"/>
      <c r="RHV137" s="422"/>
      <c r="RHW137" s="422"/>
      <c r="RHX137" s="422"/>
      <c r="RHY137" s="422"/>
      <c r="RHZ137" s="422"/>
      <c r="RIA137" s="422"/>
      <c r="RIB137" s="422"/>
      <c r="RIC137" s="422"/>
      <c r="RID137" s="422"/>
      <c r="RIE137" s="422"/>
      <c r="RIF137" s="422"/>
      <c r="RIG137" s="422"/>
      <c r="RIH137" s="422"/>
      <c r="RII137" s="422"/>
      <c r="RIJ137" s="422"/>
      <c r="RIK137" s="422"/>
      <c r="RIL137" s="422"/>
      <c r="RIM137" s="422"/>
      <c r="RIN137" s="422"/>
      <c r="RIO137" s="422"/>
      <c r="RIP137" s="422"/>
      <c r="RIQ137" s="422"/>
      <c r="RIR137" s="422"/>
      <c r="RIS137" s="422"/>
      <c r="RIT137" s="422"/>
      <c r="RIU137" s="422"/>
      <c r="RIV137" s="422"/>
      <c r="RIW137" s="422"/>
      <c r="RIX137" s="422"/>
      <c r="RIY137" s="422"/>
      <c r="RIZ137" s="422"/>
      <c r="RJA137" s="422"/>
      <c r="RJB137" s="422"/>
      <c r="RJC137" s="422"/>
      <c r="RJD137" s="422"/>
      <c r="RJE137" s="422"/>
      <c r="RJF137" s="422"/>
      <c r="RJG137" s="422"/>
      <c r="RJH137" s="422"/>
      <c r="RJI137" s="422"/>
      <c r="RJJ137" s="422"/>
      <c r="RJK137" s="422"/>
      <c r="RJL137" s="422"/>
      <c r="RJM137" s="422"/>
      <c r="RJN137" s="422"/>
      <c r="RJO137" s="422"/>
      <c r="RJP137" s="422"/>
      <c r="RJQ137" s="422"/>
      <c r="RJR137" s="422"/>
      <c r="RJS137" s="422"/>
      <c r="RJT137" s="422"/>
      <c r="RJU137" s="422"/>
      <c r="RJV137" s="422"/>
      <c r="RJW137" s="422"/>
      <c r="RJX137" s="422"/>
      <c r="RJY137" s="422"/>
      <c r="RJZ137" s="422"/>
      <c r="RKA137" s="422"/>
      <c r="RKB137" s="422"/>
      <c r="RKC137" s="422"/>
      <c r="RKD137" s="422"/>
      <c r="RKE137" s="422"/>
      <c r="RKF137" s="422"/>
      <c r="RKG137" s="422"/>
      <c r="RKH137" s="422"/>
      <c r="RKI137" s="422"/>
      <c r="RKJ137" s="422"/>
      <c r="RKK137" s="422"/>
      <c r="RKL137" s="422"/>
      <c r="RKM137" s="422"/>
      <c r="RKN137" s="422"/>
      <c r="RKO137" s="422"/>
      <c r="RKP137" s="422"/>
      <c r="RKQ137" s="422"/>
      <c r="RKR137" s="422"/>
      <c r="RKS137" s="422"/>
      <c r="RKT137" s="422"/>
      <c r="RKU137" s="422"/>
      <c r="RKV137" s="422"/>
      <c r="RKW137" s="422"/>
      <c r="RKX137" s="422"/>
      <c r="RKY137" s="422"/>
      <c r="RKZ137" s="422"/>
      <c r="RLA137" s="422"/>
      <c r="RLB137" s="422"/>
      <c r="RLC137" s="422"/>
      <c r="RLD137" s="422"/>
      <c r="RLE137" s="422"/>
      <c r="RLF137" s="422"/>
      <c r="RLG137" s="422"/>
      <c r="RLH137" s="422"/>
      <c r="RLI137" s="422"/>
      <c r="RLJ137" s="422"/>
      <c r="RLK137" s="422"/>
      <c r="RLL137" s="422"/>
      <c r="RLM137" s="422"/>
      <c r="RLN137" s="422"/>
      <c r="RLO137" s="422"/>
      <c r="RLP137" s="422"/>
      <c r="RLQ137" s="422"/>
      <c r="RLR137" s="422"/>
      <c r="RLS137" s="422"/>
      <c r="RLT137" s="422"/>
      <c r="RLU137" s="422"/>
      <c r="RLV137" s="422"/>
      <c r="RLW137" s="422"/>
      <c r="RLX137" s="422"/>
      <c r="RLY137" s="422"/>
      <c r="RLZ137" s="422"/>
      <c r="RMA137" s="422"/>
      <c r="RMB137" s="422"/>
      <c r="RMC137" s="422"/>
      <c r="RMD137" s="422"/>
      <c r="RME137" s="422"/>
      <c r="RMF137" s="422"/>
      <c r="RMG137" s="422"/>
      <c r="RMH137" s="422"/>
      <c r="RMI137" s="422"/>
      <c r="RMJ137" s="422"/>
      <c r="RMK137" s="422"/>
      <c r="RML137" s="422"/>
      <c r="RMM137" s="422"/>
      <c r="RMN137" s="422"/>
      <c r="RMO137" s="422"/>
      <c r="RMP137" s="422"/>
      <c r="RMQ137" s="422"/>
      <c r="RMR137" s="422"/>
      <c r="RMS137" s="422"/>
      <c r="RMT137" s="422"/>
      <c r="RMU137" s="422"/>
      <c r="RMV137" s="422"/>
      <c r="RMW137" s="422"/>
      <c r="RMX137" s="422"/>
      <c r="RMY137" s="422"/>
      <c r="RMZ137" s="422"/>
      <c r="RNA137" s="422"/>
      <c r="RNB137" s="422"/>
      <c r="RNC137" s="422"/>
      <c r="RND137" s="422"/>
      <c r="RNE137" s="422"/>
      <c r="RNF137" s="422"/>
      <c r="RNG137" s="422"/>
      <c r="RNH137" s="422"/>
      <c r="RNI137" s="422"/>
      <c r="RNJ137" s="422"/>
      <c r="RNK137" s="422"/>
      <c r="RNL137" s="422"/>
      <c r="RNM137" s="422"/>
      <c r="RNN137" s="422"/>
      <c r="RNO137" s="422"/>
      <c r="RNP137" s="422"/>
      <c r="RNQ137" s="422"/>
      <c r="RNR137" s="422"/>
      <c r="RNS137" s="422"/>
      <c r="RNT137" s="422"/>
      <c r="RNU137" s="422"/>
      <c r="RNV137" s="422"/>
      <c r="RNW137" s="422"/>
      <c r="RNX137" s="422"/>
      <c r="RNY137" s="422"/>
      <c r="RNZ137" s="422"/>
      <c r="ROA137" s="422"/>
      <c r="ROB137" s="422"/>
      <c r="ROC137" s="422"/>
      <c r="ROD137" s="422"/>
      <c r="ROE137" s="422"/>
      <c r="ROF137" s="422"/>
      <c r="ROG137" s="422"/>
      <c r="ROH137" s="422"/>
      <c r="ROI137" s="422"/>
      <c r="ROJ137" s="422"/>
      <c r="ROK137" s="422"/>
      <c r="ROL137" s="422"/>
      <c r="ROM137" s="422"/>
      <c r="RON137" s="422"/>
      <c r="ROO137" s="422"/>
      <c r="ROP137" s="422"/>
      <c r="ROQ137" s="422"/>
      <c r="ROR137" s="422"/>
      <c r="ROS137" s="422"/>
      <c r="ROT137" s="422"/>
      <c r="ROU137" s="422"/>
      <c r="ROV137" s="422"/>
      <c r="ROW137" s="422"/>
      <c r="ROX137" s="422"/>
      <c r="ROY137" s="422"/>
      <c r="ROZ137" s="422"/>
      <c r="RPA137" s="422"/>
      <c r="RPB137" s="422"/>
      <c r="RPC137" s="422"/>
      <c r="RPD137" s="422"/>
      <c r="RPE137" s="422"/>
      <c r="RPF137" s="422"/>
      <c r="RPG137" s="422"/>
      <c r="RPH137" s="422"/>
      <c r="RPI137" s="422"/>
      <c r="RPJ137" s="422"/>
      <c r="RPK137" s="422"/>
      <c r="RPL137" s="422"/>
      <c r="RPM137" s="422"/>
      <c r="RPN137" s="422"/>
      <c r="RPO137" s="422"/>
      <c r="RPP137" s="422"/>
      <c r="RPQ137" s="422"/>
      <c r="RPR137" s="422"/>
      <c r="RPS137" s="422"/>
      <c r="RPT137" s="422"/>
      <c r="RPU137" s="422"/>
      <c r="RPV137" s="422"/>
      <c r="RPW137" s="422"/>
      <c r="RPX137" s="422"/>
      <c r="RPY137" s="422"/>
      <c r="RPZ137" s="422"/>
      <c r="RQA137" s="422"/>
      <c r="RQB137" s="422"/>
      <c r="RQC137" s="422"/>
      <c r="RQD137" s="422"/>
      <c r="RQE137" s="422"/>
      <c r="RQF137" s="422"/>
      <c r="RQG137" s="422"/>
      <c r="RQH137" s="422"/>
      <c r="RQI137" s="422"/>
      <c r="RQJ137" s="422"/>
      <c r="RQK137" s="422"/>
      <c r="RQL137" s="422"/>
      <c r="RQM137" s="422"/>
      <c r="RQN137" s="422"/>
      <c r="RQO137" s="422"/>
      <c r="RQP137" s="422"/>
      <c r="RQQ137" s="422"/>
      <c r="RQR137" s="422"/>
      <c r="RQS137" s="422"/>
      <c r="RQT137" s="422"/>
      <c r="RQU137" s="422"/>
      <c r="RQV137" s="422"/>
      <c r="RQW137" s="422"/>
      <c r="RQX137" s="422"/>
      <c r="RQY137" s="422"/>
      <c r="RQZ137" s="422"/>
      <c r="RRA137" s="422"/>
      <c r="RRB137" s="422"/>
      <c r="RRC137" s="422"/>
      <c r="RRD137" s="422"/>
      <c r="RRE137" s="422"/>
      <c r="RRF137" s="422"/>
      <c r="RRG137" s="422"/>
      <c r="RRH137" s="422"/>
      <c r="RRI137" s="422"/>
      <c r="RRJ137" s="422"/>
      <c r="RRK137" s="422"/>
      <c r="RRL137" s="422"/>
      <c r="RRM137" s="422"/>
      <c r="RRN137" s="422"/>
      <c r="RRO137" s="422"/>
      <c r="RRP137" s="422"/>
      <c r="RRQ137" s="422"/>
      <c r="RRR137" s="422"/>
      <c r="RRS137" s="422"/>
      <c r="RRT137" s="422"/>
      <c r="RRU137" s="422"/>
      <c r="RRV137" s="422"/>
      <c r="RRW137" s="422"/>
      <c r="RRX137" s="422"/>
      <c r="RRY137" s="422"/>
      <c r="RRZ137" s="422"/>
      <c r="RSA137" s="422"/>
      <c r="RSB137" s="422"/>
      <c r="RSC137" s="422"/>
      <c r="RSD137" s="422"/>
      <c r="RSE137" s="422"/>
      <c r="RSF137" s="422"/>
      <c r="RSG137" s="422"/>
      <c r="RSH137" s="422"/>
      <c r="RSI137" s="422"/>
      <c r="RSJ137" s="422"/>
      <c r="RSK137" s="422"/>
      <c r="RSL137" s="422"/>
      <c r="RSM137" s="422"/>
      <c r="RSN137" s="422"/>
      <c r="RSO137" s="422"/>
      <c r="RSP137" s="422"/>
      <c r="RSQ137" s="422"/>
      <c r="RSR137" s="422"/>
      <c r="RSS137" s="422"/>
      <c r="RST137" s="422"/>
      <c r="RSU137" s="422"/>
      <c r="RSV137" s="422"/>
      <c r="RSW137" s="422"/>
      <c r="RSX137" s="422"/>
      <c r="RSY137" s="422"/>
      <c r="RSZ137" s="422"/>
      <c r="RTA137" s="422"/>
      <c r="RTB137" s="422"/>
      <c r="RTC137" s="422"/>
      <c r="RTD137" s="422"/>
      <c r="RTE137" s="422"/>
      <c r="RTF137" s="422"/>
      <c r="RTG137" s="422"/>
      <c r="RTH137" s="422"/>
      <c r="RTI137" s="422"/>
      <c r="RTJ137" s="422"/>
      <c r="RTK137" s="422"/>
      <c r="RTL137" s="422"/>
      <c r="RTM137" s="422"/>
      <c r="RTN137" s="422"/>
      <c r="RTO137" s="422"/>
      <c r="RTP137" s="422"/>
      <c r="RTQ137" s="422"/>
      <c r="RTR137" s="422"/>
      <c r="RTS137" s="422"/>
      <c r="RTT137" s="422"/>
      <c r="RTU137" s="422"/>
      <c r="RTV137" s="422"/>
      <c r="RTW137" s="422"/>
      <c r="RTX137" s="422"/>
      <c r="RTY137" s="422"/>
      <c r="RTZ137" s="422"/>
      <c r="RUA137" s="422"/>
      <c r="RUB137" s="422"/>
      <c r="RUC137" s="422"/>
      <c r="RUD137" s="422"/>
      <c r="RUE137" s="422"/>
      <c r="RUF137" s="422"/>
      <c r="RUG137" s="422"/>
      <c r="RUH137" s="422"/>
      <c r="RUI137" s="422"/>
      <c r="RUJ137" s="422"/>
      <c r="RUK137" s="422"/>
      <c r="RUL137" s="422"/>
      <c r="RUM137" s="422"/>
      <c r="RUN137" s="422"/>
      <c r="RUO137" s="422"/>
      <c r="RUP137" s="422"/>
      <c r="RUQ137" s="422"/>
      <c r="RUR137" s="422"/>
      <c r="RUS137" s="422"/>
      <c r="RUT137" s="422"/>
      <c r="RUU137" s="422"/>
      <c r="RUV137" s="422"/>
      <c r="RUW137" s="422"/>
      <c r="RUX137" s="422"/>
      <c r="RUY137" s="422"/>
      <c r="RUZ137" s="422"/>
      <c r="RVA137" s="422"/>
      <c r="RVB137" s="422"/>
      <c r="RVC137" s="422"/>
      <c r="RVD137" s="422"/>
      <c r="RVE137" s="422"/>
      <c r="RVF137" s="422"/>
      <c r="RVG137" s="422"/>
      <c r="RVH137" s="422"/>
      <c r="RVI137" s="422"/>
      <c r="RVJ137" s="422"/>
      <c r="RVK137" s="422"/>
      <c r="RVL137" s="422"/>
      <c r="RVM137" s="422"/>
      <c r="RVN137" s="422"/>
      <c r="RVO137" s="422"/>
      <c r="RVP137" s="422"/>
      <c r="RVQ137" s="422"/>
      <c r="RVR137" s="422"/>
      <c r="RVS137" s="422"/>
      <c r="RVT137" s="422"/>
      <c r="RVU137" s="422"/>
      <c r="RVV137" s="422"/>
      <c r="RVW137" s="422"/>
      <c r="RVX137" s="422"/>
      <c r="RVY137" s="422"/>
      <c r="RVZ137" s="422"/>
      <c r="RWA137" s="422"/>
      <c r="RWB137" s="422"/>
      <c r="RWC137" s="422"/>
      <c r="RWD137" s="422"/>
      <c r="RWE137" s="422"/>
      <c r="RWF137" s="422"/>
      <c r="RWG137" s="422"/>
      <c r="RWH137" s="422"/>
      <c r="RWI137" s="422"/>
      <c r="RWJ137" s="422"/>
      <c r="RWK137" s="422"/>
      <c r="RWL137" s="422"/>
      <c r="RWM137" s="422"/>
      <c r="RWN137" s="422"/>
      <c r="RWO137" s="422"/>
      <c r="RWP137" s="422"/>
      <c r="RWQ137" s="422"/>
      <c r="RWR137" s="422"/>
      <c r="RWS137" s="422"/>
      <c r="RWT137" s="422"/>
      <c r="RWU137" s="422"/>
      <c r="RWV137" s="422"/>
      <c r="RWW137" s="422"/>
      <c r="RWX137" s="422"/>
      <c r="RWY137" s="422"/>
      <c r="RWZ137" s="422"/>
      <c r="RXA137" s="422"/>
      <c r="RXB137" s="422"/>
      <c r="RXC137" s="422"/>
      <c r="RXD137" s="422"/>
      <c r="RXE137" s="422"/>
      <c r="RXF137" s="422"/>
      <c r="RXG137" s="422"/>
      <c r="RXH137" s="422"/>
      <c r="RXI137" s="422"/>
      <c r="RXJ137" s="422"/>
      <c r="RXK137" s="422"/>
      <c r="RXL137" s="422"/>
      <c r="RXM137" s="422"/>
      <c r="RXN137" s="422"/>
      <c r="RXO137" s="422"/>
      <c r="RXP137" s="422"/>
      <c r="RXQ137" s="422"/>
      <c r="RXR137" s="422"/>
      <c r="RXS137" s="422"/>
      <c r="RXT137" s="422"/>
      <c r="RXU137" s="422"/>
      <c r="RXV137" s="422"/>
      <c r="RXW137" s="422"/>
      <c r="RXX137" s="422"/>
      <c r="RXY137" s="422"/>
      <c r="RXZ137" s="422"/>
      <c r="RYA137" s="422"/>
      <c r="RYB137" s="422"/>
      <c r="RYC137" s="422"/>
      <c r="RYD137" s="422"/>
      <c r="RYE137" s="422"/>
      <c r="RYF137" s="422"/>
      <c r="RYG137" s="422"/>
      <c r="RYH137" s="422"/>
      <c r="RYI137" s="422"/>
      <c r="RYJ137" s="422"/>
      <c r="RYK137" s="422"/>
      <c r="RYL137" s="422"/>
      <c r="RYM137" s="422"/>
      <c r="RYN137" s="422"/>
      <c r="RYO137" s="422"/>
      <c r="RYP137" s="422"/>
      <c r="RYQ137" s="422"/>
      <c r="RYR137" s="422"/>
      <c r="RYS137" s="422"/>
      <c r="RYT137" s="422"/>
      <c r="RYU137" s="422"/>
      <c r="RYV137" s="422"/>
      <c r="RYW137" s="422"/>
      <c r="RYX137" s="422"/>
      <c r="RYY137" s="422"/>
      <c r="RYZ137" s="422"/>
      <c r="RZA137" s="422"/>
      <c r="RZB137" s="422"/>
      <c r="RZC137" s="422"/>
      <c r="RZD137" s="422"/>
      <c r="RZE137" s="422"/>
      <c r="RZF137" s="422"/>
      <c r="RZG137" s="422"/>
      <c r="RZH137" s="422"/>
      <c r="RZI137" s="422"/>
      <c r="RZJ137" s="422"/>
      <c r="RZK137" s="422"/>
      <c r="RZL137" s="422"/>
      <c r="RZM137" s="422"/>
      <c r="RZN137" s="422"/>
      <c r="RZO137" s="422"/>
      <c r="RZP137" s="422"/>
      <c r="RZQ137" s="422"/>
      <c r="RZR137" s="422"/>
      <c r="RZS137" s="422"/>
      <c r="RZT137" s="422"/>
      <c r="RZU137" s="422"/>
      <c r="RZV137" s="422"/>
      <c r="RZW137" s="422"/>
      <c r="RZX137" s="422"/>
      <c r="RZY137" s="422"/>
      <c r="RZZ137" s="422"/>
      <c r="SAA137" s="422"/>
      <c r="SAB137" s="422"/>
      <c r="SAC137" s="422"/>
      <c r="SAD137" s="422"/>
      <c r="SAE137" s="422"/>
      <c r="SAF137" s="422"/>
      <c r="SAG137" s="422"/>
      <c r="SAH137" s="422"/>
      <c r="SAI137" s="422"/>
      <c r="SAJ137" s="422"/>
      <c r="SAK137" s="422"/>
      <c r="SAL137" s="422"/>
      <c r="SAM137" s="422"/>
      <c r="SAN137" s="422"/>
      <c r="SAO137" s="422"/>
      <c r="SAP137" s="422"/>
      <c r="SAQ137" s="422"/>
      <c r="SAR137" s="422"/>
      <c r="SAS137" s="422"/>
      <c r="SAT137" s="422"/>
      <c r="SAU137" s="422"/>
      <c r="SAV137" s="422"/>
      <c r="SAW137" s="422"/>
      <c r="SAX137" s="422"/>
      <c r="SAY137" s="422"/>
      <c r="SAZ137" s="422"/>
      <c r="SBA137" s="422"/>
      <c r="SBB137" s="422"/>
      <c r="SBC137" s="422"/>
      <c r="SBD137" s="422"/>
      <c r="SBE137" s="422"/>
      <c r="SBF137" s="422"/>
      <c r="SBG137" s="422"/>
      <c r="SBH137" s="422"/>
      <c r="SBI137" s="422"/>
      <c r="SBJ137" s="422"/>
      <c r="SBK137" s="422"/>
      <c r="SBL137" s="422"/>
      <c r="SBM137" s="422"/>
      <c r="SBN137" s="422"/>
      <c r="SBO137" s="422"/>
      <c r="SBP137" s="422"/>
      <c r="SBQ137" s="422"/>
      <c r="SBR137" s="422"/>
      <c r="SBS137" s="422"/>
      <c r="SBT137" s="422"/>
      <c r="SBU137" s="422"/>
      <c r="SBV137" s="422"/>
      <c r="SBW137" s="422"/>
      <c r="SBX137" s="422"/>
      <c r="SBY137" s="422"/>
      <c r="SBZ137" s="422"/>
      <c r="SCA137" s="422"/>
      <c r="SCB137" s="422"/>
      <c r="SCC137" s="422"/>
      <c r="SCD137" s="422"/>
      <c r="SCE137" s="422"/>
      <c r="SCF137" s="422"/>
      <c r="SCG137" s="422"/>
      <c r="SCH137" s="422"/>
      <c r="SCI137" s="422"/>
      <c r="SCJ137" s="422"/>
      <c r="SCK137" s="422"/>
      <c r="SCL137" s="422"/>
      <c r="SCM137" s="422"/>
      <c r="SCN137" s="422"/>
      <c r="SCO137" s="422"/>
      <c r="SCP137" s="422"/>
      <c r="SCQ137" s="422"/>
      <c r="SCR137" s="422"/>
      <c r="SCS137" s="422"/>
      <c r="SCT137" s="422"/>
      <c r="SCU137" s="422"/>
      <c r="SCV137" s="422"/>
      <c r="SCW137" s="422"/>
      <c r="SCX137" s="422"/>
      <c r="SCY137" s="422"/>
      <c r="SCZ137" s="422"/>
      <c r="SDA137" s="422"/>
      <c r="SDB137" s="422"/>
      <c r="SDC137" s="422"/>
      <c r="SDD137" s="422"/>
      <c r="SDE137" s="422"/>
      <c r="SDF137" s="422"/>
      <c r="SDG137" s="422"/>
      <c r="SDH137" s="422"/>
      <c r="SDI137" s="422"/>
      <c r="SDJ137" s="422"/>
      <c r="SDK137" s="422"/>
      <c r="SDL137" s="422"/>
      <c r="SDM137" s="422"/>
      <c r="SDN137" s="422"/>
      <c r="SDO137" s="422"/>
      <c r="SDP137" s="422"/>
      <c r="SDQ137" s="422"/>
      <c r="SDR137" s="422"/>
      <c r="SDS137" s="422"/>
      <c r="SDT137" s="422"/>
      <c r="SDU137" s="422"/>
      <c r="SDV137" s="422"/>
      <c r="SDW137" s="422"/>
      <c r="SDX137" s="422"/>
      <c r="SDY137" s="422"/>
      <c r="SDZ137" s="422"/>
      <c r="SEA137" s="422"/>
      <c r="SEB137" s="422"/>
      <c r="SEC137" s="422"/>
      <c r="SED137" s="422"/>
      <c r="SEE137" s="422"/>
      <c r="SEF137" s="422"/>
      <c r="SEG137" s="422"/>
      <c r="SEH137" s="422"/>
      <c r="SEI137" s="422"/>
      <c r="SEJ137" s="422"/>
      <c r="SEK137" s="422"/>
      <c r="SEL137" s="422"/>
      <c r="SEM137" s="422"/>
      <c r="SEN137" s="422"/>
      <c r="SEO137" s="422"/>
      <c r="SEP137" s="422"/>
      <c r="SEQ137" s="422"/>
      <c r="SER137" s="422"/>
      <c r="SES137" s="422"/>
      <c r="SET137" s="422"/>
      <c r="SEU137" s="422"/>
      <c r="SEV137" s="422"/>
      <c r="SEW137" s="422"/>
      <c r="SEX137" s="422"/>
      <c r="SEY137" s="422"/>
      <c r="SEZ137" s="422"/>
      <c r="SFA137" s="422"/>
      <c r="SFB137" s="422"/>
      <c r="SFC137" s="422"/>
      <c r="SFD137" s="422"/>
      <c r="SFE137" s="422"/>
      <c r="SFF137" s="422"/>
      <c r="SFG137" s="422"/>
      <c r="SFH137" s="422"/>
      <c r="SFI137" s="422"/>
      <c r="SFJ137" s="422"/>
      <c r="SFK137" s="422"/>
      <c r="SFL137" s="422"/>
      <c r="SFM137" s="422"/>
      <c r="SFN137" s="422"/>
      <c r="SFO137" s="422"/>
      <c r="SFP137" s="422"/>
      <c r="SFQ137" s="422"/>
      <c r="SFR137" s="422"/>
      <c r="SFS137" s="422"/>
      <c r="SFT137" s="422"/>
      <c r="SFU137" s="422"/>
      <c r="SFV137" s="422"/>
      <c r="SFW137" s="422"/>
      <c r="SFX137" s="422"/>
      <c r="SFY137" s="422"/>
      <c r="SFZ137" s="422"/>
      <c r="SGA137" s="422"/>
      <c r="SGB137" s="422"/>
      <c r="SGC137" s="422"/>
      <c r="SGD137" s="422"/>
      <c r="SGE137" s="422"/>
      <c r="SGF137" s="422"/>
      <c r="SGG137" s="422"/>
      <c r="SGH137" s="422"/>
      <c r="SGI137" s="422"/>
      <c r="SGJ137" s="422"/>
      <c r="SGK137" s="422"/>
      <c r="SGL137" s="422"/>
      <c r="SGM137" s="422"/>
      <c r="SGN137" s="422"/>
      <c r="SGO137" s="422"/>
      <c r="SGP137" s="422"/>
      <c r="SGQ137" s="422"/>
      <c r="SGR137" s="422"/>
      <c r="SGS137" s="422"/>
      <c r="SGT137" s="422"/>
      <c r="SGU137" s="422"/>
      <c r="SGV137" s="422"/>
      <c r="SGW137" s="422"/>
      <c r="SGX137" s="422"/>
      <c r="SGY137" s="422"/>
      <c r="SGZ137" s="422"/>
      <c r="SHA137" s="422"/>
      <c r="SHB137" s="422"/>
      <c r="SHC137" s="422"/>
      <c r="SHD137" s="422"/>
      <c r="SHE137" s="422"/>
      <c r="SHF137" s="422"/>
      <c r="SHG137" s="422"/>
      <c r="SHH137" s="422"/>
      <c r="SHI137" s="422"/>
      <c r="SHJ137" s="422"/>
      <c r="SHK137" s="422"/>
      <c r="SHL137" s="422"/>
      <c r="SHM137" s="422"/>
      <c r="SHN137" s="422"/>
      <c r="SHO137" s="422"/>
      <c r="SHP137" s="422"/>
      <c r="SHQ137" s="422"/>
      <c r="SHR137" s="422"/>
      <c r="SHS137" s="422"/>
      <c r="SHT137" s="422"/>
      <c r="SHU137" s="422"/>
      <c r="SHV137" s="422"/>
      <c r="SHW137" s="422"/>
      <c r="SHX137" s="422"/>
      <c r="SHY137" s="422"/>
      <c r="SHZ137" s="422"/>
      <c r="SIA137" s="422"/>
      <c r="SIB137" s="422"/>
      <c r="SIC137" s="422"/>
      <c r="SID137" s="422"/>
      <c r="SIE137" s="422"/>
      <c r="SIF137" s="422"/>
      <c r="SIG137" s="422"/>
      <c r="SIH137" s="422"/>
      <c r="SII137" s="422"/>
      <c r="SIJ137" s="422"/>
      <c r="SIK137" s="422"/>
      <c r="SIL137" s="422"/>
      <c r="SIM137" s="422"/>
      <c r="SIN137" s="422"/>
      <c r="SIO137" s="422"/>
      <c r="SIP137" s="422"/>
      <c r="SIQ137" s="422"/>
      <c r="SIR137" s="422"/>
      <c r="SIS137" s="422"/>
      <c r="SIT137" s="422"/>
      <c r="SIU137" s="422"/>
      <c r="SIV137" s="422"/>
      <c r="SIW137" s="422"/>
      <c r="SIX137" s="422"/>
      <c r="SIY137" s="422"/>
      <c r="SIZ137" s="422"/>
      <c r="SJA137" s="422"/>
      <c r="SJB137" s="422"/>
      <c r="SJC137" s="422"/>
      <c r="SJD137" s="422"/>
      <c r="SJE137" s="422"/>
      <c r="SJF137" s="422"/>
      <c r="SJG137" s="422"/>
      <c r="SJH137" s="422"/>
      <c r="SJI137" s="422"/>
      <c r="SJJ137" s="422"/>
      <c r="SJK137" s="422"/>
      <c r="SJL137" s="422"/>
      <c r="SJM137" s="422"/>
      <c r="SJN137" s="422"/>
      <c r="SJO137" s="422"/>
      <c r="SJP137" s="422"/>
      <c r="SJQ137" s="422"/>
      <c r="SJR137" s="422"/>
      <c r="SJS137" s="422"/>
      <c r="SJT137" s="422"/>
      <c r="SJU137" s="422"/>
      <c r="SJV137" s="422"/>
      <c r="SJW137" s="422"/>
      <c r="SJX137" s="422"/>
      <c r="SJY137" s="422"/>
      <c r="SJZ137" s="422"/>
      <c r="SKA137" s="422"/>
      <c r="SKB137" s="422"/>
      <c r="SKC137" s="422"/>
      <c r="SKD137" s="422"/>
      <c r="SKE137" s="422"/>
      <c r="SKF137" s="422"/>
      <c r="SKG137" s="422"/>
      <c r="SKH137" s="422"/>
      <c r="SKI137" s="422"/>
      <c r="SKJ137" s="422"/>
      <c r="SKK137" s="422"/>
      <c r="SKL137" s="422"/>
      <c r="SKM137" s="422"/>
      <c r="SKN137" s="422"/>
      <c r="SKO137" s="422"/>
      <c r="SKP137" s="422"/>
      <c r="SKQ137" s="422"/>
      <c r="SKR137" s="422"/>
      <c r="SKS137" s="422"/>
      <c r="SKT137" s="422"/>
      <c r="SKU137" s="422"/>
      <c r="SKV137" s="422"/>
      <c r="SKW137" s="422"/>
      <c r="SKX137" s="422"/>
      <c r="SKY137" s="422"/>
      <c r="SKZ137" s="422"/>
      <c r="SLA137" s="422"/>
      <c r="SLB137" s="422"/>
      <c r="SLC137" s="422"/>
      <c r="SLD137" s="422"/>
      <c r="SLE137" s="422"/>
      <c r="SLF137" s="422"/>
      <c r="SLG137" s="422"/>
      <c r="SLH137" s="422"/>
      <c r="SLI137" s="422"/>
      <c r="SLJ137" s="422"/>
      <c r="SLK137" s="422"/>
      <c r="SLL137" s="422"/>
      <c r="SLM137" s="422"/>
      <c r="SLN137" s="422"/>
      <c r="SLO137" s="422"/>
      <c r="SLP137" s="422"/>
      <c r="SLQ137" s="422"/>
      <c r="SLR137" s="422"/>
      <c r="SLS137" s="422"/>
      <c r="SLT137" s="422"/>
      <c r="SLU137" s="422"/>
      <c r="SLV137" s="422"/>
      <c r="SLW137" s="422"/>
      <c r="SLX137" s="422"/>
      <c r="SLY137" s="422"/>
      <c r="SLZ137" s="422"/>
      <c r="SMA137" s="422"/>
      <c r="SMB137" s="422"/>
      <c r="SMC137" s="422"/>
      <c r="SMD137" s="422"/>
      <c r="SME137" s="422"/>
      <c r="SMF137" s="422"/>
      <c r="SMG137" s="422"/>
      <c r="SMH137" s="422"/>
      <c r="SMI137" s="422"/>
      <c r="SMJ137" s="422"/>
      <c r="SMK137" s="422"/>
      <c r="SML137" s="422"/>
      <c r="SMM137" s="422"/>
      <c r="SMN137" s="422"/>
      <c r="SMO137" s="422"/>
      <c r="SMP137" s="422"/>
      <c r="SMQ137" s="422"/>
      <c r="SMR137" s="422"/>
      <c r="SMS137" s="422"/>
      <c r="SMT137" s="422"/>
      <c r="SMU137" s="422"/>
      <c r="SMV137" s="422"/>
      <c r="SMW137" s="422"/>
      <c r="SMX137" s="422"/>
      <c r="SMY137" s="422"/>
      <c r="SMZ137" s="422"/>
      <c r="SNA137" s="422"/>
      <c r="SNB137" s="422"/>
      <c r="SNC137" s="422"/>
      <c r="SND137" s="422"/>
      <c r="SNE137" s="422"/>
      <c r="SNF137" s="422"/>
      <c r="SNG137" s="422"/>
      <c r="SNH137" s="422"/>
      <c r="SNI137" s="422"/>
      <c r="SNJ137" s="422"/>
      <c r="SNK137" s="422"/>
      <c r="SNL137" s="422"/>
      <c r="SNM137" s="422"/>
      <c r="SNN137" s="422"/>
      <c r="SNO137" s="422"/>
      <c r="SNP137" s="422"/>
      <c r="SNQ137" s="422"/>
      <c r="SNR137" s="422"/>
      <c r="SNS137" s="422"/>
      <c r="SNT137" s="422"/>
      <c r="SNU137" s="422"/>
      <c r="SNV137" s="422"/>
      <c r="SNW137" s="422"/>
      <c r="SNX137" s="422"/>
      <c r="SNY137" s="422"/>
      <c r="SNZ137" s="422"/>
      <c r="SOA137" s="422"/>
      <c r="SOB137" s="422"/>
      <c r="SOC137" s="422"/>
      <c r="SOD137" s="422"/>
      <c r="SOE137" s="422"/>
      <c r="SOF137" s="422"/>
      <c r="SOG137" s="422"/>
      <c r="SOH137" s="422"/>
      <c r="SOI137" s="422"/>
      <c r="SOJ137" s="422"/>
      <c r="SOK137" s="422"/>
      <c r="SOL137" s="422"/>
      <c r="SOM137" s="422"/>
      <c r="SON137" s="422"/>
      <c r="SOO137" s="422"/>
      <c r="SOP137" s="422"/>
      <c r="SOQ137" s="422"/>
      <c r="SOR137" s="422"/>
      <c r="SOS137" s="422"/>
      <c r="SOT137" s="422"/>
      <c r="SOU137" s="422"/>
      <c r="SOV137" s="422"/>
      <c r="SOW137" s="422"/>
      <c r="SOX137" s="422"/>
      <c r="SOY137" s="422"/>
      <c r="SOZ137" s="422"/>
      <c r="SPA137" s="422"/>
      <c r="SPB137" s="422"/>
      <c r="SPC137" s="422"/>
      <c r="SPD137" s="422"/>
      <c r="SPE137" s="422"/>
      <c r="SPF137" s="422"/>
      <c r="SPG137" s="422"/>
      <c r="SPH137" s="422"/>
      <c r="SPI137" s="422"/>
      <c r="SPJ137" s="422"/>
      <c r="SPK137" s="422"/>
      <c r="SPL137" s="422"/>
      <c r="SPM137" s="422"/>
      <c r="SPN137" s="422"/>
      <c r="SPO137" s="422"/>
      <c r="SPP137" s="422"/>
      <c r="SPQ137" s="422"/>
      <c r="SPR137" s="422"/>
      <c r="SPS137" s="422"/>
      <c r="SPT137" s="422"/>
      <c r="SPU137" s="422"/>
      <c r="SPV137" s="422"/>
      <c r="SPW137" s="422"/>
      <c r="SPX137" s="422"/>
      <c r="SPY137" s="422"/>
      <c r="SPZ137" s="422"/>
      <c r="SQA137" s="422"/>
      <c r="SQB137" s="422"/>
      <c r="SQC137" s="422"/>
      <c r="SQD137" s="422"/>
      <c r="SQE137" s="422"/>
      <c r="SQF137" s="422"/>
      <c r="SQG137" s="422"/>
      <c r="SQH137" s="422"/>
      <c r="SQI137" s="422"/>
      <c r="SQJ137" s="422"/>
      <c r="SQK137" s="422"/>
      <c r="SQL137" s="422"/>
      <c r="SQM137" s="422"/>
      <c r="SQN137" s="422"/>
      <c r="SQO137" s="422"/>
      <c r="SQP137" s="422"/>
      <c r="SQQ137" s="422"/>
      <c r="SQR137" s="422"/>
      <c r="SQS137" s="422"/>
      <c r="SQT137" s="422"/>
      <c r="SQU137" s="422"/>
      <c r="SQV137" s="422"/>
      <c r="SQW137" s="422"/>
      <c r="SQX137" s="422"/>
      <c r="SQY137" s="422"/>
      <c r="SQZ137" s="422"/>
      <c r="SRA137" s="422"/>
      <c r="SRB137" s="422"/>
      <c r="SRC137" s="422"/>
      <c r="SRD137" s="422"/>
      <c r="SRE137" s="422"/>
      <c r="SRF137" s="422"/>
      <c r="SRG137" s="422"/>
      <c r="SRH137" s="422"/>
      <c r="SRI137" s="422"/>
      <c r="SRJ137" s="422"/>
      <c r="SRK137" s="422"/>
      <c r="SRL137" s="422"/>
      <c r="SRM137" s="422"/>
      <c r="SRN137" s="422"/>
      <c r="SRO137" s="422"/>
      <c r="SRP137" s="422"/>
      <c r="SRQ137" s="422"/>
      <c r="SRR137" s="422"/>
      <c r="SRS137" s="422"/>
      <c r="SRT137" s="422"/>
      <c r="SRU137" s="422"/>
      <c r="SRV137" s="422"/>
      <c r="SRW137" s="422"/>
      <c r="SRX137" s="422"/>
      <c r="SRY137" s="422"/>
      <c r="SRZ137" s="422"/>
      <c r="SSA137" s="422"/>
      <c r="SSB137" s="422"/>
      <c r="SSC137" s="422"/>
      <c r="SSD137" s="422"/>
      <c r="SSE137" s="422"/>
      <c r="SSF137" s="422"/>
      <c r="SSG137" s="422"/>
      <c r="SSH137" s="422"/>
      <c r="SSI137" s="422"/>
      <c r="SSJ137" s="422"/>
      <c r="SSK137" s="422"/>
      <c r="SSL137" s="422"/>
      <c r="SSM137" s="422"/>
      <c r="SSN137" s="422"/>
      <c r="SSO137" s="422"/>
      <c r="SSP137" s="422"/>
      <c r="SSQ137" s="422"/>
      <c r="SSR137" s="422"/>
      <c r="SSS137" s="422"/>
      <c r="SST137" s="422"/>
      <c r="SSU137" s="422"/>
      <c r="SSV137" s="422"/>
      <c r="SSW137" s="422"/>
      <c r="SSX137" s="422"/>
      <c r="SSY137" s="422"/>
      <c r="SSZ137" s="422"/>
      <c r="STA137" s="422"/>
      <c r="STB137" s="422"/>
      <c r="STC137" s="422"/>
      <c r="STD137" s="422"/>
      <c r="STE137" s="422"/>
      <c r="STF137" s="422"/>
      <c r="STG137" s="422"/>
      <c r="STH137" s="422"/>
      <c r="STI137" s="422"/>
      <c r="STJ137" s="422"/>
      <c r="STK137" s="422"/>
      <c r="STL137" s="422"/>
      <c r="STM137" s="422"/>
      <c r="STN137" s="422"/>
      <c r="STO137" s="422"/>
      <c r="STP137" s="422"/>
      <c r="STQ137" s="422"/>
      <c r="STR137" s="422"/>
      <c r="STS137" s="422"/>
      <c r="STT137" s="422"/>
      <c r="STU137" s="422"/>
      <c r="STV137" s="422"/>
      <c r="STW137" s="422"/>
      <c r="STX137" s="422"/>
      <c r="STY137" s="422"/>
      <c r="STZ137" s="422"/>
      <c r="SUA137" s="422"/>
      <c r="SUB137" s="422"/>
      <c r="SUC137" s="422"/>
      <c r="SUD137" s="422"/>
      <c r="SUE137" s="422"/>
      <c r="SUF137" s="422"/>
      <c r="SUG137" s="422"/>
      <c r="SUH137" s="422"/>
      <c r="SUI137" s="422"/>
      <c r="SUJ137" s="422"/>
      <c r="SUK137" s="422"/>
      <c r="SUL137" s="422"/>
      <c r="SUM137" s="422"/>
      <c r="SUN137" s="422"/>
      <c r="SUO137" s="422"/>
      <c r="SUP137" s="422"/>
      <c r="SUQ137" s="422"/>
      <c r="SUR137" s="422"/>
      <c r="SUS137" s="422"/>
      <c r="SUT137" s="422"/>
      <c r="SUU137" s="422"/>
      <c r="SUV137" s="422"/>
      <c r="SUW137" s="422"/>
      <c r="SUX137" s="422"/>
      <c r="SUY137" s="422"/>
      <c r="SUZ137" s="422"/>
      <c r="SVA137" s="422"/>
      <c r="SVB137" s="422"/>
      <c r="SVC137" s="422"/>
      <c r="SVD137" s="422"/>
      <c r="SVE137" s="422"/>
      <c r="SVF137" s="422"/>
      <c r="SVG137" s="422"/>
      <c r="SVH137" s="422"/>
      <c r="SVI137" s="422"/>
      <c r="SVJ137" s="422"/>
      <c r="SVK137" s="422"/>
      <c r="SVL137" s="422"/>
      <c r="SVM137" s="422"/>
      <c r="SVN137" s="422"/>
      <c r="SVO137" s="422"/>
      <c r="SVP137" s="422"/>
      <c r="SVQ137" s="422"/>
      <c r="SVR137" s="422"/>
      <c r="SVS137" s="422"/>
      <c r="SVT137" s="422"/>
      <c r="SVU137" s="422"/>
      <c r="SVV137" s="422"/>
      <c r="SVW137" s="422"/>
      <c r="SVX137" s="422"/>
      <c r="SVY137" s="422"/>
      <c r="SVZ137" s="422"/>
      <c r="SWA137" s="422"/>
      <c r="SWB137" s="422"/>
      <c r="SWC137" s="422"/>
      <c r="SWD137" s="422"/>
      <c r="SWE137" s="422"/>
      <c r="SWF137" s="422"/>
      <c r="SWG137" s="422"/>
      <c r="SWH137" s="422"/>
      <c r="SWI137" s="422"/>
      <c r="SWJ137" s="422"/>
      <c r="SWK137" s="422"/>
      <c r="SWL137" s="422"/>
      <c r="SWM137" s="422"/>
      <c r="SWN137" s="422"/>
      <c r="SWO137" s="422"/>
      <c r="SWP137" s="422"/>
      <c r="SWQ137" s="422"/>
      <c r="SWR137" s="422"/>
      <c r="SWS137" s="422"/>
      <c r="SWT137" s="422"/>
      <c r="SWU137" s="422"/>
      <c r="SWV137" s="422"/>
      <c r="SWW137" s="422"/>
      <c r="SWX137" s="422"/>
      <c r="SWY137" s="422"/>
      <c r="SWZ137" s="422"/>
      <c r="SXA137" s="422"/>
      <c r="SXB137" s="422"/>
      <c r="SXC137" s="422"/>
      <c r="SXD137" s="422"/>
      <c r="SXE137" s="422"/>
      <c r="SXF137" s="422"/>
      <c r="SXG137" s="422"/>
      <c r="SXH137" s="422"/>
      <c r="SXI137" s="422"/>
      <c r="SXJ137" s="422"/>
      <c r="SXK137" s="422"/>
      <c r="SXL137" s="422"/>
      <c r="SXM137" s="422"/>
      <c r="SXN137" s="422"/>
      <c r="SXO137" s="422"/>
      <c r="SXP137" s="422"/>
      <c r="SXQ137" s="422"/>
      <c r="SXR137" s="422"/>
      <c r="SXS137" s="422"/>
      <c r="SXT137" s="422"/>
      <c r="SXU137" s="422"/>
      <c r="SXV137" s="422"/>
      <c r="SXW137" s="422"/>
      <c r="SXX137" s="422"/>
      <c r="SXY137" s="422"/>
      <c r="SXZ137" s="422"/>
      <c r="SYA137" s="422"/>
      <c r="SYB137" s="422"/>
      <c r="SYC137" s="422"/>
      <c r="SYD137" s="422"/>
      <c r="SYE137" s="422"/>
      <c r="SYF137" s="422"/>
      <c r="SYG137" s="422"/>
      <c r="SYH137" s="422"/>
      <c r="SYI137" s="422"/>
      <c r="SYJ137" s="422"/>
      <c r="SYK137" s="422"/>
      <c r="SYL137" s="422"/>
      <c r="SYM137" s="422"/>
      <c r="SYN137" s="422"/>
      <c r="SYO137" s="422"/>
      <c r="SYP137" s="422"/>
      <c r="SYQ137" s="422"/>
      <c r="SYR137" s="422"/>
      <c r="SYS137" s="422"/>
      <c r="SYT137" s="422"/>
      <c r="SYU137" s="422"/>
      <c r="SYV137" s="422"/>
      <c r="SYW137" s="422"/>
      <c r="SYX137" s="422"/>
      <c r="SYY137" s="422"/>
      <c r="SYZ137" s="422"/>
      <c r="SZA137" s="422"/>
      <c r="SZB137" s="422"/>
      <c r="SZC137" s="422"/>
      <c r="SZD137" s="422"/>
      <c r="SZE137" s="422"/>
      <c r="SZF137" s="422"/>
      <c r="SZG137" s="422"/>
      <c r="SZH137" s="422"/>
      <c r="SZI137" s="422"/>
      <c r="SZJ137" s="422"/>
      <c r="SZK137" s="422"/>
      <c r="SZL137" s="422"/>
      <c r="SZM137" s="422"/>
      <c r="SZN137" s="422"/>
      <c r="SZO137" s="422"/>
      <c r="SZP137" s="422"/>
      <c r="SZQ137" s="422"/>
      <c r="SZR137" s="422"/>
      <c r="SZS137" s="422"/>
      <c r="SZT137" s="422"/>
      <c r="SZU137" s="422"/>
      <c r="SZV137" s="422"/>
      <c r="SZW137" s="422"/>
      <c r="SZX137" s="422"/>
      <c r="SZY137" s="422"/>
      <c r="SZZ137" s="422"/>
      <c r="TAA137" s="422"/>
      <c r="TAB137" s="422"/>
      <c r="TAC137" s="422"/>
      <c r="TAD137" s="422"/>
      <c r="TAE137" s="422"/>
      <c r="TAF137" s="422"/>
      <c r="TAG137" s="422"/>
      <c r="TAH137" s="422"/>
      <c r="TAI137" s="422"/>
      <c r="TAJ137" s="422"/>
      <c r="TAK137" s="422"/>
      <c r="TAL137" s="422"/>
      <c r="TAM137" s="422"/>
      <c r="TAN137" s="422"/>
      <c r="TAO137" s="422"/>
      <c r="TAP137" s="422"/>
      <c r="TAQ137" s="422"/>
      <c r="TAR137" s="422"/>
      <c r="TAS137" s="422"/>
      <c r="TAT137" s="422"/>
      <c r="TAU137" s="422"/>
      <c r="TAV137" s="422"/>
      <c r="TAW137" s="422"/>
      <c r="TAX137" s="422"/>
      <c r="TAY137" s="422"/>
      <c r="TAZ137" s="422"/>
      <c r="TBA137" s="422"/>
      <c r="TBB137" s="422"/>
      <c r="TBC137" s="422"/>
      <c r="TBD137" s="422"/>
      <c r="TBE137" s="422"/>
      <c r="TBF137" s="422"/>
      <c r="TBG137" s="422"/>
      <c r="TBH137" s="422"/>
      <c r="TBI137" s="422"/>
      <c r="TBJ137" s="422"/>
      <c r="TBK137" s="422"/>
      <c r="TBL137" s="422"/>
      <c r="TBM137" s="422"/>
      <c r="TBN137" s="422"/>
      <c r="TBO137" s="422"/>
      <c r="TBP137" s="422"/>
      <c r="TBQ137" s="422"/>
      <c r="TBR137" s="422"/>
      <c r="TBS137" s="422"/>
      <c r="TBT137" s="422"/>
      <c r="TBU137" s="422"/>
      <c r="TBV137" s="422"/>
      <c r="TBW137" s="422"/>
      <c r="TBX137" s="422"/>
      <c r="TBY137" s="422"/>
      <c r="TBZ137" s="422"/>
      <c r="TCA137" s="422"/>
      <c r="TCB137" s="422"/>
      <c r="TCC137" s="422"/>
      <c r="TCD137" s="422"/>
      <c r="TCE137" s="422"/>
      <c r="TCF137" s="422"/>
      <c r="TCG137" s="422"/>
      <c r="TCH137" s="422"/>
      <c r="TCI137" s="422"/>
      <c r="TCJ137" s="422"/>
      <c r="TCK137" s="422"/>
      <c r="TCL137" s="422"/>
      <c r="TCM137" s="422"/>
      <c r="TCN137" s="422"/>
      <c r="TCO137" s="422"/>
      <c r="TCP137" s="422"/>
      <c r="TCQ137" s="422"/>
      <c r="TCR137" s="422"/>
      <c r="TCS137" s="422"/>
      <c r="TCT137" s="422"/>
      <c r="TCU137" s="422"/>
      <c r="TCV137" s="422"/>
      <c r="TCW137" s="422"/>
      <c r="TCX137" s="422"/>
      <c r="TCY137" s="422"/>
      <c r="TCZ137" s="422"/>
      <c r="TDA137" s="422"/>
      <c r="TDB137" s="422"/>
      <c r="TDC137" s="422"/>
      <c r="TDD137" s="422"/>
      <c r="TDE137" s="422"/>
      <c r="TDF137" s="422"/>
      <c r="TDG137" s="422"/>
      <c r="TDH137" s="422"/>
      <c r="TDI137" s="422"/>
      <c r="TDJ137" s="422"/>
      <c r="TDK137" s="422"/>
      <c r="TDL137" s="422"/>
      <c r="TDM137" s="422"/>
      <c r="TDN137" s="422"/>
      <c r="TDO137" s="422"/>
      <c r="TDP137" s="422"/>
      <c r="TDQ137" s="422"/>
      <c r="TDR137" s="422"/>
      <c r="TDS137" s="422"/>
      <c r="TDT137" s="422"/>
      <c r="TDU137" s="422"/>
      <c r="TDV137" s="422"/>
      <c r="TDW137" s="422"/>
      <c r="TDX137" s="422"/>
      <c r="TDY137" s="422"/>
      <c r="TDZ137" s="422"/>
      <c r="TEA137" s="422"/>
      <c r="TEB137" s="422"/>
      <c r="TEC137" s="422"/>
      <c r="TED137" s="422"/>
      <c r="TEE137" s="422"/>
      <c r="TEF137" s="422"/>
      <c r="TEG137" s="422"/>
      <c r="TEH137" s="422"/>
      <c r="TEI137" s="422"/>
      <c r="TEJ137" s="422"/>
      <c r="TEK137" s="422"/>
      <c r="TEL137" s="422"/>
      <c r="TEM137" s="422"/>
      <c r="TEN137" s="422"/>
      <c r="TEO137" s="422"/>
      <c r="TEP137" s="422"/>
      <c r="TEQ137" s="422"/>
      <c r="TER137" s="422"/>
      <c r="TES137" s="422"/>
      <c r="TET137" s="422"/>
      <c r="TEU137" s="422"/>
      <c r="TEV137" s="422"/>
      <c r="TEW137" s="422"/>
      <c r="TEX137" s="422"/>
      <c r="TEY137" s="422"/>
      <c r="TEZ137" s="422"/>
      <c r="TFA137" s="422"/>
      <c r="TFB137" s="422"/>
      <c r="TFC137" s="422"/>
      <c r="TFD137" s="422"/>
      <c r="TFE137" s="422"/>
      <c r="TFF137" s="422"/>
      <c r="TFG137" s="422"/>
      <c r="TFH137" s="422"/>
      <c r="TFI137" s="422"/>
      <c r="TFJ137" s="422"/>
      <c r="TFK137" s="422"/>
      <c r="TFL137" s="422"/>
      <c r="TFM137" s="422"/>
      <c r="TFN137" s="422"/>
      <c r="TFO137" s="422"/>
      <c r="TFP137" s="422"/>
      <c r="TFQ137" s="422"/>
      <c r="TFR137" s="422"/>
      <c r="TFS137" s="422"/>
      <c r="TFT137" s="422"/>
      <c r="TFU137" s="422"/>
      <c r="TFV137" s="422"/>
      <c r="TFW137" s="422"/>
      <c r="TFX137" s="422"/>
      <c r="TFY137" s="422"/>
      <c r="TFZ137" s="422"/>
      <c r="TGA137" s="422"/>
      <c r="TGB137" s="422"/>
      <c r="TGC137" s="422"/>
      <c r="TGD137" s="422"/>
      <c r="TGE137" s="422"/>
      <c r="TGF137" s="422"/>
      <c r="TGG137" s="422"/>
      <c r="TGH137" s="422"/>
      <c r="TGI137" s="422"/>
      <c r="TGJ137" s="422"/>
      <c r="TGK137" s="422"/>
      <c r="TGL137" s="422"/>
      <c r="TGM137" s="422"/>
      <c r="TGN137" s="422"/>
      <c r="TGO137" s="422"/>
      <c r="TGP137" s="422"/>
      <c r="TGQ137" s="422"/>
      <c r="TGR137" s="422"/>
      <c r="TGS137" s="422"/>
      <c r="TGT137" s="422"/>
      <c r="TGU137" s="422"/>
      <c r="TGV137" s="422"/>
      <c r="TGW137" s="422"/>
      <c r="TGX137" s="422"/>
      <c r="TGY137" s="422"/>
      <c r="TGZ137" s="422"/>
      <c r="THA137" s="422"/>
      <c r="THB137" s="422"/>
      <c r="THC137" s="422"/>
      <c r="THD137" s="422"/>
      <c r="THE137" s="422"/>
      <c r="THF137" s="422"/>
      <c r="THG137" s="422"/>
      <c r="THH137" s="422"/>
      <c r="THI137" s="422"/>
      <c r="THJ137" s="422"/>
      <c r="THK137" s="422"/>
      <c r="THL137" s="422"/>
      <c r="THM137" s="422"/>
      <c r="THN137" s="422"/>
      <c r="THO137" s="422"/>
      <c r="THP137" s="422"/>
      <c r="THQ137" s="422"/>
      <c r="THR137" s="422"/>
      <c r="THS137" s="422"/>
      <c r="THT137" s="422"/>
      <c r="THU137" s="422"/>
      <c r="THV137" s="422"/>
      <c r="THW137" s="422"/>
      <c r="THX137" s="422"/>
      <c r="THY137" s="422"/>
      <c r="THZ137" s="422"/>
      <c r="TIA137" s="422"/>
      <c r="TIB137" s="422"/>
      <c r="TIC137" s="422"/>
      <c r="TID137" s="422"/>
      <c r="TIE137" s="422"/>
      <c r="TIF137" s="422"/>
      <c r="TIG137" s="422"/>
      <c r="TIH137" s="422"/>
      <c r="TII137" s="422"/>
      <c r="TIJ137" s="422"/>
      <c r="TIK137" s="422"/>
      <c r="TIL137" s="422"/>
      <c r="TIM137" s="422"/>
      <c r="TIN137" s="422"/>
      <c r="TIO137" s="422"/>
      <c r="TIP137" s="422"/>
      <c r="TIQ137" s="422"/>
      <c r="TIR137" s="422"/>
      <c r="TIS137" s="422"/>
      <c r="TIT137" s="422"/>
      <c r="TIU137" s="422"/>
      <c r="TIV137" s="422"/>
      <c r="TIW137" s="422"/>
      <c r="TIX137" s="422"/>
      <c r="TIY137" s="422"/>
      <c r="TIZ137" s="422"/>
      <c r="TJA137" s="422"/>
      <c r="TJB137" s="422"/>
      <c r="TJC137" s="422"/>
      <c r="TJD137" s="422"/>
      <c r="TJE137" s="422"/>
      <c r="TJF137" s="422"/>
      <c r="TJG137" s="422"/>
      <c r="TJH137" s="422"/>
      <c r="TJI137" s="422"/>
      <c r="TJJ137" s="422"/>
      <c r="TJK137" s="422"/>
      <c r="TJL137" s="422"/>
      <c r="TJM137" s="422"/>
      <c r="TJN137" s="422"/>
      <c r="TJO137" s="422"/>
      <c r="TJP137" s="422"/>
      <c r="TJQ137" s="422"/>
      <c r="TJR137" s="422"/>
      <c r="TJS137" s="422"/>
      <c r="TJT137" s="422"/>
      <c r="TJU137" s="422"/>
      <c r="TJV137" s="422"/>
      <c r="TJW137" s="422"/>
      <c r="TJX137" s="422"/>
      <c r="TJY137" s="422"/>
      <c r="TJZ137" s="422"/>
      <c r="TKA137" s="422"/>
      <c r="TKB137" s="422"/>
      <c r="TKC137" s="422"/>
      <c r="TKD137" s="422"/>
      <c r="TKE137" s="422"/>
      <c r="TKF137" s="422"/>
      <c r="TKG137" s="422"/>
      <c r="TKH137" s="422"/>
      <c r="TKI137" s="422"/>
      <c r="TKJ137" s="422"/>
      <c r="TKK137" s="422"/>
      <c r="TKL137" s="422"/>
      <c r="TKM137" s="422"/>
      <c r="TKN137" s="422"/>
      <c r="TKO137" s="422"/>
      <c r="TKP137" s="422"/>
      <c r="TKQ137" s="422"/>
      <c r="TKR137" s="422"/>
      <c r="TKS137" s="422"/>
      <c r="TKT137" s="422"/>
      <c r="TKU137" s="422"/>
      <c r="TKV137" s="422"/>
      <c r="TKW137" s="422"/>
      <c r="TKX137" s="422"/>
      <c r="TKY137" s="422"/>
      <c r="TKZ137" s="422"/>
      <c r="TLA137" s="422"/>
      <c r="TLB137" s="422"/>
      <c r="TLC137" s="422"/>
      <c r="TLD137" s="422"/>
      <c r="TLE137" s="422"/>
      <c r="TLF137" s="422"/>
      <c r="TLG137" s="422"/>
      <c r="TLH137" s="422"/>
      <c r="TLI137" s="422"/>
      <c r="TLJ137" s="422"/>
      <c r="TLK137" s="422"/>
      <c r="TLL137" s="422"/>
      <c r="TLM137" s="422"/>
      <c r="TLN137" s="422"/>
      <c r="TLO137" s="422"/>
      <c r="TLP137" s="422"/>
      <c r="TLQ137" s="422"/>
      <c r="TLR137" s="422"/>
      <c r="TLS137" s="422"/>
      <c r="TLT137" s="422"/>
      <c r="TLU137" s="422"/>
      <c r="TLV137" s="422"/>
      <c r="TLW137" s="422"/>
      <c r="TLX137" s="422"/>
      <c r="TLY137" s="422"/>
      <c r="TLZ137" s="422"/>
      <c r="TMA137" s="422"/>
      <c r="TMB137" s="422"/>
      <c r="TMC137" s="422"/>
      <c r="TMD137" s="422"/>
      <c r="TME137" s="422"/>
      <c r="TMF137" s="422"/>
      <c r="TMG137" s="422"/>
      <c r="TMH137" s="422"/>
      <c r="TMI137" s="422"/>
      <c r="TMJ137" s="422"/>
      <c r="TMK137" s="422"/>
      <c r="TML137" s="422"/>
      <c r="TMM137" s="422"/>
      <c r="TMN137" s="422"/>
      <c r="TMO137" s="422"/>
      <c r="TMP137" s="422"/>
      <c r="TMQ137" s="422"/>
      <c r="TMR137" s="422"/>
      <c r="TMS137" s="422"/>
      <c r="TMT137" s="422"/>
      <c r="TMU137" s="422"/>
      <c r="TMV137" s="422"/>
      <c r="TMW137" s="422"/>
      <c r="TMX137" s="422"/>
      <c r="TMY137" s="422"/>
      <c r="TMZ137" s="422"/>
      <c r="TNA137" s="422"/>
      <c r="TNB137" s="422"/>
      <c r="TNC137" s="422"/>
      <c r="TND137" s="422"/>
      <c r="TNE137" s="422"/>
      <c r="TNF137" s="422"/>
      <c r="TNG137" s="422"/>
      <c r="TNH137" s="422"/>
      <c r="TNI137" s="422"/>
      <c r="TNJ137" s="422"/>
      <c r="TNK137" s="422"/>
      <c r="TNL137" s="422"/>
      <c r="TNM137" s="422"/>
      <c r="TNN137" s="422"/>
      <c r="TNO137" s="422"/>
      <c r="TNP137" s="422"/>
      <c r="TNQ137" s="422"/>
      <c r="TNR137" s="422"/>
      <c r="TNS137" s="422"/>
      <c r="TNT137" s="422"/>
      <c r="TNU137" s="422"/>
      <c r="TNV137" s="422"/>
      <c r="TNW137" s="422"/>
      <c r="TNX137" s="422"/>
      <c r="TNY137" s="422"/>
      <c r="TNZ137" s="422"/>
      <c r="TOA137" s="422"/>
      <c r="TOB137" s="422"/>
      <c r="TOC137" s="422"/>
      <c r="TOD137" s="422"/>
      <c r="TOE137" s="422"/>
      <c r="TOF137" s="422"/>
      <c r="TOG137" s="422"/>
      <c r="TOH137" s="422"/>
      <c r="TOI137" s="422"/>
      <c r="TOJ137" s="422"/>
      <c r="TOK137" s="422"/>
      <c r="TOL137" s="422"/>
      <c r="TOM137" s="422"/>
      <c r="TON137" s="422"/>
      <c r="TOO137" s="422"/>
      <c r="TOP137" s="422"/>
      <c r="TOQ137" s="422"/>
      <c r="TOR137" s="422"/>
      <c r="TOS137" s="422"/>
      <c r="TOT137" s="422"/>
      <c r="TOU137" s="422"/>
      <c r="TOV137" s="422"/>
      <c r="TOW137" s="422"/>
      <c r="TOX137" s="422"/>
      <c r="TOY137" s="422"/>
      <c r="TOZ137" s="422"/>
      <c r="TPA137" s="422"/>
      <c r="TPB137" s="422"/>
      <c r="TPC137" s="422"/>
      <c r="TPD137" s="422"/>
      <c r="TPE137" s="422"/>
      <c r="TPF137" s="422"/>
      <c r="TPG137" s="422"/>
      <c r="TPH137" s="422"/>
      <c r="TPI137" s="422"/>
      <c r="TPJ137" s="422"/>
      <c r="TPK137" s="422"/>
      <c r="TPL137" s="422"/>
      <c r="TPM137" s="422"/>
      <c r="TPN137" s="422"/>
      <c r="TPO137" s="422"/>
      <c r="TPP137" s="422"/>
      <c r="TPQ137" s="422"/>
      <c r="TPR137" s="422"/>
      <c r="TPS137" s="422"/>
      <c r="TPT137" s="422"/>
      <c r="TPU137" s="422"/>
      <c r="TPV137" s="422"/>
      <c r="TPW137" s="422"/>
      <c r="TPX137" s="422"/>
      <c r="TPY137" s="422"/>
      <c r="TPZ137" s="422"/>
      <c r="TQA137" s="422"/>
      <c r="TQB137" s="422"/>
      <c r="TQC137" s="422"/>
      <c r="TQD137" s="422"/>
      <c r="TQE137" s="422"/>
      <c r="TQF137" s="422"/>
      <c r="TQG137" s="422"/>
      <c r="TQH137" s="422"/>
      <c r="TQI137" s="422"/>
      <c r="TQJ137" s="422"/>
      <c r="TQK137" s="422"/>
      <c r="TQL137" s="422"/>
      <c r="TQM137" s="422"/>
      <c r="TQN137" s="422"/>
      <c r="TQO137" s="422"/>
      <c r="TQP137" s="422"/>
      <c r="TQQ137" s="422"/>
      <c r="TQR137" s="422"/>
      <c r="TQS137" s="422"/>
      <c r="TQT137" s="422"/>
      <c r="TQU137" s="422"/>
      <c r="TQV137" s="422"/>
      <c r="TQW137" s="422"/>
      <c r="TQX137" s="422"/>
      <c r="TQY137" s="422"/>
      <c r="TQZ137" s="422"/>
      <c r="TRA137" s="422"/>
      <c r="TRB137" s="422"/>
      <c r="TRC137" s="422"/>
      <c r="TRD137" s="422"/>
      <c r="TRE137" s="422"/>
      <c r="TRF137" s="422"/>
      <c r="TRG137" s="422"/>
      <c r="TRH137" s="422"/>
      <c r="TRI137" s="422"/>
      <c r="TRJ137" s="422"/>
      <c r="TRK137" s="422"/>
      <c r="TRL137" s="422"/>
      <c r="TRM137" s="422"/>
      <c r="TRN137" s="422"/>
      <c r="TRO137" s="422"/>
      <c r="TRP137" s="422"/>
      <c r="TRQ137" s="422"/>
      <c r="TRR137" s="422"/>
      <c r="TRS137" s="422"/>
      <c r="TRT137" s="422"/>
      <c r="TRU137" s="422"/>
      <c r="TRV137" s="422"/>
      <c r="TRW137" s="422"/>
      <c r="TRX137" s="422"/>
      <c r="TRY137" s="422"/>
      <c r="TRZ137" s="422"/>
      <c r="TSA137" s="422"/>
      <c r="TSB137" s="422"/>
      <c r="TSC137" s="422"/>
      <c r="TSD137" s="422"/>
      <c r="TSE137" s="422"/>
      <c r="TSF137" s="422"/>
      <c r="TSG137" s="422"/>
      <c r="TSH137" s="422"/>
      <c r="TSI137" s="422"/>
      <c r="TSJ137" s="422"/>
      <c r="TSK137" s="422"/>
      <c r="TSL137" s="422"/>
      <c r="TSM137" s="422"/>
      <c r="TSN137" s="422"/>
      <c r="TSO137" s="422"/>
      <c r="TSP137" s="422"/>
      <c r="TSQ137" s="422"/>
      <c r="TSR137" s="422"/>
      <c r="TSS137" s="422"/>
      <c r="TST137" s="422"/>
      <c r="TSU137" s="422"/>
      <c r="TSV137" s="422"/>
      <c r="TSW137" s="422"/>
      <c r="TSX137" s="422"/>
      <c r="TSY137" s="422"/>
      <c r="TSZ137" s="422"/>
      <c r="TTA137" s="422"/>
      <c r="TTB137" s="422"/>
      <c r="TTC137" s="422"/>
      <c r="TTD137" s="422"/>
      <c r="TTE137" s="422"/>
      <c r="TTF137" s="422"/>
      <c r="TTG137" s="422"/>
      <c r="TTH137" s="422"/>
      <c r="TTI137" s="422"/>
      <c r="TTJ137" s="422"/>
      <c r="TTK137" s="422"/>
      <c r="TTL137" s="422"/>
      <c r="TTM137" s="422"/>
      <c r="TTN137" s="422"/>
      <c r="TTO137" s="422"/>
      <c r="TTP137" s="422"/>
      <c r="TTQ137" s="422"/>
      <c r="TTR137" s="422"/>
      <c r="TTS137" s="422"/>
      <c r="TTT137" s="422"/>
      <c r="TTU137" s="422"/>
      <c r="TTV137" s="422"/>
      <c r="TTW137" s="422"/>
      <c r="TTX137" s="422"/>
      <c r="TTY137" s="422"/>
      <c r="TTZ137" s="422"/>
      <c r="TUA137" s="422"/>
      <c r="TUB137" s="422"/>
      <c r="TUC137" s="422"/>
      <c r="TUD137" s="422"/>
      <c r="TUE137" s="422"/>
      <c r="TUF137" s="422"/>
      <c r="TUG137" s="422"/>
      <c r="TUH137" s="422"/>
      <c r="TUI137" s="422"/>
      <c r="TUJ137" s="422"/>
      <c r="TUK137" s="422"/>
      <c r="TUL137" s="422"/>
      <c r="TUM137" s="422"/>
      <c r="TUN137" s="422"/>
      <c r="TUO137" s="422"/>
      <c r="TUP137" s="422"/>
      <c r="TUQ137" s="422"/>
      <c r="TUR137" s="422"/>
      <c r="TUS137" s="422"/>
      <c r="TUT137" s="422"/>
      <c r="TUU137" s="422"/>
      <c r="TUV137" s="422"/>
      <c r="TUW137" s="422"/>
      <c r="TUX137" s="422"/>
      <c r="TUY137" s="422"/>
      <c r="TUZ137" s="422"/>
      <c r="TVA137" s="422"/>
      <c r="TVB137" s="422"/>
      <c r="TVC137" s="422"/>
      <c r="TVD137" s="422"/>
      <c r="TVE137" s="422"/>
      <c r="TVF137" s="422"/>
      <c r="TVG137" s="422"/>
      <c r="TVH137" s="422"/>
      <c r="TVI137" s="422"/>
      <c r="TVJ137" s="422"/>
      <c r="TVK137" s="422"/>
      <c r="TVL137" s="422"/>
      <c r="TVM137" s="422"/>
      <c r="TVN137" s="422"/>
      <c r="TVO137" s="422"/>
      <c r="TVP137" s="422"/>
      <c r="TVQ137" s="422"/>
      <c r="TVR137" s="422"/>
      <c r="TVS137" s="422"/>
      <c r="TVT137" s="422"/>
      <c r="TVU137" s="422"/>
      <c r="TVV137" s="422"/>
      <c r="TVW137" s="422"/>
      <c r="TVX137" s="422"/>
      <c r="TVY137" s="422"/>
      <c r="TVZ137" s="422"/>
      <c r="TWA137" s="422"/>
      <c r="TWB137" s="422"/>
      <c r="TWC137" s="422"/>
      <c r="TWD137" s="422"/>
      <c r="TWE137" s="422"/>
      <c r="TWF137" s="422"/>
      <c r="TWG137" s="422"/>
      <c r="TWH137" s="422"/>
      <c r="TWI137" s="422"/>
      <c r="TWJ137" s="422"/>
      <c r="TWK137" s="422"/>
      <c r="TWL137" s="422"/>
      <c r="TWM137" s="422"/>
      <c r="TWN137" s="422"/>
      <c r="TWO137" s="422"/>
      <c r="TWP137" s="422"/>
      <c r="TWQ137" s="422"/>
      <c r="TWR137" s="422"/>
      <c r="TWS137" s="422"/>
      <c r="TWT137" s="422"/>
      <c r="TWU137" s="422"/>
      <c r="TWV137" s="422"/>
      <c r="TWW137" s="422"/>
      <c r="TWX137" s="422"/>
      <c r="TWY137" s="422"/>
      <c r="TWZ137" s="422"/>
      <c r="TXA137" s="422"/>
      <c r="TXB137" s="422"/>
      <c r="TXC137" s="422"/>
      <c r="TXD137" s="422"/>
      <c r="TXE137" s="422"/>
      <c r="TXF137" s="422"/>
      <c r="TXG137" s="422"/>
      <c r="TXH137" s="422"/>
      <c r="TXI137" s="422"/>
      <c r="TXJ137" s="422"/>
      <c r="TXK137" s="422"/>
      <c r="TXL137" s="422"/>
      <c r="TXM137" s="422"/>
      <c r="TXN137" s="422"/>
      <c r="TXO137" s="422"/>
      <c r="TXP137" s="422"/>
      <c r="TXQ137" s="422"/>
      <c r="TXR137" s="422"/>
      <c r="TXS137" s="422"/>
      <c r="TXT137" s="422"/>
      <c r="TXU137" s="422"/>
      <c r="TXV137" s="422"/>
      <c r="TXW137" s="422"/>
      <c r="TXX137" s="422"/>
      <c r="TXY137" s="422"/>
      <c r="TXZ137" s="422"/>
      <c r="TYA137" s="422"/>
      <c r="TYB137" s="422"/>
      <c r="TYC137" s="422"/>
      <c r="TYD137" s="422"/>
      <c r="TYE137" s="422"/>
      <c r="TYF137" s="422"/>
      <c r="TYG137" s="422"/>
      <c r="TYH137" s="422"/>
      <c r="TYI137" s="422"/>
      <c r="TYJ137" s="422"/>
      <c r="TYK137" s="422"/>
      <c r="TYL137" s="422"/>
      <c r="TYM137" s="422"/>
      <c r="TYN137" s="422"/>
      <c r="TYO137" s="422"/>
      <c r="TYP137" s="422"/>
      <c r="TYQ137" s="422"/>
      <c r="TYR137" s="422"/>
      <c r="TYS137" s="422"/>
      <c r="TYT137" s="422"/>
      <c r="TYU137" s="422"/>
      <c r="TYV137" s="422"/>
      <c r="TYW137" s="422"/>
      <c r="TYX137" s="422"/>
      <c r="TYY137" s="422"/>
      <c r="TYZ137" s="422"/>
      <c r="TZA137" s="422"/>
      <c r="TZB137" s="422"/>
      <c r="TZC137" s="422"/>
      <c r="TZD137" s="422"/>
      <c r="TZE137" s="422"/>
      <c r="TZF137" s="422"/>
      <c r="TZG137" s="422"/>
      <c r="TZH137" s="422"/>
      <c r="TZI137" s="422"/>
      <c r="TZJ137" s="422"/>
      <c r="TZK137" s="422"/>
      <c r="TZL137" s="422"/>
      <c r="TZM137" s="422"/>
      <c r="TZN137" s="422"/>
      <c r="TZO137" s="422"/>
      <c r="TZP137" s="422"/>
      <c r="TZQ137" s="422"/>
      <c r="TZR137" s="422"/>
      <c r="TZS137" s="422"/>
      <c r="TZT137" s="422"/>
      <c r="TZU137" s="422"/>
      <c r="TZV137" s="422"/>
      <c r="TZW137" s="422"/>
      <c r="TZX137" s="422"/>
      <c r="TZY137" s="422"/>
      <c r="TZZ137" s="422"/>
      <c r="UAA137" s="422"/>
      <c r="UAB137" s="422"/>
      <c r="UAC137" s="422"/>
      <c r="UAD137" s="422"/>
      <c r="UAE137" s="422"/>
      <c r="UAF137" s="422"/>
      <c r="UAG137" s="422"/>
      <c r="UAH137" s="422"/>
      <c r="UAI137" s="422"/>
      <c r="UAJ137" s="422"/>
      <c r="UAK137" s="422"/>
      <c r="UAL137" s="422"/>
      <c r="UAM137" s="422"/>
      <c r="UAN137" s="422"/>
      <c r="UAO137" s="422"/>
      <c r="UAP137" s="422"/>
      <c r="UAQ137" s="422"/>
      <c r="UAR137" s="422"/>
      <c r="UAS137" s="422"/>
      <c r="UAT137" s="422"/>
      <c r="UAU137" s="422"/>
      <c r="UAV137" s="422"/>
      <c r="UAW137" s="422"/>
      <c r="UAX137" s="422"/>
      <c r="UAY137" s="422"/>
      <c r="UAZ137" s="422"/>
      <c r="UBA137" s="422"/>
      <c r="UBB137" s="422"/>
      <c r="UBC137" s="422"/>
      <c r="UBD137" s="422"/>
      <c r="UBE137" s="422"/>
      <c r="UBF137" s="422"/>
      <c r="UBG137" s="422"/>
      <c r="UBH137" s="422"/>
      <c r="UBI137" s="422"/>
      <c r="UBJ137" s="422"/>
      <c r="UBK137" s="422"/>
      <c r="UBL137" s="422"/>
      <c r="UBM137" s="422"/>
      <c r="UBN137" s="422"/>
      <c r="UBO137" s="422"/>
      <c r="UBP137" s="422"/>
      <c r="UBQ137" s="422"/>
      <c r="UBR137" s="422"/>
      <c r="UBS137" s="422"/>
      <c r="UBT137" s="422"/>
      <c r="UBU137" s="422"/>
      <c r="UBV137" s="422"/>
      <c r="UBW137" s="422"/>
      <c r="UBX137" s="422"/>
      <c r="UBY137" s="422"/>
      <c r="UBZ137" s="422"/>
      <c r="UCA137" s="422"/>
      <c r="UCB137" s="422"/>
      <c r="UCC137" s="422"/>
      <c r="UCD137" s="422"/>
      <c r="UCE137" s="422"/>
      <c r="UCF137" s="422"/>
      <c r="UCG137" s="422"/>
      <c r="UCH137" s="422"/>
      <c r="UCI137" s="422"/>
      <c r="UCJ137" s="422"/>
      <c r="UCK137" s="422"/>
      <c r="UCL137" s="422"/>
      <c r="UCM137" s="422"/>
      <c r="UCN137" s="422"/>
      <c r="UCO137" s="422"/>
      <c r="UCP137" s="422"/>
      <c r="UCQ137" s="422"/>
      <c r="UCR137" s="422"/>
      <c r="UCS137" s="422"/>
      <c r="UCT137" s="422"/>
      <c r="UCU137" s="422"/>
      <c r="UCV137" s="422"/>
      <c r="UCW137" s="422"/>
      <c r="UCX137" s="422"/>
      <c r="UCY137" s="422"/>
      <c r="UCZ137" s="422"/>
      <c r="UDA137" s="422"/>
      <c r="UDB137" s="422"/>
      <c r="UDC137" s="422"/>
      <c r="UDD137" s="422"/>
      <c r="UDE137" s="422"/>
      <c r="UDF137" s="422"/>
      <c r="UDG137" s="422"/>
      <c r="UDH137" s="422"/>
      <c r="UDI137" s="422"/>
      <c r="UDJ137" s="422"/>
      <c r="UDK137" s="422"/>
      <c r="UDL137" s="422"/>
      <c r="UDM137" s="422"/>
      <c r="UDN137" s="422"/>
      <c r="UDO137" s="422"/>
      <c r="UDP137" s="422"/>
      <c r="UDQ137" s="422"/>
      <c r="UDR137" s="422"/>
      <c r="UDS137" s="422"/>
      <c r="UDT137" s="422"/>
      <c r="UDU137" s="422"/>
      <c r="UDV137" s="422"/>
      <c r="UDW137" s="422"/>
      <c r="UDX137" s="422"/>
      <c r="UDY137" s="422"/>
      <c r="UDZ137" s="422"/>
      <c r="UEA137" s="422"/>
      <c r="UEB137" s="422"/>
      <c r="UEC137" s="422"/>
      <c r="UED137" s="422"/>
      <c r="UEE137" s="422"/>
      <c r="UEF137" s="422"/>
      <c r="UEG137" s="422"/>
      <c r="UEH137" s="422"/>
      <c r="UEI137" s="422"/>
      <c r="UEJ137" s="422"/>
      <c r="UEK137" s="422"/>
      <c r="UEL137" s="422"/>
      <c r="UEM137" s="422"/>
      <c r="UEN137" s="422"/>
      <c r="UEO137" s="422"/>
      <c r="UEP137" s="422"/>
      <c r="UEQ137" s="422"/>
      <c r="UER137" s="422"/>
      <c r="UES137" s="422"/>
      <c r="UET137" s="422"/>
      <c r="UEU137" s="422"/>
      <c r="UEV137" s="422"/>
      <c r="UEW137" s="422"/>
      <c r="UEX137" s="422"/>
      <c r="UEY137" s="422"/>
      <c r="UEZ137" s="422"/>
      <c r="UFA137" s="422"/>
      <c r="UFB137" s="422"/>
      <c r="UFC137" s="422"/>
      <c r="UFD137" s="422"/>
      <c r="UFE137" s="422"/>
      <c r="UFF137" s="422"/>
      <c r="UFG137" s="422"/>
      <c r="UFH137" s="422"/>
      <c r="UFI137" s="422"/>
      <c r="UFJ137" s="422"/>
      <c r="UFK137" s="422"/>
      <c r="UFL137" s="422"/>
      <c r="UFM137" s="422"/>
      <c r="UFN137" s="422"/>
      <c r="UFO137" s="422"/>
      <c r="UFP137" s="422"/>
      <c r="UFQ137" s="422"/>
      <c r="UFR137" s="422"/>
      <c r="UFS137" s="422"/>
      <c r="UFT137" s="422"/>
      <c r="UFU137" s="422"/>
      <c r="UFV137" s="422"/>
      <c r="UFW137" s="422"/>
      <c r="UFX137" s="422"/>
      <c r="UFY137" s="422"/>
      <c r="UFZ137" s="422"/>
      <c r="UGA137" s="422"/>
      <c r="UGB137" s="422"/>
      <c r="UGC137" s="422"/>
      <c r="UGD137" s="422"/>
      <c r="UGE137" s="422"/>
      <c r="UGF137" s="422"/>
      <c r="UGG137" s="422"/>
      <c r="UGH137" s="422"/>
      <c r="UGI137" s="422"/>
      <c r="UGJ137" s="422"/>
      <c r="UGK137" s="422"/>
      <c r="UGL137" s="422"/>
      <c r="UGM137" s="422"/>
      <c r="UGN137" s="422"/>
      <c r="UGO137" s="422"/>
      <c r="UGP137" s="422"/>
      <c r="UGQ137" s="422"/>
      <c r="UGR137" s="422"/>
      <c r="UGS137" s="422"/>
      <c r="UGT137" s="422"/>
      <c r="UGU137" s="422"/>
      <c r="UGV137" s="422"/>
      <c r="UGW137" s="422"/>
      <c r="UGX137" s="422"/>
      <c r="UGY137" s="422"/>
      <c r="UGZ137" s="422"/>
      <c r="UHA137" s="422"/>
      <c r="UHB137" s="422"/>
      <c r="UHC137" s="422"/>
      <c r="UHD137" s="422"/>
      <c r="UHE137" s="422"/>
      <c r="UHF137" s="422"/>
      <c r="UHG137" s="422"/>
      <c r="UHH137" s="422"/>
      <c r="UHI137" s="422"/>
      <c r="UHJ137" s="422"/>
      <c r="UHK137" s="422"/>
      <c r="UHL137" s="422"/>
      <c r="UHM137" s="422"/>
      <c r="UHN137" s="422"/>
      <c r="UHO137" s="422"/>
      <c r="UHP137" s="422"/>
      <c r="UHQ137" s="422"/>
      <c r="UHR137" s="422"/>
      <c r="UHS137" s="422"/>
      <c r="UHT137" s="422"/>
      <c r="UHU137" s="422"/>
      <c r="UHV137" s="422"/>
      <c r="UHW137" s="422"/>
      <c r="UHX137" s="422"/>
      <c r="UHY137" s="422"/>
      <c r="UHZ137" s="422"/>
      <c r="UIA137" s="422"/>
      <c r="UIB137" s="422"/>
      <c r="UIC137" s="422"/>
      <c r="UID137" s="422"/>
      <c r="UIE137" s="422"/>
      <c r="UIF137" s="422"/>
      <c r="UIG137" s="422"/>
      <c r="UIH137" s="422"/>
      <c r="UII137" s="422"/>
      <c r="UIJ137" s="422"/>
      <c r="UIK137" s="422"/>
      <c r="UIL137" s="422"/>
      <c r="UIM137" s="422"/>
      <c r="UIN137" s="422"/>
      <c r="UIO137" s="422"/>
      <c r="UIP137" s="422"/>
      <c r="UIQ137" s="422"/>
      <c r="UIR137" s="422"/>
      <c r="UIS137" s="422"/>
      <c r="UIT137" s="422"/>
      <c r="UIU137" s="422"/>
      <c r="UIV137" s="422"/>
      <c r="UIW137" s="422"/>
      <c r="UIX137" s="422"/>
      <c r="UIY137" s="422"/>
      <c r="UIZ137" s="422"/>
      <c r="UJA137" s="422"/>
      <c r="UJB137" s="422"/>
      <c r="UJC137" s="422"/>
      <c r="UJD137" s="422"/>
      <c r="UJE137" s="422"/>
      <c r="UJF137" s="422"/>
      <c r="UJG137" s="422"/>
      <c r="UJH137" s="422"/>
      <c r="UJI137" s="422"/>
      <c r="UJJ137" s="422"/>
      <c r="UJK137" s="422"/>
      <c r="UJL137" s="422"/>
      <c r="UJM137" s="422"/>
      <c r="UJN137" s="422"/>
      <c r="UJO137" s="422"/>
      <c r="UJP137" s="422"/>
      <c r="UJQ137" s="422"/>
      <c r="UJR137" s="422"/>
      <c r="UJS137" s="422"/>
      <c r="UJT137" s="422"/>
      <c r="UJU137" s="422"/>
      <c r="UJV137" s="422"/>
      <c r="UJW137" s="422"/>
      <c r="UJX137" s="422"/>
      <c r="UJY137" s="422"/>
      <c r="UJZ137" s="422"/>
      <c r="UKA137" s="422"/>
      <c r="UKB137" s="422"/>
      <c r="UKC137" s="422"/>
      <c r="UKD137" s="422"/>
      <c r="UKE137" s="422"/>
      <c r="UKF137" s="422"/>
      <c r="UKG137" s="422"/>
      <c r="UKH137" s="422"/>
      <c r="UKI137" s="422"/>
      <c r="UKJ137" s="422"/>
      <c r="UKK137" s="422"/>
      <c r="UKL137" s="422"/>
      <c r="UKM137" s="422"/>
      <c r="UKN137" s="422"/>
      <c r="UKO137" s="422"/>
      <c r="UKP137" s="422"/>
      <c r="UKQ137" s="422"/>
      <c r="UKR137" s="422"/>
      <c r="UKS137" s="422"/>
      <c r="UKT137" s="422"/>
      <c r="UKU137" s="422"/>
      <c r="UKV137" s="422"/>
      <c r="UKW137" s="422"/>
      <c r="UKX137" s="422"/>
      <c r="UKY137" s="422"/>
      <c r="UKZ137" s="422"/>
      <c r="ULA137" s="422"/>
      <c r="ULB137" s="422"/>
      <c r="ULC137" s="422"/>
      <c r="ULD137" s="422"/>
      <c r="ULE137" s="422"/>
      <c r="ULF137" s="422"/>
      <c r="ULG137" s="422"/>
      <c r="ULH137" s="422"/>
      <c r="ULI137" s="422"/>
      <c r="ULJ137" s="422"/>
      <c r="ULK137" s="422"/>
      <c r="ULL137" s="422"/>
      <c r="ULM137" s="422"/>
      <c r="ULN137" s="422"/>
      <c r="ULO137" s="422"/>
      <c r="ULP137" s="422"/>
      <c r="ULQ137" s="422"/>
      <c r="ULR137" s="422"/>
      <c r="ULS137" s="422"/>
      <c r="ULT137" s="422"/>
      <c r="ULU137" s="422"/>
      <c r="ULV137" s="422"/>
      <c r="ULW137" s="422"/>
      <c r="ULX137" s="422"/>
      <c r="ULY137" s="422"/>
      <c r="ULZ137" s="422"/>
      <c r="UMA137" s="422"/>
      <c r="UMB137" s="422"/>
      <c r="UMC137" s="422"/>
      <c r="UMD137" s="422"/>
      <c r="UME137" s="422"/>
      <c r="UMF137" s="422"/>
      <c r="UMG137" s="422"/>
      <c r="UMH137" s="422"/>
      <c r="UMI137" s="422"/>
      <c r="UMJ137" s="422"/>
      <c r="UMK137" s="422"/>
      <c r="UML137" s="422"/>
      <c r="UMM137" s="422"/>
      <c r="UMN137" s="422"/>
      <c r="UMO137" s="422"/>
      <c r="UMP137" s="422"/>
      <c r="UMQ137" s="422"/>
      <c r="UMR137" s="422"/>
      <c r="UMS137" s="422"/>
      <c r="UMT137" s="422"/>
      <c r="UMU137" s="422"/>
      <c r="UMV137" s="422"/>
      <c r="UMW137" s="422"/>
      <c r="UMX137" s="422"/>
      <c r="UMY137" s="422"/>
      <c r="UMZ137" s="422"/>
      <c r="UNA137" s="422"/>
      <c r="UNB137" s="422"/>
      <c r="UNC137" s="422"/>
      <c r="UND137" s="422"/>
      <c r="UNE137" s="422"/>
      <c r="UNF137" s="422"/>
      <c r="UNG137" s="422"/>
      <c r="UNH137" s="422"/>
      <c r="UNI137" s="422"/>
      <c r="UNJ137" s="422"/>
      <c r="UNK137" s="422"/>
      <c r="UNL137" s="422"/>
      <c r="UNM137" s="422"/>
      <c r="UNN137" s="422"/>
      <c r="UNO137" s="422"/>
      <c r="UNP137" s="422"/>
      <c r="UNQ137" s="422"/>
      <c r="UNR137" s="422"/>
      <c r="UNS137" s="422"/>
      <c r="UNT137" s="422"/>
      <c r="UNU137" s="422"/>
      <c r="UNV137" s="422"/>
      <c r="UNW137" s="422"/>
      <c r="UNX137" s="422"/>
      <c r="UNY137" s="422"/>
      <c r="UNZ137" s="422"/>
      <c r="UOA137" s="422"/>
      <c r="UOB137" s="422"/>
      <c r="UOC137" s="422"/>
      <c r="UOD137" s="422"/>
      <c r="UOE137" s="422"/>
      <c r="UOF137" s="422"/>
      <c r="UOG137" s="422"/>
      <c r="UOH137" s="422"/>
      <c r="UOI137" s="422"/>
      <c r="UOJ137" s="422"/>
      <c r="UOK137" s="422"/>
      <c r="UOL137" s="422"/>
      <c r="UOM137" s="422"/>
      <c r="UON137" s="422"/>
      <c r="UOO137" s="422"/>
      <c r="UOP137" s="422"/>
      <c r="UOQ137" s="422"/>
      <c r="UOR137" s="422"/>
      <c r="UOS137" s="422"/>
      <c r="UOT137" s="422"/>
      <c r="UOU137" s="422"/>
      <c r="UOV137" s="422"/>
      <c r="UOW137" s="422"/>
      <c r="UOX137" s="422"/>
      <c r="UOY137" s="422"/>
      <c r="UOZ137" s="422"/>
      <c r="UPA137" s="422"/>
      <c r="UPB137" s="422"/>
      <c r="UPC137" s="422"/>
      <c r="UPD137" s="422"/>
      <c r="UPE137" s="422"/>
      <c r="UPF137" s="422"/>
      <c r="UPG137" s="422"/>
      <c r="UPH137" s="422"/>
      <c r="UPI137" s="422"/>
      <c r="UPJ137" s="422"/>
      <c r="UPK137" s="422"/>
      <c r="UPL137" s="422"/>
      <c r="UPM137" s="422"/>
      <c r="UPN137" s="422"/>
      <c r="UPO137" s="422"/>
      <c r="UPP137" s="422"/>
      <c r="UPQ137" s="422"/>
      <c r="UPR137" s="422"/>
      <c r="UPS137" s="422"/>
      <c r="UPT137" s="422"/>
      <c r="UPU137" s="422"/>
      <c r="UPV137" s="422"/>
      <c r="UPW137" s="422"/>
      <c r="UPX137" s="422"/>
      <c r="UPY137" s="422"/>
      <c r="UPZ137" s="422"/>
      <c r="UQA137" s="422"/>
      <c r="UQB137" s="422"/>
      <c r="UQC137" s="422"/>
      <c r="UQD137" s="422"/>
      <c r="UQE137" s="422"/>
      <c r="UQF137" s="422"/>
      <c r="UQG137" s="422"/>
      <c r="UQH137" s="422"/>
      <c r="UQI137" s="422"/>
      <c r="UQJ137" s="422"/>
      <c r="UQK137" s="422"/>
      <c r="UQL137" s="422"/>
      <c r="UQM137" s="422"/>
      <c r="UQN137" s="422"/>
      <c r="UQO137" s="422"/>
      <c r="UQP137" s="422"/>
      <c r="UQQ137" s="422"/>
      <c r="UQR137" s="422"/>
      <c r="UQS137" s="422"/>
      <c r="UQT137" s="422"/>
      <c r="UQU137" s="422"/>
      <c r="UQV137" s="422"/>
      <c r="UQW137" s="422"/>
      <c r="UQX137" s="422"/>
      <c r="UQY137" s="422"/>
      <c r="UQZ137" s="422"/>
      <c r="URA137" s="422"/>
      <c r="URB137" s="422"/>
      <c r="URC137" s="422"/>
      <c r="URD137" s="422"/>
      <c r="URE137" s="422"/>
      <c r="URF137" s="422"/>
      <c r="URG137" s="422"/>
      <c r="URH137" s="422"/>
      <c r="URI137" s="422"/>
      <c r="URJ137" s="422"/>
      <c r="URK137" s="422"/>
      <c r="URL137" s="422"/>
      <c r="URM137" s="422"/>
      <c r="URN137" s="422"/>
      <c r="URO137" s="422"/>
      <c r="URP137" s="422"/>
      <c r="URQ137" s="422"/>
      <c r="URR137" s="422"/>
      <c r="URS137" s="422"/>
      <c r="URT137" s="422"/>
      <c r="URU137" s="422"/>
      <c r="URV137" s="422"/>
      <c r="URW137" s="422"/>
      <c r="URX137" s="422"/>
      <c r="URY137" s="422"/>
      <c r="URZ137" s="422"/>
      <c r="USA137" s="422"/>
      <c r="USB137" s="422"/>
      <c r="USC137" s="422"/>
      <c r="USD137" s="422"/>
      <c r="USE137" s="422"/>
      <c r="USF137" s="422"/>
      <c r="USG137" s="422"/>
      <c r="USH137" s="422"/>
      <c r="USI137" s="422"/>
      <c r="USJ137" s="422"/>
      <c r="USK137" s="422"/>
      <c r="USL137" s="422"/>
      <c r="USM137" s="422"/>
      <c r="USN137" s="422"/>
      <c r="USO137" s="422"/>
      <c r="USP137" s="422"/>
      <c r="USQ137" s="422"/>
      <c r="USR137" s="422"/>
      <c r="USS137" s="422"/>
      <c r="UST137" s="422"/>
      <c r="USU137" s="422"/>
      <c r="USV137" s="422"/>
      <c r="USW137" s="422"/>
      <c r="USX137" s="422"/>
      <c r="USY137" s="422"/>
      <c r="USZ137" s="422"/>
      <c r="UTA137" s="422"/>
      <c r="UTB137" s="422"/>
      <c r="UTC137" s="422"/>
      <c r="UTD137" s="422"/>
      <c r="UTE137" s="422"/>
      <c r="UTF137" s="422"/>
      <c r="UTG137" s="422"/>
      <c r="UTH137" s="422"/>
      <c r="UTI137" s="422"/>
      <c r="UTJ137" s="422"/>
      <c r="UTK137" s="422"/>
      <c r="UTL137" s="422"/>
      <c r="UTM137" s="422"/>
      <c r="UTN137" s="422"/>
      <c r="UTO137" s="422"/>
      <c r="UTP137" s="422"/>
      <c r="UTQ137" s="422"/>
      <c r="UTR137" s="422"/>
      <c r="UTS137" s="422"/>
      <c r="UTT137" s="422"/>
      <c r="UTU137" s="422"/>
      <c r="UTV137" s="422"/>
      <c r="UTW137" s="422"/>
      <c r="UTX137" s="422"/>
      <c r="UTY137" s="422"/>
      <c r="UTZ137" s="422"/>
      <c r="UUA137" s="422"/>
      <c r="UUB137" s="422"/>
      <c r="UUC137" s="422"/>
      <c r="UUD137" s="422"/>
      <c r="UUE137" s="422"/>
      <c r="UUF137" s="422"/>
      <c r="UUG137" s="422"/>
      <c r="UUH137" s="422"/>
      <c r="UUI137" s="422"/>
      <c r="UUJ137" s="422"/>
      <c r="UUK137" s="422"/>
      <c r="UUL137" s="422"/>
      <c r="UUM137" s="422"/>
      <c r="UUN137" s="422"/>
      <c r="UUO137" s="422"/>
      <c r="UUP137" s="422"/>
      <c r="UUQ137" s="422"/>
      <c r="UUR137" s="422"/>
      <c r="UUS137" s="422"/>
      <c r="UUT137" s="422"/>
      <c r="UUU137" s="422"/>
      <c r="UUV137" s="422"/>
      <c r="UUW137" s="422"/>
      <c r="UUX137" s="422"/>
      <c r="UUY137" s="422"/>
      <c r="UUZ137" s="422"/>
      <c r="UVA137" s="422"/>
      <c r="UVB137" s="422"/>
      <c r="UVC137" s="422"/>
      <c r="UVD137" s="422"/>
      <c r="UVE137" s="422"/>
      <c r="UVF137" s="422"/>
      <c r="UVG137" s="422"/>
      <c r="UVH137" s="422"/>
      <c r="UVI137" s="422"/>
      <c r="UVJ137" s="422"/>
      <c r="UVK137" s="422"/>
      <c r="UVL137" s="422"/>
      <c r="UVM137" s="422"/>
      <c r="UVN137" s="422"/>
      <c r="UVO137" s="422"/>
      <c r="UVP137" s="422"/>
      <c r="UVQ137" s="422"/>
      <c r="UVR137" s="422"/>
      <c r="UVS137" s="422"/>
      <c r="UVT137" s="422"/>
      <c r="UVU137" s="422"/>
      <c r="UVV137" s="422"/>
      <c r="UVW137" s="422"/>
      <c r="UVX137" s="422"/>
      <c r="UVY137" s="422"/>
      <c r="UVZ137" s="422"/>
      <c r="UWA137" s="422"/>
      <c r="UWB137" s="422"/>
      <c r="UWC137" s="422"/>
      <c r="UWD137" s="422"/>
      <c r="UWE137" s="422"/>
      <c r="UWF137" s="422"/>
      <c r="UWG137" s="422"/>
      <c r="UWH137" s="422"/>
      <c r="UWI137" s="422"/>
      <c r="UWJ137" s="422"/>
      <c r="UWK137" s="422"/>
      <c r="UWL137" s="422"/>
      <c r="UWM137" s="422"/>
      <c r="UWN137" s="422"/>
      <c r="UWO137" s="422"/>
      <c r="UWP137" s="422"/>
      <c r="UWQ137" s="422"/>
      <c r="UWR137" s="422"/>
      <c r="UWS137" s="422"/>
      <c r="UWT137" s="422"/>
      <c r="UWU137" s="422"/>
      <c r="UWV137" s="422"/>
      <c r="UWW137" s="422"/>
      <c r="UWX137" s="422"/>
      <c r="UWY137" s="422"/>
      <c r="UWZ137" s="422"/>
      <c r="UXA137" s="422"/>
      <c r="UXB137" s="422"/>
      <c r="UXC137" s="422"/>
      <c r="UXD137" s="422"/>
      <c r="UXE137" s="422"/>
      <c r="UXF137" s="422"/>
      <c r="UXG137" s="422"/>
      <c r="UXH137" s="422"/>
      <c r="UXI137" s="422"/>
      <c r="UXJ137" s="422"/>
      <c r="UXK137" s="422"/>
      <c r="UXL137" s="422"/>
      <c r="UXM137" s="422"/>
      <c r="UXN137" s="422"/>
      <c r="UXO137" s="422"/>
      <c r="UXP137" s="422"/>
      <c r="UXQ137" s="422"/>
      <c r="UXR137" s="422"/>
      <c r="UXS137" s="422"/>
      <c r="UXT137" s="422"/>
      <c r="UXU137" s="422"/>
      <c r="UXV137" s="422"/>
      <c r="UXW137" s="422"/>
      <c r="UXX137" s="422"/>
      <c r="UXY137" s="422"/>
      <c r="UXZ137" s="422"/>
      <c r="UYA137" s="422"/>
      <c r="UYB137" s="422"/>
      <c r="UYC137" s="422"/>
      <c r="UYD137" s="422"/>
      <c r="UYE137" s="422"/>
      <c r="UYF137" s="422"/>
      <c r="UYG137" s="422"/>
      <c r="UYH137" s="422"/>
      <c r="UYI137" s="422"/>
      <c r="UYJ137" s="422"/>
      <c r="UYK137" s="422"/>
      <c r="UYL137" s="422"/>
      <c r="UYM137" s="422"/>
      <c r="UYN137" s="422"/>
      <c r="UYO137" s="422"/>
      <c r="UYP137" s="422"/>
      <c r="UYQ137" s="422"/>
      <c r="UYR137" s="422"/>
      <c r="UYS137" s="422"/>
      <c r="UYT137" s="422"/>
      <c r="UYU137" s="422"/>
      <c r="UYV137" s="422"/>
      <c r="UYW137" s="422"/>
      <c r="UYX137" s="422"/>
      <c r="UYY137" s="422"/>
      <c r="UYZ137" s="422"/>
      <c r="UZA137" s="422"/>
      <c r="UZB137" s="422"/>
      <c r="UZC137" s="422"/>
      <c r="UZD137" s="422"/>
      <c r="UZE137" s="422"/>
      <c r="UZF137" s="422"/>
      <c r="UZG137" s="422"/>
      <c r="UZH137" s="422"/>
      <c r="UZI137" s="422"/>
      <c r="UZJ137" s="422"/>
      <c r="UZK137" s="422"/>
      <c r="UZL137" s="422"/>
      <c r="UZM137" s="422"/>
      <c r="UZN137" s="422"/>
      <c r="UZO137" s="422"/>
      <c r="UZP137" s="422"/>
      <c r="UZQ137" s="422"/>
      <c r="UZR137" s="422"/>
      <c r="UZS137" s="422"/>
      <c r="UZT137" s="422"/>
      <c r="UZU137" s="422"/>
      <c r="UZV137" s="422"/>
      <c r="UZW137" s="422"/>
      <c r="UZX137" s="422"/>
      <c r="UZY137" s="422"/>
      <c r="UZZ137" s="422"/>
      <c r="VAA137" s="422"/>
      <c r="VAB137" s="422"/>
      <c r="VAC137" s="422"/>
      <c r="VAD137" s="422"/>
      <c r="VAE137" s="422"/>
      <c r="VAF137" s="422"/>
      <c r="VAG137" s="422"/>
      <c r="VAH137" s="422"/>
      <c r="VAI137" s="422"/>
      <c r="VAJ137" s="422"/>
      <c r="VAK137" s="422"/>
      <c r="VAL137" s="422"/>
      <c r="VAM137" s="422"/>
      <c r="VAN137" s="422"/>
      <c r="VAO137" s="422"/>
      <c r="VAP137" s="422"/>
      <c r="VAQ137" s="422"/>
      <c r="VAR137" s="422"/>
      <c r="VAS137" s="422"/>
      <c r="VAT137" s="422"/>
      <c r="VAU137" s="422"/>
      <c r="VAV137" s="422"/>
      <c r="VAW137" s="422"/>
      <c r="VAX137" s="422"/>
      <c r="VAY137" s="422"/>
      <c r="VAZ137" s="422"/>
      <c r="VBA137" s="422"/>
      <c r="VBB137" s="422"/>
      <c r="VBC137" s="422"/>
      <c r="VBD137" s="422"/>
      <c r="VBE137" s="422"/>
      <c r="VBF137" s="422"/>
      <c r="VBG137" s="422"/>
      <c r="VBH137" s="422"/>
      <c r="VBI137" s="422"/>
      <c r="VBJ137" s="422"/>
      <c r="VBK137" s="422"/>
      <c r="VBL137" s="422"/>
      <c r="VBM137" s="422"/>
      <c r="VBN137" s="422"/>
      <c r="VBO137" s="422"/>
      <c r="VBP137" s="422"/>
      <c r="VBQ137" s="422"/>
      <c r="VBR137" s="422"/>
      <c r="VBS137" s="422"/>
      <c r="VBT137" s="422"/>
      <c r="VBU137" s="422"/>
      <c r="VBV137" s="422"/>
      <c r="VBW137" s="422"/>
      <c r="VBX137" s="422"/>
      <c r="VBY137" s="422"/>
      <c r="VBZ137" s="422"/>
      <c r="VCA137" s="422"/>
      <c r="VCB137" s="422"/>
      <c r="VCC137" s="422"/>
      <c r="VCD137" s="422"/>
      <c r="VCE137" s="422"/>
      <c r="VCF137" s="422"/>
      <c r="VCG137" s="422"/>
      <c r="VCH137" s="422"/>
      <c r="VCI137" s="422"/>
      <c r="VCJ137" s="422"/>
      <c r="VCK137" s="422"/>
      <c r="VCL137" s="422"/>
      <c r="VCM137" s="422"/>
      <c r="VCN137" s="422"/>
      <c r="VCO137" s="422"/>
      <c r="VCP137" s="422"/>
      <c r="VCQ137" s="422"/>
      <c r="VCR137" s="422"/>
      <c r="VCS137" s="422"/>
      <c r="VCT137" s="422"/>
      <c r="VCU137" s="422"/>
      <c r="VCV137" s="422"/>
      <c r="VCW137" s="422"/>
      <c r="VCX137" s="422"/>
      <c r="VCY137" s="422"/>
      <c r="VCZ137" s="422"/>
      <c r="VDA137" s="422"/>
      <c r="VDB137" s="422"/>
      <c r="VDC137" s="422"/>
      <c r="VDD137" s="422"/>
      <c r="VDE137" s="422"/>
      <c r="VDF137" s="422"/>
      <c r="VDG137" s="422"/>
      <c r="VDH137" s="422"/>
      <c r="VDI137" s="422"/>
      <c r="VDJ137" s="422"/>
      <c r="VDK137" s="422"/>
      <c r="VDL137" s="422"/>
      <c r="VDM137" s="422"/>
      <c r="VDN137" s="422"/>
      <c r="VDO137" s="422"/>
      <c r="VDP137" s="422"/>
      <c r="VDQ137" s="422"/>
      <c r="VDR137" s="422"/>
      <c r="VDS137" s="422"/>
      <c r="VDT137" s="422"/>
      <c r="VDU137" s="422"/>
      <c r="VDV137" s="422"/>
      <c r="VDW137" s="422"/>
      <c r="VDX137" s="422"/>
      <c r="VDY137" s="422"/>
      <c r="VDZ137" s="422"/>
      <c r="VEA137" s="422"/>
      <c r="VEB137" s="422"/>
      <c r="VEC137" s="422"/>
      <c r="VED137" s="422"/>
      <c r="VEE137" s="422"/>
      <c r="VEF137" s="422"/>
      <c r="VEG137" s="422"/>
      <c r="VEH137" s="422"/>
      <c r="VEI137" s="422"/>
      <c r="VEJ137" s="422"/>
      <c r="VEK137" s="422"/>
      <c r="VEL137" s="422"/>
      <c r="VEM137" s="422"/>
      <c r="VEN137" s="422"/>
      <c r="VEO137" s="422"/>
      <c r="VEP137" s="422"/>
      <c r="VEQ137" s="422"/>
      <c r="VER137" s="422"/>
      <c r="VES137" s="422"/>
      <c r="VET137" s="422"/>
      <c r="VEU137" s="422"/>
      <c r="VEV137" s="422"/>
      <c r="VEW137" s="422"/>
      <c r="VEX137" s="422"/>
      <c r="VEY137" s="422"/>
      <c r="VEZ137" s="422"/>
      <c r="VFA137" s="422"/>
      <c r="VFB137" s="422"/>
      <c r="VFC137" s="422"/>
      <c r="VFD137" s="422"/>
      <c r="VFE137" s="422"/>
      <c r="VFF137" s="422"/>
      <c r="VFG137" s="422"/>
      <c r="VFH137" s="422"/>
      <c r="VFI137" s="422"/>
      <c r="VFJ137" s="422"/>
      <c r="VFK137" s="422"/>
      <c r="VFL137" s="422"/>
      <c r="VFM137" s="422"/>
      <c r="VFN137" s="422"/>
      <c r="VFO137" s="422"/>
      <c r="VFP137" s="422"/>
      <c r="VFQ137" s="422"/>
      <c r="VFR137" s="422"/>
      <c r="VFS137" s="422"/>
      <c r="VFT137" s="422"/>
      <c r="VFU137" s="422"/>
      <c r="VFV137" s="422"/>
      <c r="VFW137" s="422"/>
      <c r="VFX137" s="422"/>
      <c r="VFY137" s="422"/>
      <c r="VFZ137" s="422"/>
      <c r="VGA137" s="422"/>
      <c r="VGB137" s="422"/>
      <c r="VGC137" s="422"/>
      <c r="VGD137" s="422"/>
      <c r="VGE137" s="422"/>
      <c r="VGF137" s="422"/>
      <c r="VGG137" s="422"/>
      <c r="VGH137" s="422"/>
      <c r="VGI137" s="422"/>
      <c r="VGJ137" s="422"/>
      <c r="VGK137" s="422"/>
      <c r="VGL137" s="422"/>
      <c r="VGM137" s="422"/>
      <c r="VGN137" s="422"/>
      <c r="VGO137" s="422"/>
      <c r="VGP137" s="422"/>
      <c r="VGQ137" s="422"/>
      <c r="VGR137" s="422"/>
      <c r="VGS137" s="422"/>
      <c r="VGT137" s="422"/>
      <c r="VGU137" s="422"/>
      <c r="VGV137" s="422"/>
      <c r="VGW137" s="422"/>
      <c r="VGX137" s="422"/>
      <c r="VGY137" s="422"/>
      <c r="VGZ137" s="422"/>
      <c r="VHA137" s="422"/>
      <c r="VHB137" s="422"/>
      <c r="VHC137" s="422"/>
      <c r="VHD137" s="422"/>
      <c r="VHE137" s="422"/>
      <c r="VHF137" s="422"/>
      <c r="VHG137" s="422"/>
      <c r="VHH137" s="422"/>
      <c r="VHI137" s="422"/>
      <c r="VHJ137" s="422"/>
      <c r="VHK137" s="422"/>
      <c r="VHL137" s="422"/>
      <c r="VHM137" s="422"/>
      <c r="VHN137" s="422"/>
      <c r="VHO137" s="422"/>
      <c r="VHP137" s="422"/>
      <c r="VHQ137" s="422"/>
      <c r="VHR137" s="422"/>
      <c r="VHS137" s="422"/>
      <c r="VHT137" s="422"/>
      <c r="VHU137" s="422"/>
      <c r="VHV137" s="422"/>
      <c r="VHW137" s="422"/>
      <c r="VHX137" s="422"/>
      <c r="VHY137" s="422"/>
      <c r="VHZ137" s="422"/>
      <c r="VIA137" s="422"/>
      <c r="VIB137" s="422"/>
      <c r="VIC137" s="422"/>
      <c r="VID137" s="422"/>
      <c r="VIE137" s="422"/>
      <c r="VIF137" s="422"/>
      <c r="VIG137" s="422"/>
      <c r="VIH137" s="422"/>
      <c r="VII137" s="422"/>
      <c r="VIJ137" s="422"/>
      <c r="VIK137" s="422"/>
      <c r="VIL137" s="422"/>
      <c r="VIM137" s="422"/>
      <c r="VIN137" s="422"/>
      <c r="VIO137" s="422"/>
      <c r="VIP137" s="422"/>
      <c r="VIQ137" s="422"/>
      <c r="VIR137" s="422"/>
      <c r="VIS137" s="422"/>
      <c r="VIT137" s="422"/>
      <c r="VIU137" s="422"/>
      <c r="VIV137" s="422"/>
      <c r="VIW137" s="422"/>
      <c r="VIX137" s="422"/>
      <c r="VIY137" s="422"/>
      <c r="VIZ137" s="422"/>
      <c r="VJA137" s="422"/>
      <c r="VJB137" s="422"/>
      <c r="VJC137" s="422"/>
      <c r="VJD137" s="422"/>
      <c r="VJE137" s="422"/>
      <c r="VJF137" s="422"/>
      <c r="VJG137" s="422"/>
      <c r="VJH137" s="422"/>
      <c r="VJI137" s="422"/>
      <c r="VJJ137" s="422"/>
      <c r="VJK137" s="422"/>
      <c r="VJL137" s="422"/>
      <c r="VJM137" s="422"/>
      <c r="VJN137" s="422"/>
      <c r="VJO137" s="422"/>
      <c r="VJP137" s="422"/>
      <c r="VJQ137" s="422"/>
      <c r="VJR137" s="422"/>
      <c r="VJS137" s="422"/>
      <c r="VJT137" s="422"/>
      <c r="VJU137" s="422"/>
      <c r="VJV137" s="422"/>
      <c r="VJW137" s="422"/>
      <c r="VJX137" s="422"/>
      <c r="VJY137" s="422"/>
      <c r="VJZ137" s="422"/>
      <c r="VKA137" s="422"/>
      <c r="VKB137" s="422"/>
      <c r="VKC137" s="422"/>
      <c r="VKD137" s="422"/>
      <c r="VKE137" s="422"/>
      <c r="VKF137" s="422"/>
      <c r="VKG137" s="422"/>
      <c r="VKH137" s="422"/>
      <c r="VKI137" s="422"/>
      <c r="VKJ137" s="422"/>
      <c r="VKK137" s="422"/>
      <c r="VKL137" s="422"/>
      <c r="VKM137" s="422"/>
      <c r="VKN137" s="422"/>
      <c r="VKO137" s="422"/>
      <c r="VKP137" s="422"/>
      <c r="VKQ137" s="422"/>
      <c r="VKR137" s="422"/>
      <c r="VKS137" s="422"/>
      <c r="VKT137" s="422"/>
      <c r="VKU137" s="422"/>
      <c r="VKV137" s="422"/>
      <c r="VKW137" s="422"/>
      <c r="VKX137" s="422"/>
      <c r="VKY137" s="422"/>
      <c r="VKZ137" s="422"/>
      <c r="VLA137" s="422"/>
      <c r="VLB137" s="422"/>
      <c r="VLC137" s="422"/>
      <c r="VLD137" s="422"/>
      <c r="VLE137" s="422"/>
      <c r="VLF137" s="422"/>
      <c r="VLG137" s="422"/>
      <c r="VLH137" s="422"/>
      <c r="VLI137" s="422"/>
      <c r="VLJ137" s="422"/>
      <c r="VLK137" s="422"/>
      <c r="VLL137" s="422"/>
      <c r="VLM137" s="422"/>
      <c r="VLN137" s="422"/>
      <c r="VLO137" s="422"/>
      <c r="VLP137" s="422"/>
      <c r="VLQ137" s="422"/>
      <c r="VLR137" s="422"/>
      <c r="VLS137" s="422"/>
      <c r="VLT137" s="422"/>
      <c r="VLU137" s="422"/>
      <c r="VLV137" s="422"/>
      <c r="VLW137" s="422"/>
      <c r="VLX137" s="422"/>
      <c r="VLY137" s="422"/>
      <c r="VLZ137" s="422"/>
      <c r="VMA137" s="422"/>
      <c r="VMB137" s="422"/>
      <c r="VMC137" s="422"/>
      <c r="VMD137" s="422"/>
      <c r="VME137" s="422"/>
      <c r="VMF137" s="422"/>
      <c r="VMG137" s="422"/>
      <c r="VMH137" s="422"/>
      <c r="VMI137" s="422"/>
      <c r="VMJ137" s="422"/>
      <c r="VMK137" s="422"/>
      <c r="VML137" s="422"/>
      <c r="VMM137" s="422"/>
      <c r="VMN137" s="422"/>
      <c r="VMO137" s="422"/>
      <c r="VMP137" s="422"/>
      <c r="VMQ137" s="422"/>
      <c r="VMR137" s="422"/>
      <c r="VMS137" s="422"/>
      <c r="VMT137" s="422"/>
      <c r="VMU137" s="422"/>
      <c r="VMV137" s="422"/>
      <c r="VMW137" s="422"/>
      <c r="VMX137" s="422"/>
      <c r="VMY137" s="422"/>
      <c r="VMZ137" s="422"/>
      <c r="VNA137" s="422"/>
      <c r="VNB137" s="422"/>
      <c r="VNC137" s="422"/>
      <c r="VND137" s="422"/>
      <c r="VNE137" s="422"/>
      <c r="VNF137" s="422"/>
      <c r="VNG137" s="422"/>
      <c r="VNH137" s="422"/>
      <c r="VNI137" s="422"/>
      <c r="VNJ137" s="422"/>
      <c r="VNK137" s="422"/>
      <c r="VNL137" s="422"/>
      <c r="VNM137" s="422"/>
      <c r="VNN137" s="422"/>
      <c r="VNO137" s="422"/>
      <c r="VNP137" s="422"/>
      <c r="VNQ137" s="422"/>
      <c r="VNR137" s="422"/>
      <c r="VNS137" s="422"/>
      <c r="VNT137" s="422"/>
      <c r="VNU137" s="422"/>
      <c r="VNV137" s="422"/>
      <c r="VNW137" s="422"/>
      <c r="VNX137" s="422"/>
      <c r="VNY137" s="422"/>
      <c r="VNZ137" s="422"/>
      <c r="VOA137" s="422"/>
      <c r="VOB137" s="422"/>
      <c r="VOC137" s="422"/>
      <c r="VOD137" s="422"/>
      <c r="VOE137" s="422"/>
      <c r="VOF137" s="422"/>
      <c r="VOG137" s="422"/>
      <c r="VOH137" s="422"/>
      <c r="VOI137" s="422"/>
      <c r="VOJ137" s="422"/>
      <c r="VOK137" s="422"/>
      <c r="VOL137" s="422"/>
      <c r="VOM137" s="422"/>
      <c r="VON137" s="422"/>
      <c r="VOO137" s="422"/>
      <c r="VOP137" s="422"/>
      <c r="VOQ137" s="422"/>
      <c r="VOR137" s="422"/>
      <c r="VOS137" s="422"/>
      <c r="VOT137" s="422"/>
      <c r="VOU137" s="422"/>
      <c r="VOV137" s="422"/>
      <c r="VOW137" s="422"/>
      <c r="VOX137" s="422"/>
      <c r="VOY137" s="422"/>
      <c r="VOZ137" s="422"/>
      <c r="VPA137" s="422"/>
      <c r="VPB137" s="422"/>
      <c r="VPC137" s="422"/>
      <c r="VPD137" s="422"/>
      <c r="VPE137" s="422"/>
      <c r="VPF137" s="422"/>
      <c r="VPG137" s="422"/>
      <c r="VPH137" s="422"/>
      <c r="VPI137" s="422"/>
      <c r="VPJ137" s="422"/>
      <c r="VPK137" s="422"/>
      <c r="VPL137" s="422"/>
      <c r="VPM137" s="422"/>
      <c r="VPN137" s="422"/>
      <c r="VPO137" s="422"/>
      <c r="VPP137" s="422"/>
      <c r="VPQ137" s="422"/>
      <c r="VPR137" s="422"/>
      <c r="VPS137" s="422"/>
      <c r="VPT137" s="422"/>
      <c r="VPU137" s="422"/>
      <c r="VPV137" s="422"/>
      <c r="VPW137" s="422"/>
      <c r="VPX137" s="422"/>
      <c r="VPY137" s="422"/>
      <c r="VPZ137" s="422"/>
      <c r="VQA137" s="422"/>
      <c r="VQB137" s="422"/>
      <c r="VQC137" s="422"/>
      <c r="VQD137" s="422"/>
      <c r="VQE137" s="422"/>
      <c r="VQF137" s="422"/>
      <c r="VQG137" s="422"/>
      <c r="VQH137" s="422"/>
      <c r="VQI137" s="422"/>
      <c r="VQJ137" s="422"/>
      <c r="VQK137" s="422"/>
      <c r="VQL137" s="422"/>
      <c r="VQM137" s="422"/>
      <c r="VQN137" s="422"/>
      <c r="VQO137" s="422"/>
      <c r="VQP137" s="422"/>
      <c r="VQQ137" s="422"/>
      <c r="VQR137" s="422"/>
      <c r="VQS137" s="422"/>
      <c r="VQT137" s="422"/>
      <c r="VQU137" s="422"/>
      <c r="VQV137" s="422"/>
      <c r="VQW137" s="422"/>
      <c r="VQX137" s="422"/>
      <c r="VQY137" s="422"/>
      <c r="VQZ137" s="422"/>
      <c r="VRA137" s="422"/>
      <c r="VRB137" s="422"/>
      <c r="VRC137" s="422"/>
      <c r="VRD137" s="422"/>
      <c r="VRE137" s="422"/>
      <c r="VRF137" s="422"/>
      <c r="VRG137" s="422"/>
      <c r="VRH137" s="422"/>
      <c r="VRI137" s="422"/>
      <c r="VRJ137" s="422"/>
      <c r="VRK137" s="422"/>
      <c r="VRL137" s="422"/>
      <c r="VRM137" s="422"/>
      <c r="VRN137" s="422"/>
      <c r="VRO137" s="422"/>
      <c r="VRP137" s="422"/>
      <c r="VRQ137" s="422"/>
      <c r="VRR137" s="422"/>
      <c r="VRS137" s="422"/>
      <c r="VRT137" s="422"/>
      <c r="VRU137" s="422"/>
      <c r="VRV137" s="422"/>
      <c r="VRW137" s="422"/>
      <c r="VRX137" s="422"/>
      <c r="VRY137" s="422"/>
      <c r="VRZ137" s="422"/>
      <c r="VSA137" s="422"/>
      <c r="VSB137" s="422"/>
      <c r="VSC137" s="422"/>
      <c r="VSD137" s="422"/>
      <c r="VSE137" s="422"/>
      <c r="VSF137" s="422"/>
      <c r="VSG137" s="422"/>
      <c r="VSH137" s="422"/>
      <c r="VSI137" s="422"/>
      <c r="VSJ137" s="422"/>
      <c r="VSK137" s="422"/>
      <c r="VSL137" s="422"/>
      <c r="VSM137" s="422"/>
      <c r="VSN137" s="422"/>
      <c r="VSO137" s="422"/>
      <c r="VSP137" s="422"/>
      <c r="VSQ137" s="422"/>
      <c r="VSR137" s="422"/>
      <c r="VSS137" s="422"/>
      <c r="VST137" s="422"/>
      <c r="VSU137" s="422"/>
      <c r="VSV137" s="422"/>
      <c r="VSW137" s="422"/>
      <c r="VSX137" s="422"/>
      <c r="VSY137" s="422"/>
      <c r="VSZ137" s="422"/>
      <c r="VTA137" s="422"/>
      <c r="VTB137" s="422"/>
      <c r="VTC137" s="422"/>
      <c r="VTD137" s="422"/>
      <c r="VTE137" s="422"/>
      <c r="VTF137" s="422"/>
      <c r="VTG137" s="422"/>
      <c r="VTH137" s="422"/>
      <c r="VTI137" s="422"/>
      <c r="VTJ137" s="422"/>
      <c r="VTK137" s="422"/>
      <c r="VTL137" s="422"/>
      <c r="VTM137" s="422"/>
      <c r="VTN137" s="422"/>
      <c r="VTO137" s="422"/>
      <c r="VTP137" s="422"/>
      <c r="VTQ137" s="422"/>
      <c r="VTR137" s="422"/>
      <c r="VTS137" s="422"/>
      <c r="VTT137" s="422"/>
      <c r="VTU137" s="422"/>
      <c r="VTV137" s="422"/>
      <c r="VTW137" s="422"/>
      <c r="VTX137" s="422"/>
      <c r="VTY137" s="422"/>
      <c r="VTZ137" s="422"/>
      <c r="VUA137" s="422"/>
      <c r="VUB137" s="422"/>
      <c r="VUC137" s="422"/>
      <c r="VUD137" s="422"/>
      <c r="VUE137" s="422"/>
      <c r="VUF137" s="422"/>
      <c r="VUG137" s="422"/>
      <c r="VUH137" s="422"/>
      <c r="VUI137" s="422"/>
      <c r="VUJ137" s="422"/>
      <c r="VUK137" s="422"/>
      <c r="VUL137" s="422"/>
      <c r="VUM137" s="422"/>
      <c r="VUN137" s="422"/>
      <c r="VUO137" s="422"/>
      <c r="VUP137" s="422"/>
      <c r="VUQ137" s="422"/>
      <c r="VUR137" s="422"/>
      <c r="VUS137" s="422"/>
      <c r="VUT137" s="422"/>
      <c r="VUU137" s="422"/>
      <c r="VUV137" s="422"/>
      <c r="VUW137" s="422"/>
      <c r="VUX137" s="422"/>
      <c r="VUY137" s="422"/>
      <c r="VUZ137" s="422"/>
      <c r="VVA137" s="422"/>
      <c r="VVB137" s="422"/>
      <c r="VVC137" s="422"/>
      <c r="VVD137" s="422"/>
      <c r="VVE137" s="422"/>
      <c r="VVF137" s="422"/>
      <c r="VVG137" s="422"/>
      <c r="VVH137" s="422"/>
      <c r="VVI137" s="422"/>
      <c r="VVJ137" s="422"/>
      <c r="VVK137" s="422"/>
      <c r="VVL137" s="422"/>
      <c r="VVM137" s="422"/>
      <c r="VVN137" s="422"/>
      <c r="VVO137" s="422"/>
      <c r="VVP137" s="422"/>
      <c r="VVQ137" s="422"/>
      <c r="VVR137" s="422"/>
      <c r="VVS137" s="422"/>
      <c r="VVT137" s="422"/>
      <c r="VVU137" s="422"/>
      <c r="VVV137" s="422"/>
      <c r="VVW137" s="422"/>
      <c r="VVX137" s="422"/>
      <c r="VVY137" s="422"/>
      <c r="VVZ137" s="422"/>
      <c r="VWA137" s="422"/>
      <c r="VWB137" s="422"/>
      <c r="VWC137" s="422"/>
      <c r="VWD137" s="422"/>
      <c r="VWE137" s="422"/>
      <c r="VWF137" s="422"/>
      <c r="VWG137" s="422"/>
      <c r="VWH137" s="422"/>
      <c r="VWI137" s="422"/>
      <c r="VWJ137" s="422"/>
      <c r="VWK137" s="422"/>
      <c r="VWL137" s="422"/>
      <c r="VWM137" s="422"/>
      <c r="VWN137" s="422"/>
      <c r="VWO137" s="422"/>
      <c r="VWP137" s="422"/>
      <c r="VWQ137" s="422"/>
      <c r="VWR137" s="422"/>
      <c r="VWS137" s="422"/>
      <c r="VWT137" s="422"/>
      <c r="VWU137" s="422"/>
      <c r="VWV137" s="422"/>
      <c r="VWW137" s="422"/>
      <c r="VWX137" s="422"/>
      <c r="VWY137" s="422"/>
      <c r="VWZ137" s="422"/>
      <c r="VXA137" s="422"/>
      <c r="VXB137" s="422"/>
      <c r="VXC137" s="422"/>
      <c r="VXD137" s="422"/>
      <c r="VXE137" s="422"/>
      <c r="VXF137" s="422"/>
      <c r="VXG137" s="422"/>
      <c r="VXH137" s="422"/>
      <c r="VXI137" s="422"/>
      <c r="VXJ137" s="422"/>
      <c r="VXK137" s="422"/>
      <c r="VXL137" s="422"/>
      <c r="VXM137" s="422"/>
      <c r="VXN137" s="422"/>
      <c r="VXO137" s="422"/>
      <c r="VXP137" s="422"/>
      <c r="VXQ137" s="422"/>
      <c r="VXR137" s="422"/>
      <c r="VXS137" s="422"/>
      <c r="VXT137" s="422"/>
      <c r="VXU137" s="422"/>
      <c r="VXV137" s="422"/>
      <c r="VXW137" s="422"/>
      <c r="VXX137" s="422"/>
      <c r="VXY137" s="422"/>
      <c r="VXZ137" s="422"/>
      <c r="VYA137" s="422"/>
      <c r="VYB137" s="422"/>
      <c r="VYC137" s="422"/>
      <c r="VYD137" s="422"/>
      <c r="VYE137" s="422"/>
      <c r="VYF137" s="422"/>
      <c r="VYG137" s="422"/>
      <c r="VYH137" s="422"/>
      <c r="VYI137" s="422"/>
      <c r="VYJ137" s="422"/>
      <c r="VYK137" s="422"/>
      <c r="VYL137" s="422"/>
      <c r="VYM137" s="422"/>
      <c r="VYN137" s="422"/>
      <c r="VYO137" s="422"/>
      <c r="VYP137" s="422"/>
      <c r="VYQ137" s="422"/>
      <c r="VYR137" s="422"/>
      <c r="VYS137" s="422"/>
      <c r="VYT137" s="422"/>
      <c r="VYU137" s="422"/>
      <c r="VYV137" s="422"/>
      <c r="VYW137" s="422"/>
      <c r="VYX137" s="422"/>
      <c r="VYY137" s="422"/>
      <c r="VYZ137" s="422"/>
      <c r="VZA137" s="422"/>
      <c r="VZB137" s="422"/>
      <c r="VZC137" s="422"/>
      <c r="VZD137" s="422"/>
      <c r="VZE137" s="422"/>
      <c r="VZF137" s="422"/>
      <c r="VZG137" s="422"/>
      <c r="VZH137" s="422"/>
      <c r="VZI137" s="422"/>
      <c r="VZJ137" s="422"/>
      <c r="VZK137" s="422"/>
      <c r="VZL137" s="422"/>
      <c r="VZM137" s="422"/>
      <c r="VZN137" s="422"/>
      <c r="VZO137" s="422"/>
      <c r="VZP137" s="422"/>
      <c r="VZQ137" s="422"/>
      <c r="VZR137" s="422"/>
      <c r="VZS137" s="422"/>
      <c r="VZT137" s="422"/>
      <c r="VZU137" s="422"/>
      <c r="VZV137" s="422"/>
      <c r="VZW137" s="422"/>
      <c r="VZX137" s="422"/>
      <c r="VZY137" s="422"/>
      <c r="VZZ137" s="422"/>
      <c r="WAA137" s="422"/>
      <c r="WAB137" s="422"/>
      <c r="WAC137" s="422"/>
      <c r="WAD137" s="422"/>
      <c r="WAE137" s="422"/>
      <c r="WAF137" s="422"/>
      <c r="WAG137" s="422"/>
      <c r="WAH137" s="422"/>
      <c r="WAI137" s="422"/>
      <c r="WAJ137" s="422"/>
      <c r="WAK137" s="422"/>
      <c r="WAL137" s="422"/>
      <c r="WAM137" s="422"/>
      <c r="WAN137" s="422"/>
      <c r="WAO137" s="422"/>
      <c r="WAP137" s="422"/>
      <c r="WAQ137" s="422"/>
      <c r="WAR137" s="422"/>
      <c r="WAS137" s="422"/>
      <c r="WAT137" s="422"/>
      <c r="WAU137" s="422"/>
      <c r="WAV137" s="422"/>
      <c r="WAW137" s="422"/>
      <c r="WAX137" s="422"/>
      <c r="WAY137" s="422"/>
      <c r="WAZ137" s="422"/>
      <c r="WBA137" s="422"/>
      <c r="WBB137" s="422"/>
      <c r="WBC137" s="422"/>
      <c r="WBD137" s="422"/>
      <c r="WBE137" s="422"/>
      <c r="WBF137" s="422"/>
      <c r="WBG137" s="422"/>
      <c r="WBH137" s="422"/>
      <c r="WBI137" s="422"/>
      <c r="WBJ137" s="422"/>
      <c r="WBK137" s="422"/>
      <c r="WBL137" s="422"/>
      <c r="WBM137" s="422"/>
      <c r="WBN137" s="422"/>
      <c r="WBO137" s="422"/>
      <c r="WBP137" s="422"/>
      <c r="WBQ137" s="422"/>
      <c r="WBR137" s="422"/>
      <c r="WBS137" s="422"/>
      <c r="WBT137" s="422"/>
      <c r="WBU137" s="422"/>
      <c r="WBV137" s="422"/>
      <c r="WBW137" s="422"/>
      <c r="WBX137" s="422"/>
      <c r="WBY137" s="422"/>
      <c r="WBZ137" s="422"/>
      <c r="WCA137" s="422"/>
      <c r="WCB137" s="422"/>
      <c r="WCC137" s="422"/>
      <c r="WCD137" s="422"/>
      <c r="WCE137" s="422"/>
      <c r="WCF137" s="422"/>
      <c r="WCG137" s="422"/>
      <c r="WCH137" s="422"/>
      <c r="WCI137" s="422"/>
      <c r="WCJ137" s="422"/>
      <c r="WCK137" s="422"/>
      <c r="WCL137" s="422"/>
      <c r="WCM137" s="422"/>
      <c r="WCN137" s="422"/>
      <c r="WCO137" s="422"/>
      <c r="WCP137" s="422"/>
      <c r="WCQ137" s="422"/>
      <c r="WCR137" s="422"/>
      <c r="WCS137" s="422"/>
      <c r="WCT137" s="422"/>
      <c r="WCU137" s="422"/>
      <c r="WCV137" s="422"/>
      <c r="WCW137" s="422"/>
      <c r="WCX137" s="422"/>
      <c r="WCY137" s="422"/>
      <c r="WCZ137" s="422"/>
      <c r="WDA137" s="422"/>
      <c r="WDB137" s="422"/>
      <c r="WDC137" s="422"/>
      <c r="WDD137" s="422"/>
      <c r="WDE137" s="422"/>
      <c r="WDF137" s="422"/>
      <c r="WDG137" s="422"/>
      <c r="WDH137" s="422"/>
      <c r="WDI137" s="422"/>
      <c r="WDJ137" s="422"/>
      <c r="WDK137" s="422"/>
      <c r="WDL137" s="422"/>
      <c r="WDM137" s="422"/>
      <c r="WDN137" s="422"/>
      <c r="WDO137" s="422"/>
      <c r="WDP137" s="422"/>
      <c r="WDQ137" s="422"/>
      <c r="WDR137" s="422"/>
      <c r="WDS137" s="422"/>
      <c r="WDT137" s="422"/>
      <c r="WDU137" s="422"/>
      <c r="WDV137" s="422"/>
      <c r="WDW137" s="422"/>
      <c r="WDX137" s="422"/>
      <c r="WDY137" s="422"/>
      <c r="WDZ137" s="422"/>
      <c r="WEA137" s="422"/>
      <c r="WEB137" s="422"/>
      <c r="WEC137" s="422"/>
      <c r="WED137" s="422"/>
      <c r="WEE137" s="422"/>
      <c r="WEF137" s="422"/>
      <c r="WEG137" s="422"/>
      <c r="WEH137" s="422"/>
      <c r="WEI137" s="422"/>
      <c r="WEJ137" s="422"/>
      <c r="WEK137" s="422"/>
      <c r="WEL137" s="422"/>
      <c r="WEM137" s="422"/>
      <c r="WEN137" s="422"/>
      <c r="WEO137" s="422"/>
      <c r="WEP137" s="422"/>
      <c r="WEQ137" s="422"/>
      <c r="WER137" s="422"/>
      <c r="WES137" s="422"/>
      <c r="WET137" s="422"/>
      <c r="WEU137" s="422"/>
      <c r="WEV137" s="422"/>
      <c r="WEW137" s="422"/>
      <c r="WEX137" s="422"/>
      <c r="WEY137" s="422"/>
      <c r="WEZ137" s="422"/>
      <c r="WFA137" s="422"/>
      <c r="WFB137" s="422"/>
      <c r="WFC137" s="422"/>
      <c r="WFD137" s="422"/>
      <c r="WFE137" s="422"/>
      <c r="WFF137" s="422"/>
      <c r="WFG137" s="422"/>
      <c r="WFH137" s="422"/>
      <c r="WFI137" s="422"/>
      <c r="WFJ137" s="422"/>
      <c r="WFK137" s="422"/>
      <c r="WFL137" s="422"/>
      <c r="WFM137" s="422"/>
      <c r="WFN137" s="422"/>
      <c r="WFO137" s="422"/>
      <c r="WFP137" s="422"/>
      <c r="WFQ137" s="422"/>
      <c r="WFR137" s="422"/>
      <c r="WFS137" s="422"/>
      <c r="WFT137" s="422"/>
      <c r="WFU137" s="422"/>
      <c r="WFV137" s="422"/>
      <c r="WFW137" s="422"/>
      <c r="WFX137" s="422"/>
      <c r="WFY137" s="422"/>
      <c r="WFZ137" s="422"/>
      <c r="WGA137" s="422"/>
      <c r="WGB137" s="422"/>
      <c r="WGC137" s="422"/>
      <c r="WGD137" s="422"/>
      <c r="WGE137" s="422"/>
      <c r="WGF137" s="422"/>
      <c r="WGG137" s="422"/>
      <c r="WGH137" s="422"/>
      <c r="WGI137" s="422"/>
      <c r="WGJ137" s="422"/>
      <c r="WGK137" s="422"/>
      <c r="WGL137" s="422"/>
      <c r="WGM137" s="422"/>
      <c r="WGN137" s="422"/>
      <c r="WGO137" s="422"/>
      <c r="WGP137" s="422"/>
      <c r="WGQ137" s="422"/>
      <c r="WGR137" s="422"/>
      <c r="WGS137" s="422"/>
      <c r="WGT137" s="422"/>
      <c r="WGU137" s="422"/>
      <c r="WGV137" s="422"/>
      <c r="WGW137" s="422"/>
      <c r="WGX137" s="422"/>
      <c r="WGY137" s="422"/>
      <c r="WGZ137" s="422"/>
      <c r="WHA137" s="422"/>
      <c r="WHB137" s="422"/>
      <c r="WHC137" s="422"/>
      <c r="WHD137" s="422"/>
      <c r="WHE137" s="422"/>
      <c r="WHF137" s="422"/>
      <c r="WHG137" s="422"/>
      <c r="WHH137" s="422"/>
      <c r="WHI137" s="422"/>
      <c r="WHJ137" s="422"/>
      <c r="WHK137" s="422"/>
      <c r="WHL137" s="422"/>
      <c r="WHM137" s="422"/>
      <c r="WHN137" s="422"/>
      <c r="WHO137" s="422"/>
      <c r="WHP137" s="422"/>
      <c r="WHQ137" s="422"/>
      <c r="WHR137" s="422"/>
      <c r="WHS137" s="422"/>
      <c r="WHT137" s="422"/>
      <c r="WHU137" s="422"/>
      <c r="WHV137" s="422"/>
      <c r="WHW137" s="422"/>
      <c r="WHX137" s="422"/>
      <c r="WHY137" s="422"/>
      <c r="WHZ137" s="422"/>
      <c r="WIA137" s="422"/>
      <c r="WIB137" s="422"/>
      <c r="WIC137" s="422"/>
      <c r="WID137" s="422"/>
      <c r="WIE137" s="422"/>
      <c r="WIF137" s="422"/>
      <c r="WIG137" s="422"/>
      <c r="WIH137" s="422"/>
      <c r="WII137" s="422"/>
      <c r="WIJ137" s="422"/>
      <c r="WIK137" s="422"/>
      <c r="WIL137" s="422"/>
      <c r="WIM137" s="422"/>
      <c r="WIN137" s="422"/>
      <c r="WIO137" s="422"/>
      <c r="WIP137" s="422"/>
      <c r="WIQ137" s="422"/>
      <c r="WIR137" s="422"/>
      <c r="WIS137" s="422"/>
      <c r="WIT137" s="422"/>
      <c r="WIU137" s="422"/>
      <c r="WIV137" s="422"/>
      <c r="WIW137" s="422"/>
      <c r="WIX137" s="422"/>
      <c r="WIY137" s="422"/>
      <c r="WIZ137" s="422"/>
      <c r="WJA137" s="422"/>
      <c r="WJB137" s="422"/>
      <c r="WJC137" s="422"/>
      <c r="WJD137" s="422"/>
      <c r="WJE137" s="422"/>
      <c r="WJF137" s="422"/>
      <c r="WJG137" s="422"/>
      <c r="WJH137" s="422"/>
      <c r="WJI137" s="422"/>
      <c r="WJJ137" s="422"/>
      <c r="WJK137" s="422"/>
      <c r="WJL137" s="422"/>
      <c r="WJM137" s="422"/>
      <c r="WJN137" s="422"/>
      <c r="WJO137" s="422"/>
      <c r="WJP137" s="422"/>
      <c r="WJQ137" s="422"/>
      <c r="WJR137" s="422"/>
      <c r="WJS137" s="422"/>
      <c r="WJT137" s="422"/>
      <c r="WJU137" s="422"/>
      <c r="WJV137" s="422"/>
      <c r="WJW137" s="422"/>
      <c r="WJX137" s="422"/>
      <c r="WJY137" s="422"/>
      <c r="WJZ137" s="422"/>
      <c r="WKA137" s="422"/>
      <c r="WKB137" s="422"/>
      <c r="WKC137" s="422"/>
      <c r="WKD137" s="422"/>
      <c r="WKE137" s="422"/>
      <c r="WKF137" s="422"/>
      <c r="WKG137" s="422"/>
      <c r="WKH137" s="422"/>
      <c r="WKI137" s="422"/>
      <c r="WKJ137" s="422"/>
      <c r="WKK137" s="422"/>
      <c r="WKL137" s="422"/>
      <c r="WKM137" s="422"/>
      <c r="WKN137" s="422"/>
      <c r="WKO137" s="422"/>
      <c r="WKP137" s="422"/>
      <c r="WKQ137" s="422"/>
      <c r="WKR137" s="422"/>
      <c r="WKS137" s="422"/>
      <c r="WKT137" s="422"/>
      <c r="WKU137" s="422"/>
      <c r="WKV137" s="422"/>
      <c r="WKW137" s="422"/>
      <c r="WKX137" s="422"/>
      <c r="WKY137" s="422"/>
      <c r="WKZ137" s="422"/>
      <c r="WLA137" s="422"/>
      <c r="WLB137" s="422"/>
      <c r="WLC137" s="422"/>
      <c r="WLD137" s="422"/>
      <c r="WLE137" s="422"/>
      <c r="WLF137" s="422"/>
      <c r="WLG137" s="422"/>
      <c r="WLH137" s="422"/>
      <c r="WLI137" s="422"/>
      <c r="WLJ137" s="422"/>
      <c r="WLK137" s="422"/>
      <c r="WLL137" s="422"/>
      <c r="WLM137" s="422"/>
      <c r="WLN137" s="422"/>
      <c r="WLO137" s="422"/>
      <c r="WLP137" s="422"/>
      <c r="WLQ137" s="422"/>
      <c r="WLR137" s="422"/>
      <c r="WLS137" s="422"/>
      <c r="WLT137" s="422"/>
      <c r="WLU137" s="422"/>
      <c r="WLV137" s="422"/>
      <c r="WLW137" s="422"/>
      <c r="WLX137" s="422"/>
      <c r="WLY137" s="422"/>
      <c r="WLZ137" s="422"/>
      <c r="WMA137" s="422"/>
      <c r="WMB137" s="422"/>
      <c r="WMC137" s="422"/>
      <c r="WMD137" s="422"/>
      <c r="WME137" s="422"/>
      <c r="WMF137" s="422"/>
      <c r="WMG137" s="422"/>
      <c r="WMH137" s="422"/>
      <c r="WMI137" s="422"/>
      <c r="WMJ137" s="422"/>
      <c r="WMK137" s="422"/>
      <c r="WML137" s="422"/>
      <c r="WMM137" s="422"/>
      <c r="WMN137" s="422"/>
      <c r="WMO137" s="422"/>
      <c r="WMP137" s="422"/>
      <c r="WMQ137" s="422"/>
      <c r="WMR137" s="422"/>
      <c r="WMS137" s="422"/>
      <c r="WMT137" s="422"/>
      <c r="WMU137" s="422"/>
      <c r="WMV137" s="422"/>
      <c r="WMW137" s="422"/>
      <c r="WMX137" s="422"/>
      <c r="WMY137" s="422"/>
      <c r="WMZ137" s="422"/>
      <c r="WNA137" s="422"/>
      <c r="WNB137" s="422"/>
      <c r="WNC137" s="422"/>
      <c r="WND137" s="422"/>
      <c r="WNE137" s="422"/>
      <c r="WNF137" s="422"/>
      <c r="WNG137" s="422"/>
      <c r="WNH137" s="422"/>
      <c r="WNI137" s="422"/>
      <c r="WNJ137" s="422"/>
      <c r="WNK137" s="422"/>
      <c r="WNL137" s="422"/>
      <c r="WNM137" s="422"/>
      <c r="WNN137" s="422"/>
      <c r="WNO137" s="422"/>
      <c r="WNP137" s="422"/>
      <c r="WNQ137" s="422"/>
      <c r="WNR137" s="422"/>
      <c r="WNS137" s="422"/>
      <c r="WNT137" s="422"/>
      <c r="WNU137" s="422"/>
      <c r="WNV137" s="422"/>
      <c r="WNW137" s="422"/>
      <c r="WNX137" s="422"/>
      <c r="WNY137" s="422"/>
      <c r="WNZ137" s="422"/>
      <c r="WOA137" s="422"/>
      <c r="WOB137" s="422"/>
      <c r="WOC137" s="422"/>
      <c r="WOD137" s="422"/>
      <c r="WOE137" s="422"/>
      <c r="WOF137" s="422"/>
      <c r="WOG137" s="422"/>
      <c r="WOH137" s="422"/>
      <c r="WOI137" s="422"/>
      <c r="WOJ137" s="422"/>
      <c r="WOK137" s="422"/>
      <c r="WOL137" s="422"/>
      <c r="WOM137" s="422"/>
      <c r="WON137" s="422"/>
      <c r="WOO137" s="422"/>
      <c r="WOP137" s="422"/>
      <c r="WOQ137" s="422"/>
      <c r="WOR137" s="422"/>
      <c r="WOS137" s="422"/>
      <c r="WOT137" s="422"/>
      <c r="WOU137" s="422"/>
      <c r="WOV137" s="422"/>
      <c r="WOW137" s="422"/>
      <c r="WOX137" s="422"/>
      <c r="WOY137" s="422"/>
      <c r="WOZ137" s="422"/>
      <c r="WPA137" s="422"/>
      <c r="WPB137" s="422"/>
      <c r="WPC137" s="422"/>
      <c r="WPD137" s="422"/>
      <c r="WPE137" s="422"/>
      <c r="WPF137" s="422"/>
      <c r="WPG137" s="422"/>
      <c r="WPH137" s="422"/>
      <c r="WPI137" s="422"/>
      <c r="WPJ137" s="422"/>
      <c r="WPK137" s="422"/>
      <c r="WPL137" s="422"/>
      <c r="WPM137" s="422"/>
      <c r="WPN137" s="422"/>
      <c r="WPO137" s="422"/>
      <c r="WPP137" s="422"/>
      <c r="WPQ137" s="422"/>
      <c r="WPR137" s="422"/>
      <c r="WPS137" s="422"/>
      <c r="WPT137" s="422"/>
      <c r="WPU137" s="422"/>
      <c r="WPV137" s="422"/>
      <c r="WPW137" s="422"/>
      <c r="WPX137" s="422"/>
      <c r="WPY137" s="422"/>
      <c r="WPZ137" s="422"/>
      <c r="WQA137" s="422"/>
      <c r="WQB137" s="422"/>
      <c r="WQC137" s="422"/>
      <c r="WQD137" s="422"/>
      <c r="WQE137" s="422"/>
      <c r="WQF137" s="422"/>
      <c r="WQG137" s="422"/>
      <c r="WQH137" s="422"/>
      <c r="WQI137" s="422"/>
      <c r="WQJ137" s="422"/>
      <c r="WQK137" s="422"/>
      <c r="WQL137" s="422"/>
      <c r="WQM137" s="422"/>
      <c r="WQN137" s="422"/>
      <c r="WQO137" s="422"/>
      <c r="WQP137" s="422"/>
      <c r="WQQ137" s="422"/>
      <c r="WQR137" s="422"/>
      <c r="WQS137" s="422"/>
      <c r="WQT137" s="422"/>
      <c r="WQU137" s="422"/>
      <c r="WQV137" s="422"/>
      <c r="WQW137" s="422"/>
      <c r="WQX137" s="422"/>
      <c r="WQY137" s="422"/>
      <c r="WQZ137" s="422"/>
      <c r="WRA137" s="422"/>
      <c r="WRB137" s="422"/>
      <c r="WRC137" s="422"/>
      <c r="WRD137" s="422"/>
      <c r="WRE137" s="422"/>
      <c r="WRF137" s="422"/>
      <c r="WRG137" s="422"/>
      <c r="WRH137" s="422"/>
      <c r="WRI137" s="422"/>
      <c r="WRJ137" s="422"/>
      <c r="WRK137" s="422"/>
      <c r="WRL137" s="422"/>
      <c r="WRM137" s="422"/>
      <c r="WRN137" s="422"/>
      <c r="WRO137" s="422"/>
      <c r="WRP137" s="422"/>
      <c r="WRQ137" s="422"/>
      <c r="WRR137" s="422"/>
      <c r="WRS137" s="422"/>
      <c r="WRT137" s="422"/>
      <c r="WRU137" s="422"/>
      <c r="WRV137" s="422"/>
      <c r="WRW137" s="422"/>
      <c r="WRX137" s="422"/>
      <c r="WRY137" s="422"/>
      <c r="WRZ137" s="422"/>
      <c r="WSA137" s="422"/>
      <c r="WSB137" s="422"/>
      <c r="WSC137" s="422"/>
      <c r="WSD137" s="422"/>
      <c r="WSE137" s="422"/>
      <c r="WSF137" s="422"/>
      <c r="WSG137" s="422"/>
      <c r="WSH137" s="422"/>
      <c r="WSI137" s="422"/>
      <c r="WSJ137" s="422"/>
      <c r="WSK137" s="422"/>
      <c r="WSL137" s="422"/>
      <c r="WSM137" s="422"/>
      <c r="WSN137" s="422"/>
      <c r="WSO137" s="422"/>
      <c r="WSP137" s="422"/>
      <c r="WSQ137" s="422"/>
      <c r="WSR137" s="422"/>
      <c r="WSS137" s="422"/>
      <c r="WST137" s="422"/>
      <c r="WSU137" s="422"/>
      <c r="WSV137" s="422"/>
      <c r="WSW137" s="422"/>
      <c r="WSX137" s="422"/>
      <c r="WSY137" s="422"/>
      <c r="WSZ137" s="422"/>
      <c r="WTA137" s="422"/>
      <c r="WTB137" s="422"/>
      <c r="WTC137" s="422"/>
      <c r="WTD137" s="422"/>
      <c r="WTE137" s="422"/>
      <c r="WTF137" s="422"/>
      <c r="WTG137" s="422"/>
      <c r="WTH137" s="422"/>
      <c r="WTI137" s="422"/>
      <c r="WTJ137" s="422"/>
      <c r="WTK137" s="422"/>
      <c r="WTL137" s="422"/>
      <c r="WTM137" s="422"/>
      <c r="WTN137" s="422"/>
      <c r="WTO137" s="422"/>
      <c r="WTP137" s="422"/>
      <c r="WTQ137" s="422"/>
      <c r="WTR137" s="422"/>
      <c r="WTS137" s="422"/>
      <c r="WTT137" s="422"/>
      <c r="WTU137" s="422"/>
      <c r="WTV137" s="422"/>
      <c r="WTW137" s="422"/>
      <c r="WTX137" s="422"/>
      <c r="WTY137" s="422"/>
      <c r="WTZ137" s="422"/>
      <c r="WUA137" s="422"/>
      <c r="WUB137" s="422"/>
      <c r="WUC137" s="422"/>
      <c r="WUD137" s="422"/>
      <c r="WUE137" s="422"/>
      <c r="WUF137" s="422"/>
      <c r="WUG137" s="422"/>
      <c r="WUH137" s="422"/>
      <c r="WUI137" s="422"/>
      <c r="WUJ137" s="422"/>
      <c r="WUK137" s="422"/>
      <c r="WUL137" s="422"/>
      <c r="WUM137" s="422"/>
      <c r="WUN137" s="422"/>
      <c r="WUO137" s="422"/>
      <c r="WUP137" s="422"/>
      <c r="WUQ137" s="422"/>
      <c r="WUR137" s="422"/>
      <c r="WUS137" s="422"/>
      <c r="WUT137" s="422"/>
      <c r="WUU137" s="422"/>
      <c r="WUV137" s="422"/>
      <c r="WUW137" s="422"/>
      <c r="WUX137" s="422"/>
      <c r="WUY137" s="422"/>
      <c r="WUZ137" s="422"/>
      <c r="WVA137" s="422"/>
      <c r="WVB137" s="422"/>
      <c r="WVC137" s="422"/>
      <c r="WVD137" s="422"/>
      <c r="WVE137" s="422"/>
      <c r="WVF137" s="422"/>
      <c r="WVG137" s="422"/>
      <c r="WVH137" s="422"/>
      <c r="WVI137" s="422"/>
      <c r="WVJ137" s="422"/>
      <c r="WVK137" s="422"/>
      <c r="WVL137" s="422"/>
      <c r="WVM137" s="422"/>
      <c r="WVN137" s="422"/>
      <c r="WVO137" s="422"/>
      <c r="WVP137" s="422"/>
      <c r="WVQ137" s="422"/>
      <c r="WVR137" s="422"/>
      <c r="WVS137" s="422"/>
      <c r="WVT137" s="422"/>
      <c r="WVU137" s="422"/>
      <c r="WVV137" s="422"/>
      <c r="WVW137" s="422"/>
      <c r="WVX137" s="422"/>
      <c r="WVY137" s="422"/>
      <c r="WVZ137" s="422"/>
      <c r="WWA137" s="422"/>
      <c r="WWB137" s="422"/>
      <c r="WWC137" s="422"/>
      <c r="WWD137" s="422"/>
      <c r="WWE137" s="422"/>
      <c r="WWF137" s="422"/>
      <c r="WWG137" s="422"/>
      <c r="WWH137" s="422"/>
      <c r="WWI137" s="422"/>
      <c r="WWJ137" s="422"/>
      <c r="WWK137" s="422"/>
      <c r="WWL137" s="422"/>
      <c r="WWM137" s="422"/>
      <c r="WWN137" s="422"/>
      <c r="WWO137" s="422"/>
      <c r="WWP137" s="422"/>
      <c r="WWQ137" s="422"/>
      <c r="WWR137" s="422"/>
      <c r="WWS137" s="422"/>
      <c r="WWT137" s="422"/>
      <c r="WWU137" s="422"/>
      <c r="WWV137" s="422"/>
      <c r="WWW137" s="422"/>
      <c r="WWX137" s="422"/>
      <c r="WWY137" s="422"/>
      <c r="WWZ137" s="422"/>
      <c r="WXA137" s="422"/>
      <c r="WXB137" s="422"/>
      <c r="WXC137" s="422"/>
      <c r="WXD137" s="422"/>
      <c r="WXE137" s="422"/>
      <c r="WXF137" s="422"/>
      <c r="WXG137" s="422"/>
      <c r="WXH137" s="422"/>
      <c r="WXI137" s="422"/>
      <c r="WXJ137" s="422"/>
      <c r="WXK137" s="422"/>
      <c r="WXL137" s="422"/>
      <c r="WXM137" s="422"/>
      <c r="WXN137" s="422"/>
      <c r="WXO137" s="422"/>
      <c r="WXP137" s="422"/>
      <c r="WXQ137" s="422"/>
      <c r="WXR137" s="422"/>
      <c r="WXS137" s="422"/>
      <c r="WXT137" s="422"/>
      <c r="WXU137" s="422"/>
      <c r="WXV137" s="422"/>
      <c r="WXW137" s="422"/>
      <c r="WXX137" s="422"/>
      <c r="WXY137" s="422"/>
      <c r="WXZ137" s="422"/>
      <c r="WYA137" s="422"/>
      <c r="WYB137" s="422"/>
      <c r="WYC137" s="422"/>
      <c r="WYD137" s="422"/>
      <c r="WYE137" s="422"/>
      <c r="WYF137" s="422"/>
      <c r="WYG137" s="422"/>
      <c r="WYH137" s="422"/>
      <c r="WYI137" s="422"/>
      <c r="WYJ137" s="422"/>
      <c r="WYK137" s="422"/>
      <c r="WYL137" s="422"/>
      <c r="WYM137" s="422"/>
      <c r="WYN137" s="422"/>
      <c r="WYO137" s="422"/>
      <c r="WYP137" s="422"/>
      <c r="WYQ137" s="422"/>
      <c r="WYR137" s="422"/>
      <c r="WYS137" s="422"/>
      <c r="WYT137" s="422"/>
      <c r="WYU137" s="422"/>
      <c r="WYV137" s="422"/>
      <c r="WYW137" s="422"/>
      <c r="WYX137" s="422"/>
      <c r="WYY137" s="422"/>
      <c r="WYZ137" s="422"/>
      <c r="WZA137" s="422"/>
      <c r="WZB137" s="422"/>
      <c r="WZC137" s="422"/>
      <c r="WZD137" s="422"/>
      <c r="WZE137" s="422"/>
      <c r="WZF137" s="422"/>
      <c r="WZG137" s="422"/>
      <c r="WZH137" s="422"/>
      <c r="WZI137" s="422"/>
      <c r="WZJ137" s="422"/>
      <c r="WZK137" s="422"/>
      <c r="WZL137" s="422"/>
      <c r="WZM137" s="422"/>
      <c r="WZN137" s="422"/>
      <c r="WZO137" s="422"/>
      <c r="WZP137" s="422"/>
      <c r="WZQ137" s="422"/>
      <c r="WZR137" s="422"/>
      <c r="WZS137" s="422"/>
      <c r="WZT137" s="422"/>
      <c r="WZU137" s="422"/>
      <c r="WZV137" s="422"/>
      <c r="WZW137" s="422"/>
      <c r="WZX137" s="422"/>
      <c r="WZY137" s="422"/>
      <c r="WZZ137" s="422"/>
      <c r="XAA137" s="422"/>
      <c r="XAB137" s="422"/>
      <c r="XAC137" s="422"/>
      <c r="XAD137" s="422"/>
      <c r="XAE137" s="422"/>
      <c r="XAF137" s="422"/>
      <c r="XAG137" s="422"/>
      <c r="XAH137" s="422"/>
      <c r="XAI137" s="422"/>
      <c r="XAJ137" s="422"/>
      <c r="XAK137" s="422"/>
      <c r="XAL137" s="422"/>
      <c r="XAM137" s="422"/>
      <c r="XAN137" s="422"/>
      <c r="XAO137" s="422"/>
      <c r="XAP137" s="422"/>
      <c r="XAQ137" s="422"/>
      <c r="XAR137" s="422"/>
      <c r="XAS137" s="422"/>
      <c r="XAT137" s="422"/>
      <c r="XAU137" s="422"/>
      <c r="XAV137" s="422"/>
      <c r="XAW137" s="422"/>
      <c r="XAX137" s="422"/>
      <c r="XAY137" s="422"/>
      <c r="XAZ137" s="422"/>
      <c r="XBA137" s="422"/>
      <c r="XBB137" s="422"/>
      <c r="XBC137" s="422"/>
      <c r="XBD137" s="422"/>
      <c r="XBE137" s="422"/>
      <c r="XBF137" s="422"/>
      <c r="XBG137" s="422"/>
      <c r="XBH137" s="422"/>
      <c r="XBI137" s="422"/>
      <c r="XBJ137" s="422"/>
      <c r="XBK137" s="422"/>
      <c r="XBL137" s="422"/>
      <c r="XBM137" s="422"/>
      <c r="XBN137" s="422"/>
      <c r="XBO137" s="422"/>
      <c r="XBP137" s="422"/>
      <c r="XBQ137" s="422"/>
      <c r="XBR137" s="422"/>
      <c r="XBS137" s="422"/>
      <c r="XBT137" s="422"/>
      <c r="XBU137" s="422"/>
      <c r="XBV137" s="422"/>
      <c r="XBW137" s="422"/>
      <c r="XBX137" s="422"/>
      <c r="XBY137" s="422"/>
      <c r="XBZ137" s="422"/>
      <c r="XCA137" s="422"/>
      <c r="XCB137" s="422"/>
      <c r="XCC137" s="422"/>
      <c r="XCD137" s="422"/>
      <c r="XCE137" s="422"/>
      <c r="XCF137" s="422"/>
      <c r="XCG137" s="422"/>
      <c r="XCH137" s="422"/>
      <c r="XCI137" s="422"/>
      <c r="XCJ137" s="422"/>
      <c r="XCK137" s="422"/>
      <c r="XCL137" s="422"/>
      <c r="XCM137" s="422"/>
      <c r="XCN137" s="422"/>
      <c r="XCO137" s="422"/>
      <c r="XCP137" s="422"/>
      <c r="XCQ137" s="422"/>
      <c r="XCR137" s="422"/>
      <c r="XCS137" s="422"/>
      <c r="XCT137" s="422"/>
      <c r="XCU137" s="422"/>
      <c r="XCV137" s="422"/>
      <c r="XCW137" s="422"/>
      <c r="XCX137" s="422"/>
      <c r="XCY137" s="422"/>
      <c r="XCZ137" s="422"/>
      <c r="XDA137" s="422"/>
      <c r="XDB137" s="422"/>
      <c r="XDC137" s="422"/>
      <c r="XDD137" s="422"/>
      <c r="XDE137" s="422"/>
      <c r="XDF137" s="422"/>
      <c r="XDG137" s="422"/>
      <c r="XDH137" s="422"/>
      <c r="XDI137" s="422"/>
      <c r="XDJ137" s="422"/>
      <c r="XDK137" s="422"/>
      <c r="XDL137" s="422"/>
      <c r="XDM137" s="422"/>
      <c r="XDN137" s="422"/>
      <c r="XDO137" s="422"/>
      <c r="XDP137" s="422"/>
      <c r="XDQ137" s="422"/>
      <c r="XDR137" s="422"/>
      <c r="XDS137" s="422"/>
      <c r="XDT137" s="422"/>
      <c r="XDU137" s="422"/>
      <c r="XDV137" s="422"/>
      <c r="XDW137" s="422"/>
      <c r="XDX137" s="422"/>
      <c r="XDY137" s="422"/>
      <c r="XDZ137" s="422"/>
      <c r="XEA137" s="422"/>
      <c r="XEB137" s="422"/>
      <c r="XEC137" s="422"/>
      <c r="XED137" s="422"/>
      <c r="XEE137" s="422"/>
      <c r="XEF137" s="422"/>
      <c r="XEG137" s="422"/>
      <c r="XEH137" s="422"/>
      <c r="XEI137" s="422"/>
      <c r="XEJ137" s="422"/>
      <c r="XEK137" s="422"/>
      <c r="XEL137" s="422"/>
      <c r="XEM137" s="422"/>
      <c r="XEN137" s="422"/>
      <c r="XEO137" s="422"/>
      <c r="XEP137" s="422"/>
      <c r="XEQ137" s="422"/>
      <c r="XER137" s="422"/>
      <c r="XES137" s="422"/>
      <c r="XET137" s="422"/>
      <c r="XEU137" s="422"/>
      <c r="XEV137" s="422"/>
      <c r="XEW137" s="422"/>
      <c r="XEX137" s="422"/>
      <c r="XEY137" s="422"/>
      <c r="XEZ137" s="422"/>
      <c r="XFA137" s="422"/>
      <c r="XFB137" s="422"/>
      <c r="XFC137" s="492"/>
      <c r="XFD137" s="492"/>
    </row>
    <row r="138" spans="1:16384" s="58" customFormat="1" ht="15" hidden="1" customHeight="1">
      <c r="A138" s="560" t="s">
        <v>363</v>
      </c>
      <c r="B138" s="114" t="s">
        <v>531</v>
      </c>
      <c r="C138" s="114"/>
      <c r="D138" s="119"/>
      <c r="E138" s="121">
        <v>2796</v>
      </c>
      <c r="F138" s="125" t="s">
        <v>551</v>
      </c>
      <c r="G138" s="350" t="s">
        <v>551</v>
      </c>
      <c r="H138" s="119" t="s">
        <v>19</v>
      </c>
      <c r="I138" s="85"/>
      <c r="J138" s="563" t="s">
        <v>552</v>
      </c>
      <c r="K138" s="564"/>
      <c r="L138" s="496"/>
      <c r="M138" s="495"/>
      <c r="N138" s="421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422"/>
      <c r="AL138" s="422"/>
      <c r="AM138" s="422"/>
      <c r="AN138" s="422"/>
      <c r="AO138" s="422"/>
      <c r="AP138" s="422"/>
      <c r="AQ138" s="422"/>
      <c r="AR138" s="422"/>
      <c r="AS138" s="422"/>
      <c r="AT138" s="422"/>
      <c r="AU138" s="422"/>
      <c r="AV138" s="422"/>
      <c r="AW138" s="422"/>
      <c r="AX138" s="422"/>
      <c r="AY138" s="422"/>
      <c r="AZ138" s="422"/>
      <c r="BA138" s="422"/>
      <c r="BB138" s="422"/>
      <c r="BC138" s="422"/>
      <c r="BD138" s="422"/>
      <c r="BE138" s="422"/>
      <c r="BF138" s="422"/>
      <c r="BG138" s="422"/>
      <c r="BH138" s="422"/>
      <c r="BI138" s="422"/>
      <c r="BJ138" s="422"/>
      <c r="BK138" s="422"/>
      <c r="BL138" s="422"/>
      <c r="BM138" s="422"/>
      <c r="BN138" s="422"/>
      <c r="BO138" s="422"/>
      <c r="BP138" s="422"/>
      <c r="BQ138" s="422"/>
      <c r="BR138" s="422"/>
      <c r="BS138" s="422"/>
      <c r="BT138" s="422"/>
      <c r="BU138" s="422"/>
      <c r="BV138" s="422"/>
      <c r="BW138" s="422"/>
      <c r="BX138" s="422"/>
      <c r="BY138" s="422"/>
      <c r="BZ138" s="422"/>
      <c r="CA138" s="422"/>
      <c r="CB138" s="422"/>
      <c r="CC138" s="422"/>
      <c r="CD138" s="422"/>
      <c r="CE138" s="422"/>
      <c r="CF138" s="422"/>
      <c r="CG138" s="422"/>
      <c r="CH138" s="422"/>
      <c r="CI138" s="422"/>
      <c r="CJ138" s="422"/>
      <c r="CK138" s="422"/>
      <c r="CL138" s="422"/>
      <c r="CM138" s="422"/>
      <c r="CN138" s="422"/>
      <c r="CO138" s="422"/>
      <c r="CP138" s="422"/>
      <c r="CQ138" s="422"/>
      <c r="CR138" s="422"/>
      <c r="CS138" s="422"/>
      <c r="CT138" s="422"/>
      <c r="CU138" s="422"/>
      <c r="CV138" s="422"/>
      <c r="CW138" s="422"/>
      <c r="CX138" s="422"/>
      <c r="CY138" s="422"/>
      <c r="CZ138" s="422"/>
      <c r="DA138" s="422"/>
      <c r="DB138" s="422"/>
      <c r="DC138" s="422"/>
      <c r="DD138" s="422"/>
      <c r="DE138" s="422"/>
      <c r="DF138" s="422"/>
      <c r="DG138" s="422"/>
      <c r="DH138" s="422"/>
      <c r="DI138" s="422"/>
      <c r="DJ138" s="422"/>
      <c r="DK138" s="422"/>
      <c r="DL138" s="422"/>
      <c r="DM138" s="422"/>
      <c r="DN138" s="422"/>
      <c r="DO138" s="422"/>
      <c r="DP138" s="422"/>
      <c r="DQ138" s="422"/>
      <c r="DR138" s="422"/>
      <c r="DS138" s="422"/>
      <c r="DT138" s="422"/>
      <c r="DU138" s="422"/>
      <c r="DV138" s="422"/>
      <c r="DW138" s="422"/>
      <c r="DX138" s="422"/>
      <c r="DY138" s="422"/>
      <c r="DZ138" s="422"/>
      <c r="EA138" s="422"/>
      <c r="EB138" s="422"/>
      <c r="EC138" s="422"/>
      <c r="ED138" s="422"/>
      <c r="EE138" s="422"/>
      <c r="EF138" s="422"/>
      <c r="EG138" s="422"/>
      <c r="EH138" s="422"/>
      <c r="EI138" s="422"/>
      <c r="EJ138" s="422"/>
      <c r="EK138" s="422"/>
      <c r="EL138" s="422"/>
      <c r="EM138" s="422"/>
      <c r="EN138" s="422"/>
      <c r="EO138" s="422"/>
      <c r="EP138" s="422"/>
      <c r="EQ138" s="422"/>
      <c r="ER138" s="422"/>
      <c r="ES138" s="422"/>
      <c r="ET138" s="422"/>
      <c r="EU138" s="422"/>
      <c r="EV138" s="422"/>
      <c r="EW138" s="422"/>
      <c r="EX138" s="422"/>
      <c r="EY138" s="422"/>
      <c r="EZ138" s="422"/>
      <c r="FA138" s="422"/>
      <c r="FB138" s="422"/>
      <c r="FC138" s="422"/>
      <c r="FD138" s="422"/>
      <c r="FE138" s="422"/>
      <c r="FF138" s="422"/>
      <c r="FG138" s="422"/>
      <c r="FH138" s="422"/>
      <c r="FI138" s="422"/>
      <c r="FJ138" s="422"/>
      <c r="FK138" s="422"/>
      <c r="FL138" s="422"/>
      <c r="FM138" s="422"/>
      <c r="FN138" s="422"/>
      <c r="FO138" s="422"/>
      <c r="FP138" s="422"/>
      <c r="FQ138" s="422"/>
      <c r="FR138" s="422"/>
      <c r="FS138" s="422"/>
      <c r="FT138" s="422"/>
      <c r="FU138" s="422"/>
      <c r="FV138" s="422"/>
      <c r="FW138" s="422"/>
      <c r="FX138" s="422"/>
      <c r="FY138" s="422"/>
      <c r="FZ138" s="422"/>
      <c r="GA138" s="422"/>
      <c r="GB138" s="422"/>
      <c r="GC138" s="422"/>
      <c r="GD138" s="422"/>
      <c r="GE138" s="422"/>
      <c r="GF138" s="422"/>
      <c r="GG138" s="422"/>
      <c r="GH138" s="422"/>
      <c r="GI138" s="422"/>
      <c r="GJ138" s="422"/>
      <c r="GK138" s="422"/>
      <c r="GL138" s="422"/>
      <c r="GM138" s="422"/>
      <c r="GN138" s="422"/>
      <c r="GO138" s="422"/>
      <c r="GP138" s="422"/>
      <c r="GQ138" s="422"/>
      <c r="GR138" s="422"/>
      <c r="GS138" s="422"/>
      <c r="GT138" s="422"/>
      <c r="GU138" s="422"/>
      <c r="GV138" s="422"/>
      <c r="GW138" s="422"/>
      <c r="GX138" s="422"/>
      <c r="GY138" s="422"/>
      <c r="GZ138" s="422"/>
      <c r="HA138" s="422"/>
      <c r="HB138" s="422"/>
      <c r="HC138" s="422"/>
      <c r="HD138" s="422"/>
      <c r="HE138" s="422"/>
      <c r="HF138" s="422"/>
      <c r="HG138" s="422"/>
      <c r="HH138" s="422"/>
      <c r="HI138" s="422"/>
      <c r="HJ138" s="422"/>
      <c r="HK138" s="422"/>
      <c r="HL138" s="422"/>
      <c r="HM138" s="422"/>
      <c r="HN138" s="422"/>
      <c r="HO138" s="422"/>
      <c r="HP138" s="422"/>
      <c r="HQ138" s="422"/>
      <c r="HR138" s="422"/>
      <c r="HS138" s="422"/>
      <c r="HT138" s="422"/>
      <c r="HU138" s="422"/>
      <c r="HV138" s="422"/>
      <c r="HW138" s="422"/>
      <c r="HX138" s="422"/>
      <c r="HY138" s="422"/>
      <c r="HZ138" s="422"/>
      <c r="IA138" s="422"/>
      <c r="IB138" s="422"/>
      <c r="IC138" s="422"/>
      <c r="ID138" s="422"/>
      <c r="IE138" s="422"/>
      <c r="IF138" s="422"/>
      <c r="IG138" s="422"/>
      <c r="IH138" s="422"/>
      <c r="II138" s="422"/>
      <c r="IJ138" s="422"/>
      <c r="IK138" s="422"/>
      <c r="IL138" s="422"/>
      <c r="IM138" s="422"/>
      <c r="IN138" s="422"/>
      <c r="IO138" s="422"/>
      <c r="IP138" s="422"/>
      <c r="IQ138" s="422"/>
      <c r="IR138" s="422"/>
      <c r="IS138" s="422"/>
      <c r="IT138" s="422"/>
      <c r="IU138" s="422"/>
      <c r="IV138" s="422"/>
      <c r="IW138" s="422"/>
      <c r="IX138" s="422"/>
      <c r="IY138" s="422"/>
      <c r="IZ138" s="422"/>
      <c r="JA138" s="422"/>
      <c r="JB138" s="422"/>
      <c r="JC138" s="422"/>
      <c r="JD138" s="422"/>
      <c r="JE138" s="422"/>
      <c r="JF138" s="422"/>
      <c r="JG138" s="422"/>
      <c r="JH138" s="422"/>
      <c r="JI138" s="422"/>
      <c r="JJ138" s="422"/>
      <c r="JK138" s="422"/>
      <c r="JL138" s="422"/>
      <c r="JM138" s="422"/>
      <c r="JN138" s="422"/>
      <c r="JO138" s="422"/>
      <c r="JP138" s="422"/>
      <c r="JQ138" s="422"/>
      <c r="JR138" s="422"/>
      <c r="JS138" s="422"/>
      <c r="JT138" s="422"/>
      <c r="JU138" s="422"/>
      <c r="JV138" s="422"/>
      <c r="JW138" s="422"/>
      <c r="JX138" s="422"/>
      <c r="JY138" s="422"/>
      <c r="JZ138" s="422"/>
      <c r="KA138" s="422"/>
      <c r="KB138" s="422"/>
      <c r="KC138" s="422"/>
      <c r="KD138" s="422"/>
      <c r="KE138" s="422"/>
      <c r="KF138" s="422"/>
      <c r="KG138" s="422"/>
      <c r="KH138" s="422"/>
      <c r="KI138" s="422"/>
      <c r="KJ138" s="422"/>
      <c r="KK138" s="422"/>
      <c r="KL138" s="422"/>
      <c r="KM138" s="422"/>
      <c r="KN138" s="422"/>
      <c r="KO138" s="422"/>
      <c r="KP138" s="422"/>
      <c r="KQ138" s="422"/>
      <c r="KR138" s="422"/>
      <c r="KS138" s="422"/>
      <c r="KT138" s="422"/>
      <c r="KU138" s="422"/>
      <c r="KV138" s="422"/>
      <c r="KW138" s="422"/>
      <c r="KX138" s="422"/>
      <c r="KY138" s="422"/>
      <c r="KZ138" s="422"/>
      <c r="LA138" s="422"/>
      <c r="LB138" s="422"/>
      <c r="LC138" s="422"/>
      <c r="LD138" s="422"/>
      <c r="LE138" s="422"/>
      <c r="LF138" s="422"/>
      <c r="LG138" s="422"/>
      <c r="LH138" s="422"/>
      <c r="LI138" s="422"/>
      <c r="LJ138" s="422"/>
      <c r="LK138" s="422"/>
      <c r="LL138" s="422"/>
      <c r="LM138" s="422"/>
      <c r="LN138" s="422"/>
      <c r="LO138" s="422"/>
      <c r="LP138" s="422"/>
      <c r="LQ138" s="422"/>
      <c r="LR138" s="422"/>
      <c r="LS138" s="422"/>
      <c r="LT138" s="422"/>
      <c r="LU138" s="422"/>
      <c r="LV138" s="422"/>
      <c r="LW138" s="422"/>
      <c r="LX138" s="422"/>
      <c r="LY138" s="422"/>
      <c r="LZ138" s="422"/>
      <c r="MA138" s="422"/>
      <c r="MB138" s="422"/>
      <c r="MC138" s="422"/>
      <c r="MD138" s="422"/>
      <c r="ME138" s="422"/>
      <c r="MF138" s="422"/>
      <c r="MG138" s="422"/>
      <c r="MH138" s="422"/>
      <c r="MI138" s="422"/>
      <c r="MJ138" s="422"/>
      <c r="MK138" s="422"/>
      <c r="ML138" s="422"/>
      <c r="MM138" s="422"/>
      <c r="MN138" s="422"/>
      <c r="MO138" s="422"/>
      <c r="MP138" s="422"/>
      <c r="MQ138" s="422"/>
      <c r="MR138" s="422"/>
      <c r="MS138" s="422"/>
      <c r="MT138" s="422"/>
      <c r="MU138" s="422"/>
      <c r="MV138" s="422"/>
      <c r="MW138" s="422"/>
      <c r="MX138" s="422"/>
      <c r="MY138" s="422"/>
      <c r="MZ138" s="422"/>
      <c r="NA138" s="422"/>
      <c r="NB138" s="422"/>
      <c r="NC138" s="422"/>
      <c r="ND138" s="422"/>
      <c r="NE138" s="422"/>
      <c r="NF138" s="422"/>
      <c r="NG138" s="422"/>
      <c r="NH138" s="422"/>
      <c r="NI138" s="422"/>
      <c r="NJ138" s="422"/>
      <c r="NK138" s="422"/>
      <c r="NL138" s="422"/>
      <c r="NM138" s="422"/>
      <c r="NN138" s="422"/>
      <c r="NO138" s="422"/>
      <c r="NP138" s="422"/>
      <c r="NQ138" s="422"/>
      <c r="NR138" s="422"/>
      <c r="NS138" s="422"/>
      <c r="NT138" s="422"/>
      <c r="NU138" s="422"/>
      <c r="NV138" s="422"/>
      <c r="NW138" s="422"/>
      <c r="NX138" s="422"/>
      <c r="NY138" s="422"/>
      <c r="NZ138" s="422"/>
      <c r="OA138" s="422"/>
      <c r="OB138" s="422"/>
      <c r="OC138" s="422"/>
      <c r="OD138" s="422"/>
      <c r="OE138" s="422"/>
      <c r="OF138" s="422"/>
      <c r="OG138" s="422"/>
      <c r="OH138" s="422"/>
      <c r="OI138" s="422"/>
      <c r="OJ138" s="422"/>
      <c r="OK138" s="422"/>
      <c r="OL138" s="422"/>
      <c r="OM138" s="422"/>
      <c r="ON138" s="422"/>
      <c r="OO138" s="422"/>
      <c r="OP138" s="422"/>
      <c r="OQ138" s="422"/>
      <c r="OR138" s="422"/>
      <c r="OS138" s="422"/>
      <c r="OT138" s="422"/>
      <c r="OU138" s="422"/>
      <c r="OV138" s="422"/>
      <c r="OW138" s="422"/>
      <c r="OX138" s="422"/>
      <c r="OY138" s="422"/>
      <c r="OZ138" s="422"/>
      <c r="PA138" s="422"/>
      <c r="PB138" s="422"/>
      <c r="PC138" s="422"/>
      <c r="PD138" s="422"/>
      <c r="PE138" s="422"/>
      <c r="PF138" s="422"/>
      <c r="PG138" s="422"/>
      <c r="PH138" s="422"/>
      <c r="PI138" s="422"/>
      <c r="PJ138" s="422"/>
      <c r="PK138" s="422"/>
      <c r="PL138" s="422"/>
      <c r="PM138" s="422"/>
      <c r="PN138" s="422"/>
      <c r="PO138" s="422"/>
      <c r="PP138" s="422"/>
      <c r="PQ138" s="422"/>
      <c r="PR138" s="422"/>
      <c r="PS138" s="422"/>
      <c r="PT138" s="422"/>
      <c r="PU138" s="422"/>
      <c r="PV138" s="422"/>
      <c r="PW138" s="422"/>
      <c r="PX138" s="422"/>
      <c r="PY138" s="422"/>
      <c r="PZ138" s="422"/>
      <c r="QA138" s="422"/>
      <c r="QB138" s="422"/>
      <c r="QC138" s="422"/>
      <c r="QD138" s="422"/>
      <c r="QE138" s="422"/>
      <c r="QF138" s="422"/>
      <c r="QG138" s="422"/>
      <c r="QH138" s="422"/>
      <c r="QI138" s="422"/>
      <c r="QJ138" s="422"/>
      <c r="QK138" s="422"/>
      <c r="QL138" s="422"/>
      <c r="QM138" s="422"/>
      <c r="QN138" s="422"/>
      <c r="QO138" s="422"/>
      <c r="QP138" s="422"/>
      <c r="QQ138" s="422"/>
      <c r="QR138" s="422"/>
      <c r="QS138" s="422"/>
      <c r="QT138" s="422"/>
      <c r="QU138" s="422"/>
      <c r="QV138" s="422"/>
      <c r="QW138" s="422"/>
      <c r="QX138" s="422"/>
      <c r="QY138" s="422"/>
      <c r="QZ138" s="422"/>
      <c r="RA138" s="422"/>
      <c r="RB138" s="422"/>
      <c r="RC138" s="422"/>
      <c r="RD138" s="422"/>
      <c r="RE138" s="422"/>
      <c r="RF138" s="422"/>
      <c r="RG138" s="422"/>
      <c r="RH138" s="422"/>
      <c r="RI138" s="422"/>
      <c r="RJ138" s="422"/>
      <c r="RK138" s="422"/>
      <c r="RL138" s="422"/>
      <c r="RM138" s="422"/>
      <c r="RN138" s="422"/>
      <c r="RO138" s="422"/>
      <c r="RP138" s="422"/>
      <c r="RQ138" s="422"/>
      <c r="RR138" s="422"/>
      <c r="RS138" s="422"/>
      <c r="RT138" s="422"/>
      <c r="RU138" s="422"/>
      <c r="RV138" s="422"/>
      <c r="RW138" s="422"/>
      <c r="RX138" s="422"/>
      <c r="RY138" s="422"/>
      <c r="RZ138" s="422"/>
      <c r="SA138" s="422"/>
      <c r="SB138" s="422"/>
      <c r="SC138" s="422"/>
      <c r="SD138" s="422"/>
      <c r="SE138" s="422"/>
      <c r="SF138" s="422"/>
      <c r="SG138" s="422"/>
      <c r="SH138" s="422"/>
      <c r="SI138" s="422"/>
      <c r="SJ138" s="422"/>
      <c r="SK138" s="422"/>
      <c r="SL138" s="422"/>
      <c r="SM138" s="422"/>
      <c r="SN138" s="422"/>
      <c r="SO138" s="422"/>
      <c r="SP138" s="422"/>
      <c r="SQ138" s="422"/>
      <c r="SR138" s="422"/>
      <c r="SS138" s="422"/>
      <c r="ST138" s="422"/>
      <c r="SU138" s="422"/>
      <c r="SV138" s="422"/>
      <c r="SW138" s="422"/>
      <c r="SX138" s="422"/>
      <c r="SY138" s="422"/>
      <c r="SZ138" s="422"/>
      <c r="TA138" s="422"/>
      <c r="TB138" s="422"/>
      <c r="TC138" s="422"/>
      <c r="TD138" s="422"/>
      <c r="TE138" s="422"/>
      <c r="TF138" s="422"/>
      <c r="TG138" s="422"/>
      <c r="TH138" s="422"/>
      <c r="TI138" s="422"/>
      <c r="TJ138" s="422"/>
      <c r="TK138" s="422"/>
      <c r="TL138" s="422"/>
      <c r="TM138" s="422"/>
      <c r="TN138" s="422"/>
      <c r="TO138" s="422"/>
      <c r="TP138" s="422"/>
      <c r="TQ138" s="422"/>
      <c r="TR138" s="422"/>
      <c r="TS138" s="422"/>
      <c r="TT138" s="422"/>
      <c r="TU138" s="422"/>
      <c r="TV138" s="422"/>
      <c r="TW138" s="422"/>
      <c r="TX138" s="422"/>
      <c r="TY138" s="422"/>
      <c r="TZ138" s="422"/>
      <c r="UA138" s="422"/>
      <c r="UB138" s="422"/>
      <c r="UC138" s="422"/>
      <c r="UD138" s="422"/>
      <c r="UE138" s="422"/>
      <c r="UF138" s="422"/>
      <c r="UG138" s="422"/>
      <c r="UH138" s="422"/>
      <c r="UI138" s="422"/>
      <c r="UJ138" s="422"/>
      <c r="UK138" s="422"/>
      <c r="UL138" s="422"/>
      <c r="UM138" s="422"/>
      <c r="UN138" s="422"/>
      <c r="UO138" s="422"/>
      <c r="UP138" s="422"/>
      <c r="UQ138" s="422"/>
      <c r="UR138" s="422"/>
      <c r="US138" s="422"/>
      <c r="UT138" s="422"/>
      <c r="UU138" s="422"/>
      <c r="UV138" s="422"/>
      <c r="UW138" s="422"/>
      <c r="UX138" s="422"/>
      <c r="UY138" s="422"/>
      <c r="UZ138" s="422"/>
      <c r="VA138" s="422"/>
      <c r="VB138" s="422"/>
      <c r="VC138" s="422"/>
      <c r="VD138" s="422"/>
      <c r="VE138" s="422"/>
      <c r="VF138" s="422"/>
      <c r="VG138" s="422"/>
      <c r="VH138" s="422"/>
      <c r="VI138" s="422"/>
      <c r="VJ138" s="422"/>
      <c r="VK138" s="422"/>
      <c r="VL138" s="422"/>
      <c r="VM138" s="422"/>
      <c r="VN138" s="422"/>
      <c r="VO138" s="422"/>
      <c r="VP138" s="422"/>
      <c r="VQ138" s="422"/>
      <c r="VR138" s="422"/>
      <c r="VS138" s="422"/>
      <c r="VT138" s="422"/>
      <c r="VU138" s="422"/>
      <c r="VV138" s="422"/>
      <c r="VW138" s="422"/>
      <c r="VX138" s="422"/>
      <c r="VY138" s="422"/>
      <c r="VZ138" s="422"/>
      <c r="WA138" s="422"/>
      <c r="WB138" s="422"/>
      <c r="WC138" s="422"/>
      <c r="WD138" s="422"/>
      <c r="WE138" s="422"/>
      <c r="WF138" s="422"/>
      <c r="WG138" s="422"/>
      <c r="WH138" s="422"/>
      <c r="WI138" s="422"/>
      <c r="WJ138" s="422"/>
      <c r="WK138" s="422"/>
      <c r="WL138" s="422"/>
      <c r="WM138" s="422"/>
      <c r="WN138" s="422"/>
      <c r="WO138" s="422"/>
      <c r="WP138" s="422"/>
      <c r="WQ138" s="422"/>
      <c r="WR138" s="422"/>
      <c r="WS138" s="422"/>
      <c r="WT138" s="422"/>
      <c r="WU138" s="422"/>
      <c r="WV138" s="422"/>
      <c r="WW138" s="422"/>
      <c r="WX138" s="422"/>
      <c r="WY138" s="422"/>
      <c r="WZ138" s="422"/>
      <c r="XA138" s="422"/>
      <c r="XB138" s="422"/>
      <c r="XC138" s="422"/>
      <c r="XD138" s="422"/>
      <c r="XE138" s="422"/>
      <c r="XF138" s="422"/>
      <c r="XG138" s="422"/>
      <c r="XH138" s="422"/>
      <c r="XI138" s="422"/>
      <c r="XJ138" s="422"/>
      <c r="XK138" s="422"/>
      <c r="XL138" s="422"/>
      <c r="XM138" s="422"/>
      <c r="XN138" s="422"/>
      <c r="XO138" s="422"/>
      <c r="XP138" s="422"/>
      <c r="XQ138" s="422"/>
      <c r="XR138" s="422"/>
      <c r="XS138" s="422"/>
      <c r="XT138" s="422"/>
      <c r="XU138" s="422"/>
      <c r="XV138" s="422"/>
      <c r="XW138" s="422"/>
      <c r="XX138" s="422"/>
      <c r="XY138" s="422"/>
      <c r="XZ138" s="422"/>
      <c r="YA138" s="422"/>
      <c r="YB138" s="422"/>
      <c r="YC138" s="422"/>
      <c r="YD138" s="422"/>
      <c r="YE138" s="422"/>
      <c r="YF138" s="422"/>
      <c r="YG138" s="422"/>
      <c r="YH138" s="422"/>
      <c r="YI138" s="422"/>
      <c r="YJ138" s="422"/>
      <c r="YK138" s="422"/>
      <c r="YL138" s="422"/>
      <c r="YM138" s="422"/>
      <c r="YN138" s="422"/>
      <c r="YO138" s="422"/>
      <c r="YP138" s="422"/>
      <c r="YQ138" s="422"/>
      <c r="YR138" s="422"/>
      <c r="YS138" s="422"/>
      <c r="YT138" s="422"/>
      <c r="YU138" s="422"/>
      <c r="YV138" s="422"/>
      <c r="YW138" s="422"/>
      <c r="YX138" s="422"/>
      <c r="YY138" s="422"/>
      <c r="YZ138" s="422"/>
      <c r="ZA138" s="422"/>
      <c r="ZB138" s="422"/>
      <c r="ZC138" s="422"/>
      <c r="ZD138" s="422"/>
      <c r="ZE138" s="422"/>
      <c r="ZF138" s="422"/>
      <c r="ZG138" s="422"/>
      <c r="ZH138" s="422"/>
      <c r="ZI138" s="422"/>
      <c r="ZJ138" s="422"/>
      <c r="ZK138" s="422"/>
      <c r="ZL138" s="422"/>
      <c r="ZM138" s="422"/>
      <c r="ZN138" s="422"/>
      <c r="ZO138" s="422"/>
      <c r="ZP138" s="422"/>
      <c r="ZQ138" s="422"/>
      <c r="ZR138" s="422"/>
      <c r="ZS138" s="422"/>
      <c r="ZT138" s="422"/>
      <c r="ZU138" s="422"/>
      <c r="ZV138" s="422"/>
      <c r="ZW138" s="422"/>
      <c r="ZX138" s="422"/>
      <c r="ZY138" s="422"/>
      <c r="ZZ138" s="422"/>
      <c r="AAA138" s="422"/>
      <c r="AAB138" s="422"/>
      <c r="AAC138" s="422"/>
      <c r="AAD138" s="422"/>
      <c r="AAE138" s="422"/>
      <c r="AAF138" s="422"/>
      <c r="AAG138" s="422"/>
      <c r="AAH138" s="422"/>
      <c r="AAI138" s="422"/>
      <c r="AAJ138" s="422"/>
      <c r="AAK138" s="422"/>
      <c r="AAL138" s="422"/>
      <c r="AAM138" s="422"/>
      <c r="AAN138" s="422"/>
      <c r="AAO138" s="422"/>
      <c r="AAP138" s="422"/>
      <c r="AAQ138" s="422"/>
      <c r="AAR138" s="422"/>
      <c r="AAS138" s="422"/>
      <c r="AAT138" s="422"/>
      <c r="AAU138" s="422"/>
      <c r="AAV138" s="422"/>
      <c r="AAW138" s="422"/>
      <c r="AAX138" s="422"/>
      <c r="AAY138" s="422"/>
      <c r="AAZ138" s="422"/>
      <c r="ABA138" s="422"/>
      <c r="ABB138" s="422"/>
      <c r="ABC138" s="422"/>
      <c r="ABD138" s="422"/>
      <c r="ABE138" s="422"/>
      <c r="ABF138" s="422"/>
      <c r="ABG138" s="422"/>
      <c r="ABH138" s="422"/>
      <c r="ABI138" s="422"/>
      <c r="ABJ138" s="422"/>
      <c r="ABK138" s="422"/>
      <c r="ABL138" s="422"/>
      <c r="ABM138" s="422"/>
      <c r="ABN138" s="422"/>
      <c r="ABO138" s="422"/>
      <c r="ABP138" s="422"/>
      <c r="ABQ138" s="422"/>
      <c r="ABR138" s="422"/>
      <c r="ABS138" s="422"/>
      <c r="ABT138" s="422"/>
      <c r="ABU138" s="422"/>
      <c r="ABV138" s="422"/>
      <c r="ABW138" s="422"/>
      <c r="ABX138" s="422"/>
      <c r="ABY138" s="422"/>
      <c r="ABZ138" s="422"/>
      <c r="ACA138" s="422"/>
      <c r="ACB138" s="422"/>
      <c r="ACC138" s="422"/>
      <c r="ACD138" s="422"/>
      <c r="ACE138" s="422"/>
      <c r="ACF138" s="422"/>
      <c r="ACG138" s="422"/>
      <c r="ACH138" s="422"/>
      <c r="ACI138" s="422"/>
      <c r="ACJ138" s="422"/>
      <c r="ACK138" s="422"/>
      <c r="ACL138" s="422"/>
      <c r="ACM138" s="422"/>
      <c r="ACN138" s="422"/>
      <c r="ACO138" s="422"/>
      <c r="ACP138" s="422"/>
      <c r="ACQ138" s="422"/>
      <c r="ACR138" s="422"/>
      <c r="ACS138" s="422"/>
      <c r="ACT138" s="422"/>
      <c r="ACU138" s="422"/>
      <c r="ACV138" s="422"/>
      <c r="ACW138" s="422"/>
      <c r="ACX138" s="422"/>
      <c r="ACY138" s="422"/>
      <c r="ACZ138" s="422"/>
      <c r="ADA138" s="422"/>
      <c r="ADB138" s="422"/>
      <c r="ADC138" s="422"/>
      <c r="ADD138" s="422"/>
      <c r="ADE138" s="422"/>
      <c r="ADF138" s="422"/>
      <c r="ADG138" s="422"/>
      <c r="ADH138" s="422"/>
      <c r="ADI138" s="422"/>
      <c r="ADJ138" s="422"/>
      <c r="ADK138" s="422"/>
      <c r="ADL138" s="422"/>
      <c r="ADM138" s="422"/>
      <c r="ADN138" s="422"/>
      <c r="ADO138" s="422"/>
      <c r="ADP138" s="422"/>
      <c r="ADQ138" s="422"/>
      <c r="ADR138" s="422"/>
      <c r="ADS138" s="422"/>
      <c r="ADT138" s="422"/>
      <c r="ADU138" s="422"/>
      <c r="ADV138" s="422"/>
      <c r="ADW138" s="422"/>
      <c r="ADX138" s="422"/>
      <c r="ADY138" s="422"/>
      <c r="ADZ138" s="422"/>
      <c r="AEA138" s="422"/>
      <c r="AEB138" s="422"/>
      <c r="AEC138" s="422"/>
      <c r="AED138" s="422"/>
      <c r="AEE138" s="422"/>
      <c r="AEF138" s="422"/>
      <c r="AEG138" s="422"/>
      <c r="AEH138" s="422"/>
      <c r="AEI138" s="422"/>
      <c r="AEJ138" s="422"/>
      <c r="AEK138" s="422"/>
      <c r="AEL138" s="422"/>
      <c r="AEM138" s="422"/>
      <c r="AEN138" s="422"/>
      <c r="AEO138" s="422"/>
      <c r="AEP138" s="422"/>
      <c r="AEQ138" s="422"/>
      <c r="AER138" s="422"/>
      <c r="AES138" s="422"/>
      <c r="AET138" s="422"/>
      <c r="AEU138" s="422"/>
      <c r="AEV138" s="422"/>
      <c r="AEW138" s="422"/>
      <c r="AEX138" s="422"/>
      <c r="AEY138" s="422"/>
      <c r="AEZ138" s="422"/>
      <c r="AFA138" s="422"/>
      <c r="AFB138" s="422"/>
      <c r="AFC138" s="422"/>
      <c r="AFD138" s="422"/>
      <c r="AFE138" s="422"/>
      <c r="AFF138" s="422"/>
      <c r="AFG138" s="422"/>
      <c r="AFH138" s="422"/>
      <c r="AFI138" s="422"/>
      <c r="AFJ138" s="422"/>
      <c r="AFK138" s="422"/>
      <c r="AFL138" s="422"/>
      <c r="AFM138" s="422"/>
      <c r="AFN138" s="422"/>
      <c r="AFO138" s="422"/>
      <c r="AFP138" s="422"/>
      <c r="AFQ138" s="422"/>
      <c r="AFR138" s="422"/>
      <c r="AFS138" s="422"/>
      <c r="AFT138" s="422"/>
      <c r="AFU138" s="422"/>
      <c r="AFV138" s="422"/>
      <c r="AFW138" s="422"/>
      <c r="AFX138" s="422"/>
      <c r="AFY138" s="422"/>
      <c r="AFZ138" s="422"/>
      <c r="AGA138" s="422"/>
      <c r="AGB138" s="422"/>
      <c r="AGC138" s="422"/>
      <c r="AGD138" s="422"/>
      <c r="AGE138" s="422"/>
      <c r="AGF138" s="422"/>
      <c r="AGG138" s="422"/>
      <c r="AGH138" s="422"/>
      <c r="AGI138" s="422"/>
      <c r="AGJ138" s="422"/>
      <c r="AGK138" s="422"/>
      <c r="AGL138" s="422"/>
      <c r="AGM138" s="422"/>
      <c r="AGN138" s="422"/>
      <c r="AGO138" s="422"/>
      <c r="AGP138" s="422"/>
      <c r="AGQ138" s="422"/>
      <c r="AGR138" s="422"/>
      <c r="AGS138" s="422"/>
      <c r="AGT138" s="422"/>
      <c r="AGU138" s="422"/>
      <c r="AGV138" s="422"/>
      <c r="AGW138" s="422"/>
      <c r="AGX138" s="422"/>
      <c r="AGY138" s="422"/>
      <c r="AGZ138" s="422"/>
      <c r="AHA138" s="422"/>
      <c r="AHB138" s="422"/>
      <c r="AHC138" s="422"/>
      <c r="AHD138" s="422"/>
      <c r="AHE138" s="422"/>
      <c r="AHF138" s="422"/>
      <c r="AHG138" s="422"/>
      <c r="AHH138" s="422"/>
      <c r="AHI138" s="422"/>
      <c r="AHJ138" s="422"/>
      <c r="AHK138" s="422"/>
      <c r="AHL138" s="422"/>
      <c r="AHM138" s="422"/>
      <c r="AHN138" s="422"/>
      <c r="AHO138" s="422"/>
      <c r="AHP138" s="422"/>
      <c r="AHQ138" s="422"/>
      <c r="AHR138" s="422"/>
      <c r="AHS138" s="422"/>
      <c r="AHT138" s="422"/>
      <c r="AHU138" s="422"/>
      <c r="AHV138" s="422"/>
      <c r="AHW138" s="422"/>
      <c r="AHX138" s="422"/>
      <c r="AHY138" s="422"/>
      <c r="AHZ138" s="422"/>
      <c r="AIA138" s="422"/>
      <c r="AIB138" s="422"/>
      <c r="AIC138" s="422"/>
      <c r="AID138" s="422"/>
      <c r="AIE138" s="422"/>
      <c r="AIF138" s="422"/>
      <c r="AIG138" s="422"/>
      <c r="AIH138" s="422"/>
      <c r="AII138" s="422"/>
      <c r="AIJ138" s="422"/>
      <c r="AIK138" s="422"/>
      <c r="AIL138" s="422"/>
      <c r="AIM138" s="422"/>
      <c r="AIN138" s="422"/>
      <c r="AIO138" s="422"/>
      <c r="AIP138" s="422"/>
      <c r="AIQ138" s="422"/>
      <c r="AIR138" s="422"/>
      <c r="AIS138" s="422"/>
      <c r="AIT138" s="422"/>
      <c r="AIU138" s="422"/>
      <c r="AIV138" s="422"/>
      <c r="AIW138" s="422"/>
      <c r="AIX138" s="422"/>
      <c r="AIY138" s="422"/>
      <c r="AIZ138" s="422"/>
      <c r="AJA138" s="422"/>
      <c r="AJB138" s="422"/>
      <c r="AJC138" s="422"/>
      <c r="AJD138" s="422"/>
      <c r="AJE138" s="422"/>
      <c r="AJF138" s="422"/>
      <c r="AJG138" s="422"/>
      <c r="AJH138" s="422"/>
      <c r="AJI138" s="422"/>
      <c r="AJJ138" s="422"/>
      <c r="AJK138" s="422"/>
      <c r="AJL138" s="422"/>
      <c r="AJM138" s="422"/>
      <c r="AJN138" s="422"/>
      <c r="AJO138" s="422"/>
      <c r="AJP138" s="422"/>
      <c r="AJQ138" s="422"/>
      <c r="AJR138" s="422"/>
      <c r="AJS138" s="422"/>
      <c r="AJT138" s="422"/>
      <c r="AJU138" s="422"/>
      <c r="AJV138" s="422"/>
      <c r="AJW138" s="422"/>
      <c r="AJX138" s="422"/>
      <c r="AJY138" s="422"/>
      <c r="AJZ138" s="422"/>
      <c r="AKA138" s="422"/>
      <c r="AKB138" s="422"/>
      <c r="AKC138" s="422"/>
      <c r="AKD138" s="422"/>
      <c r="AKE138" s="422"/>
      <c r="AKF138" s="422"/>
      <c r="AKG138" s="422"/>
      <c r="AKH138" s="422"/>
      <c r="AKI138" s="422"/>
      <c r="AKJ138" s="422"/>
      <c r="AKK138" s="422"/>
      <c r="AKL138" s="422"/>
      <c r="AKM138" s="422"/>
      <c r="AKN138" s="422"/>
      <c r="AKO138" s="422"/>
      <c r="AKP138" s="422"/>
      <c r="AKQ138" s="422"/>
      <c r="AKR138" s="422"/>
      <c r="AKS138" s="422"/>
      <c r="AKT138" s="422"/>
      <c r="AKU138" s="422"/>
      <c r="AKV138" s="422"/>
      <c r="AKW138" s="422"/>
      <c r="AKX138" s="422"/>
      <c r="AKY138" s="422"/>
      <c r="AKZ138" s="422"/>
      <c r="ALA138" s="422"/>
      <c r="ALB138" s="422"/>
      <c r="ALC138" s="422"/>
      <c r="ALD138" s="422"/>
      <c r="ALE138" s="422"/>
      <c r="ALF138" s="422"/>
      <c r="ALG138" s="422"/>
      <c r="ALH138" s="422"/>
      <c r="ALI138" s="422"/>
      <c r="ALJ138" s="422"/>
      <c r="ALK138" s="422"/>
      <c r="ALL138" s="422"/>
      <c r="ALM138" s="422"/>
      <c r="ALN138" s="422"/>
      <c r="ALO138" s="422"/>
      <c r="ALP138" s="422"/>
      <c r="ALQ138" s="422"/>
      <c r="ALR138" s="422"/>
      <c r="ALS138" s="422"/>
      <c r="ALT138" s="422"/>
      <c r="ALU138" s="422"/>
      <c r="ALV138" s="422"/>
      <c r="ALW138" s="422"/>
      <c r="ALX138" s="422"/>
      <c r="ALY138" s="422"/>
      <c r="ALZ138" s="422"/>
      <c r="AMA138" s="422"/>
      <c r="AMB138" s="422"/>
      <c r="AMC138" s="422"/>
      <c r="AMD138" s="422"/>
      <c r="AME138" s="422"/>
      <c r="AMF138" s="422"/>
      <c r="AMG138" s="422"/>
      <c r="AMH138" s="422"/>
      <c r="AMI138" s="422"/>
      <c r="AMJ138" s="422"/>
      <c r="AMK138" s="422"/>
      <c r="AML138" s="422"/>
      <c r="AMM138" s="422"/>
      <c r="AMN138" s="422"/>
      <c r="AMO138" s="422"/>
      <c r="AMP138" s="422"/>
      <c r="AMQ138" s="422"/>
      <c r="AMR138" s="422"/>
      <c r="AMS138" s="422"/>
      <c r="AMT138" s="422"/>
      <c r="AMU138" s="422"/>
      <c r="AMV138" s="422"/>
      <c r="AMW138" s="422"/>
      <c r="AMX138" s="422"/>
      <c r="AMY138" s="422"/>
      <c r="AMZ138" s="422"/>
      <c r="ANA138" s="422"/>
      <c r="ANB138" s="422"/>
      <c r="ANC138" s="422"/>
      <c r="AND138" s="422"/>
      <c r="ANE138" s="422"/>
      <c r="ANF138" s="422"/>
      <c r="ANG138" s="422"/>
      <c r="ANH138" s="422"/>
      <c r="ANI138" s="422"/>
      <c r="ANJ138" s="422"/>
      <c r="ANK138" s="422"/>
      <c r="ANL138" s="422"/>
      <c r="ANM138" s="422"/>
      <c r="ANN138" s="422"/>
      <c r="ANO138" s="422"/>
      <c r="ANP138" s="422"/>
      <c r="ANQ138" s="422"/>
      <c r="ANR138" s="422"/>
      <c r="ANS138" s="422"/>
      <c r="ANT138" s="422"/>
      <c r="ANU138" s="422"/>
      <c r="ANV138" s="422"/>
      <c r="ANW138" s="422"/>
      <c r="ANX138" s="422"/>
      <c r="ANY138" s="422"/>
      <c r="ANZ138" s="422"/>
      <c r="AOA138" s="422"/>
      <c r="AOB138" s="422"/>
      <c r="AOC138" s="422"/>
      <c r="AOD138" s="422"/>
      <c r="AOE138" s="422"/>
      <c r="AOF138" s="422"/>
      <c r="AOG138" s="422"/>
      <c r="AOH138" s="422"/>
      <c r="AOI138" s="422"/>
      <c r="AOJ138" s="422"/>
      <c r="AOK138" s="422"/>
      <c r="AOL138" s="422"/>
      <c r="AOM138" s="422"/>
      <c r="AON138" s="422"/>
      <c r="AOO138" s="422"/>
      <c r="AOP138" s="422"/>
      <c r="AOQ138" s="422"/>
      <c r="AOR138" s="422"/>
      <c r="AOS138" s="422"/>
      <c r="AOT138" s="422"/>
      <c r="AOU138" s="422"/>
      <c r="AOV138" s="422"/>
      <c r="AOW138" s="422"/>
      <c r="AOX138" s="422"/>
      <c r="AOY138" s="422"/>
      <c r="AOZ138" s="422"/>
      <c r="APA138" s="422"/>
      <c r="APB138" s="422"/>
      <c r="APC138" s="422"/>
      <c r="APD138" s="422"/>
      <c r="APE138" s="422"/>
      <c r="APF138" s="422"/>
      <c r="APG138" s="422"/>
      <c r="APH138" s="422"/>
      <c r="API138" s="422"/>
      <c r="APJ138" s="422"/>
      <c r="APK138" s="422"/>
      <c r="APL138" s="422"/>
      <c r="APM138" s="422"/>
      <c r="APN138" s="422"/>
      <c r="APO138" s="422"/>
      <c r="APP138" s="422"/>
      <c r="APQ138" s="422"/>
      <c r="APR138" s="422"/>
      <c r="APS138" s="422"/>
      <c r="APT138" s="422"/>
      <c r="APU138" s="422"/>
      <c r="APV138" s="422"/>
      <c r="APW138" s="422"/>
      <c r="APX138" s="422"/>
      <c r="APY138" s="422"/>
      <c r="APZ138" s="422"/>
      <c r="AQA138" s="422"/>
      <c r="AQB138" s="422"/>
      <c r="AQC138" s="422"/>
      <c r="AQD138" s="422"/>
      <c r="AQE138" s="422"/>
      <c r="AQF138" s="422"/>
      <c r="AQG138" s="422"/>
      <c r="AQH138" s="422"/>
      <c r="AQI138" s="422"/>
      <c r="AQJ138" s="422"/>
      <c r="AQK138" s="422"/>
      <c r="AQL138" s="422"/>
      <c r="AQM138" s="422"/>
      <c r="AQN138" s="422"/>
      <c r="AQO138" s="422"/>
      <c r="AQP138" s="422"/>
      <c r="AQQ138" s="422"/>
      <c r="AQR138" s="422"/>
      <c r="AQS138" s="422"/>
      <c r="AQT138" s="422"/>
      <c r="AQU138" s="422"/>
      <c r="AQV138" s="422"/>
      <c r="AQW138" s="422"/>
      <c r="AQX138" s="422"/>
      <c r="AQY138" s="422"/>
      <c r="AQZ138" s="422"/>
      <c r="ARA138" s="422"/>
      <c r="ARB138" s="422"/>
      <c r="ARC138" s="422"/>
      <c r="ARD138" s="422"/>
      <c r="ARE138" s="422"/>
      <c r="ARF138" s="422"/>
      <c r="ARG138" s="422"/>
      <c r="ARH138" s="422"/>
      <c r="ARI138" s="422"/>
      <c r="ARJ138" s="422"/>
      <c r="ARK138" s="422"/>
      <c r="ARL138" s="422"/>
      <c r="ARM138" s="422"/>
      <c r="ARN138" s="422"/>
      <c r="ARO138" s="422"/>
      <c r="ARP138" s="422"/>
      <c r="ARQ138" s="422"/>
      <c r="ARR138" s="422"/>
      <c r="ARS138" s="422"/>
      <c r="ART138" s="422"/>
      <c r="ARU138" s="422"/>
      <c r="ARV138" s="422"/>
      <c r="ARW138" s="422"/>
      <c r="ARX138" s="422"/>
      <c r="ARY138" s="422"/>
      <c r="ARZ138" s="422"/>
      <c r="ASA138" s="422"/>
      <c r="ASB138" s="422"/>
      <c r="ASC138" s="422"/>
      <c r="ASD138" s="422"/>
      <c r="ASE138" s="422"/>
      <c r="ASF138" s="422"/>
      <c r="ASG138" s="422"/>
      <c r="ASH138" s="422"/>
      <c r="ASI138" s="422"/>
      <c r="ASJ138" s="422"/>
      <c r="ASK138" s="422"/>
      <c r="ASL138" s="422"/>
      <c r="ASM138" s="422"/>
      <c r="ASN138" s="422"/>
      <c r="ASO138" s="422"/>
      <c r="ASP138" s="422"/>
      <c r="ASQ138" s="422"/>
      <c r="ASR138" s="422"/>
      <c r="ASS138" s="422"/>
      <c r="AST138" s="422"/>
      <c r="ASU138" s="422"/>
      <c r="ASV138" s="422"/>
      <c r="ASW138" s="422"/>
      <c r="ASX138" s="422"/>
      <c r="ASY138" s="422"/>
      <c r="ASZ138" s="422"/>
      <c r="ATA138" s="422"/>
      <c r="ATB138" s="422"/>
      <c r="ATC138" s="422"/>
      <c r="ATD138" s="422"/>
      <c r="ATE138" s="422"/>
      <c r="ATF138" s="422"/>
      <c r="ATG138" s="422"/>
      <c r="ATH138" s="422"/>
      <c r="ATI138" s="422"/>
      <c r="ATJ138" s="422"/>
      <c r="ATK138" s="422"/>
      <c r="ATL138" s="422"/>
      <c r="ATM138" s="422"/>
      <c r="ATN138" s="422"/>
      <c r="ATO138" s="422"/>
      <c r="ATP138" s="422"/>
      <c r="ATQ138" s="422"/>
      <c r="ATR138" s="422"/>
      <c r="ATS138" s="422"/>
      <c r="ATT138" s="422"/>
      <c r="ATU138" s="422"/>
      <c r="ATV138" s="422"/>
      <c r="ATW138" s="422"/>
      <c r="ATX138" s="422"/>
      <c r="ATY138" s="422"/>
      <c r="ATZ138" s="422"/>
      <c r="AUA138" s="422"/>
      <c r="AUB138" s="422"/>
      <c r="AUC138" s="422"/>
      <c r="AUD138" s="422"/>
      <c r="AUE138" s="422"/>
      <c r="AUF138" s="422"/>
      <c r="AUG138" s="422"/>
      <c r="AUH138" s="422"/>
      <c r="AUI138" s="422"/>
      <c r="AUJ138" s="422"/>
      <c r="AUK138" s="422"/>
      <c r="AUL138" s="422"/>
      <c r="AUM138" s="422"/>
      <c r="AUN138" s="422"/>
      <c r="AUO138" s="422"/>
      <c r="AUP138" s="422"/>
      <c r="AUQ138" s="422"/>
      <c r="AUR138" s="422"/>
      <c r="AUS138" s="422"/>
      <c r="AUT138" s="422"/>
      <c r="AUU138" s="422"/>
      <c r="AUV138" s="422"/>
      <c r="AUW138" s="422"/>
      <c r="AUX138" s="422"/>
      <c r="AUY138" s="422"/>
      <c r="AUZ138" s="422"/>
      <c r="AVA138" s="422"/>
      <c r="AVB138" s="422"/>
      <c r="AVC138" s="422"/>
      <c r="AVD138" s="422"/>
      <c r="AVE138" s="422"/>
      <c r="AVF138" s="422"/>
      <c r="AVG138" s="422"/>
      <c r="AVH138" s="422"/>
      <c r="AVI138" s="422"/>
      <c r="AVJ138" s="422"/>
      <c r="AVK138" s="422"/>
      <c r="AVL138" s="422"/>
      <c r="AVM138" s="422"/>
      <c r="AVN138" s="422"/>
      <c r="AVO138" s="422"/>
      <c r="AVP138" s="422"/>
      <c r="AVQ138" s="422"/>
      <c r="AVR138" s="422"/>
      <c r="AVS138" s="422"/>
      <c r="AVT138" s="422"/>
      <c r="AVU138" s="422"/>
      <c r="AVV138" s="422"/>
      <c r="AVW138" s="422"/>
      <c r="AVX138" s="422"/>
      <c r="AVY138" s="422"/>
      <c r="AVZ138" s="422"/>
      <c r="AWA138" s="422"/>
      <c r="AWB138" s="422"/>
      <c r="AWC138" s="422"/>
      <c r="AWD138" s="422"/>
      <c r="AWE138" s="422"/>
      <c r="AWF138" s="422"/>
      <c r="AWG138" s="422"/>
      <c r="AWH138" s="422"/>
      <c r="AWI138" s="422"/>
      <c r="AWJ138" s="422"/>
      <c r="AWK138" s="422"/>
      <c r="AWL138" s="422"/>
      <c r="AWM138" s="422"/>
      <c r="AWN138" s="422"/>
      <c r="AWO138" s="422"/>
      <c r="AWP138" s="422"/>
      <c r="AWQ138" s="422"/>
      <c r="AWR138" s="422"/>
      <c r="AWS138" s="422"/>
      <c r="AWT138" s="422"/>
      <c r="AWU138" s="422"/>
      <c r="AWV138" s="422"/>
      <c r="AWW138" s="422"/>
      <c r="AWX138" s="422"/>
      <c r="AWY138" s="422"/>
      <c r="AWZ138" s="422"/>
      <c r="AXA138" s="422"/>
      <c r="AXB138" s="422"/>
      <c r="AXC138" s="422"/>
      <c r="AXD138" s="422"/>
      <c r="AXE138" s="422"/>
      <c r="AXF138" s="422"/>
      <c r="AXG138" s="422"/>
      <c r="AXH138" s="422"/>
      <c r="AXI138" s="422"/>
      <c r="AXJ138" s="422"/>
      <c r="AXK138" s="422"/>
      <c r="AXL138" s="422"/>
      <c r="AXM138" s="422"/>
      <c r="AXN138" s="422"/>
      <c r="AXO138" s="422"/>
      <c r="AXP138" s="422"/>
      <c r="AXQ138" s="422"/>
      <c r="AXR138" s="422"/>
      <c r="AXS138" s="422"/>
      <c r="AXT138" s="422"/>
      <c r="AXU138" s="422"/>
      <c r="AXV138" s="422"/>
      <c r="AXW138" s="422"/>
      <c r="AXX138" s="422"/>
      <c r="AXY138" s="422"/>
      <c r="AXZ138" s="422"/>
      <c r="AYA138" s="422"/>
      <c r="AYB138" s="422"/>
      <c r="AYC138" s="422"/>
      <c r="AYD138" s="422"/>
      <c r="AYE138" s="422"/>
      <c r="AYF138" s="422"/>
      <c r="AYG138" s="422"/>
      <c r="AYH138" s="422"/>
      <c r="AYI138" s="422"/>
      <c r="AYJ138" s="422"/>
      <c r="AYK138" s="422"/>
      <c r="AYL138" s="422"/>
      <c r="AYM138" s="422"/>
      <c r="AYN138" s="422"/>
      <c r="AYO138" s="422"/>
      <c r="AYP138" s="422"/>
      <c r="AYQ138" s="422"/>
      <c r="AYR138" s="422"/>
      <c r="AYS138" s="422"/>
      <c r="AYT138" s="422"/>
      <c r="AYU138" s="422"/>
      <c r="AYV138" s="422"/>
      <c r="AYW138" s="422"/>
      <c r="AYX138" s="422"/>
      <c r="AYY138" s="422"/>
      <c r="AYZ138" s="422"/>
      <c r="AZA138" s="422"/>
      <c r="AZB138" s="422"/>
      <c r="AZC138" s="422"/>
      <c r="AZD138" s="422"/>
      <c r="AZE138" s="422"/>
      <c r="AZF138" s="422"/>
      <c r="AZG138" s="422"/>
      <c r="AZH138" s="422"/>
      <c r="AZI138" s="422"/>
      <c r="AZJ138" s="422"/>
      <c r="AZK138" s="422"/>
      <c r="AZL138" s="422"/>
      <c r="AZM138" s="422"/>
      <c r="AZN138" s="422"/>
      <c r="AZO138" s="422"/>
      <c r="AZP138" s="422"/>
      <c r="AZQ138" s="422"/>
      <c r="AZR138" s="422"/>
      <c r="AZS138" s="422"/>
      <c r="AZT138" s="422"/>
      <c r="AZU138" s="422"/>
      <c r="AZV138" s="422"/>
      <c r="AZW138" s="422"/>
      <c r="AZX138" s="422"/>
      <c r="AZY138" s="422"/>
      <c r="AZZ138" s="422"/>
      <c r="BAA138" s="422"/>
      <c r="BAB138" s="422"/>
      <c r="BAC138" s="422"/>
      <c r="BAD138" s="422"/>
      <c r="BAE138" s="422"/>
      <c r="BAF138" s="422"/>
      <c r="BAG138" s="422"/>
      <c r="BAH138" s="422"/>
      <c r="BAI138" s="422"/>
      <c r="BAJ138" s="422"/>
      <c r="BAK138" s="422"/>
      <c r="BAL138" s="422"/>
      <c r="BAM138" s="422"/>
      <c r="BAN138" s="422"/>
      <c r="BAO138" s="422"/>
      <c r="BAP138" s="422"/>
      <c r="BAQ138" s="422"/>
      <c r="BAR138" s="422"/>
      <c r="BAS138" s="422"/>
      <c r="BAT138" s="422"/>
      <c r="BAU138" s="422"/>
      <c r="BAV138" s="422"/>
      <c r="BAW138" s="422"/>
      <c r="BAX138" s="422"/>
      <c r="BAY138" s="422"/>
      <c r="BAZ138" s="422"/>
      <c r="BBA138" s="422"/>
      <c r="BBB138" s="422"/>
      <c r="BBC138" s="422"/>
      <c r="BBD138" s="422"/>
      <c r="BBE138" s="422"/>
      <c r="BBF138" s="422"/>
      <c r="BBG138" s="422"/>
      <c r="BBH138" s="422"/>
      <c r="BBI138" s="422"/>
      <c r="BBJ138" s="422"/>
      <c r="BBK138" s="422"/>
      <c r="BBL138" s="422"/>
      <c r="BBM138" s="422"/>
      <c r="BBN138" s="422"/>
      <c r="BBO138" s="422"/>
      <c r="BBP138" s="422"/>
      <c r="BBQ138" s="422"/>
      <c r="BBR138" s="422"/>
      <c r="BBS138" s="422"/>
      <c r="BBT138" s="422"/>
      <c r="BBU138" s="422"/>
      <c r="BBV138" s="422"/>
      <c r="BBW138" s="422"/>
      <c r="BBX138" s="422"/>
      <c r="BBY138" s="422"/>
      <c r="BBZ138" s="422"/>
      <c r="BCA138" s="422"/>
      <c r="BCB138" s="422"/>
      <c r="BCC138" s="422"/>
      <c r="BCD138" s="422"/>
      <c r="BCE138" s="422"/>
      <c r="BCF138" s="422"/>
      <c r="BCG138" s="422"/>
      <c r="BCH138" s="422"/>
      <c r="BCI138" s="422"/>
      <c r="BCJ138" s="422"/>
      <c r="BCK138" s="422"/>
      <c r="BCL138" s="422"/>
      <c r="BCM138" s="422"/>
      <c r="BCN138" s="422"/>
      <c r="BCO138" s="422"/>
      <c r="BCP138" s="422"/>
      <c r="BCQ138" s="422"/>
      <c r="BCR138" s="422"/>
      <c r="BCS138" s="422"/>
      <c r="BCT138" s="422"/>
      <c r="BCU138" s="422"/>
      <c r="BCV138" s="422"/>
      <c r="BCW138" s="422"/>
      <c r="BCX138" s="422"/>
      <c r="BCY138" s="422"/>
      <c r="BCZ138" s="422"/>
      <c r="BDA138" s="422"/>
      <c r="BDB138" s="422"/>
      <c r="BDC138" s="422"/>
      <c r="BDD138" s="422"/>
      <c r="BDE138" s="422"/>
      <c r="BDF138" s="422"/>
      <c r="BDG138" s="422"/>
      <c r="BDH138" s="422"/>
      <c r="BDI138" s="422"/>
      <c r="BDJ138" s="422"/>
      <c r="BDK138" s="422"/>
      <c r="BDL138" s="422"/>
      <c r="BDM138" s="422"/>
      <c r="BDN138" s="422"/>
      <c r="BDO138" s="422"/>
      <c r="BDP138" s="422"/>
      <c r="BDQ138" s="422"/>
      <c r="BDR138" s="422"/>
      <c r="BDS138" s="422"/>
      <c r="BDT138" s="422"/>
      <c r="BDU138" s="422"/>
      <c r="BDV138" s="422"/>
      <c r="BDW138" s="422"/>
      <c r="BDX138" s="422"/>
      <c r="BDY138" s="422"/>
      <c r="BDZ138" s="422"/>
      <c r="BEA138" s="422"/>
      <c r="BEB138" s="422"/>
      <c r="BEC138" s="422"/>
      <c r="BED138" s="422"/>
      <c r="BEE138" s="422"/>
      <c r="BEF138" s="422"/>
      <c r="BEG138" s="422"/>
      <c r="BEH138" s="422"/>
      <c r="BEI138" s="422"/>
      <c r="BEJ138" s="422"/>
      <c r="BEK138" s="422"/>
      <c r="BEL138" s="422"/>
      <c r="BEM138" s="422"/>
      <c r="BEN138" s="422"/>
      <c r="BEO138" s="422"/>
      <c r="BEP138" s="422"/>
      <c r="BEQ138" s="422"/>
      <c r="BER138" s="422"/>
      <c r="BES138" s="422"/>
      <c r="BET138" s="422"/>
      <c r="BEU138" s="422"/>
      <c r="BEV138" s="422"/>
      <c r="BEW138" s="422"/>
      <c r="BEX138" s="422"/>
      <c r="BEY138" s="422"/>
      <c r="BEZ138" s="422"/>
      <c r="BFA138" s="422"/>
      <c r="BFB138" s="422"/>
      <c r="BFC138" s="422"/>
      <c r="BFD138" s="422"/>
      <c r="BFE138" s="422"/>
      <c r="BFF138" s="422"/>
      <c r="BFG138" s="422"/>
      <c r="BFH138" s="422"/>
      <c r="BFI138" s="422"/>
      <c r="BFJ138" s="422"/>
      <c r="BFK138" s="422"/>
      <c r="BFL138" s="422"/>
      <c r="BFM138" s="422"/>
      <c r="BFN138" s="422"/>
      <c r="BFO138" s="422"/>
      <c r="BFP138" s="422"/>
      <c r="BFQ138" s="422"/>
      <c r="BFR138" s="422"/>
      <c r="BFS138" s="422"/>
      <c r="BFT138" s="422"/>
      <c r="BFU138" s="422"/>
      <c r="BFV138" s="422"/>
      <c r="BFW138" s="422"/>
      <c r="BFX138" s="422"/>
      <c r="BFY138" s="422"/>
      <c r="BFZ138" s="422"/>
      <c r="BGA138" s="422"/>
      <c r="BGB138" s="422"/>
      <c r="BGC138" s="422"/>
      <c r="BGD138" s="422"/>
      <c r="BGE138" s="422"/>
      <c r="BGF138" s="422"/>
      <c r="BGG138" s="422"/>
      <c r="BGH138" s="422"/>
      <c r="BGI138" s="422"/>
      <c r="BGJ138" s="422"/>
      <c r="BGK138" s="422"/>
      <c r="BGL138" s="422"/>
      <c r="BGM138" s="422"/>
      <c r="BGN138" s="422"/>
      <c r="BGO138" s="422"/>
      <c r="BGP138" s="422"/>
      <c r="BGQ138" s="422"/>
      <c r="BGR138" s="422"/>
      <c r="BGS138" s="422"/>
      <c r="BGT138" s="422"/>
      <c r="BGU138" s="422"/>
      <c r="BGV138" s="422"/>
      <c r="BGW138" s="422"/>
      <c r="BGX138" s="422"/>
      <c r="BGY138" s="422"/>
      <c r="BGZ138" s="422"/>
      <c r="BHA138" s="422"/>
      <c r="BHB138" s="422"/>
      <c r="BHC138" s="422"/>
      <c r="BHD138" s="422"/>
      <c r="BHE138" s="422"/>
      <c r="BHF138" s="422"/>
      <c r="BHG138" s="422"/>
      <c r="BHH138" s="422"/>
      <c r="BHI138" s="422"/>
      <c r="BHJ138" s="422"/>
      <c r="BHK138" s="422"/>
      <c r="BHL138" s="422"/>
      <c r="BHM138" s="422"/>
      <c r="BHN138" s="422"/>
      <c r="BHO138" s="422"/>
      <c r="BHP138" s="422"/>
      <c r="BHQ138" s="422"/>
      <c r="BHR138" s="422"/>
      <c r="BHS138" s="422"/>
      <c r="BHT138" s="422"/>
      <c r="BHU138" s="422"/>
      <c r="BHV138" s="422"/>
      <c r="BHW138" s="422"/>
      <c r="BHX138" s="422"/>
      <c r="BHY138" s="422"/>
      <c r="BHZ138" s="422"/>
      <c r="BIA138" s="422"/>
      <c r="BIB138" s="422"/>
      <c r="BIC138" s="422"/>
      <c r="BID138" s="422"/>
      <c r="BIE138" s="422"/>
      <c r="BIF138" s="422"/>
      <c r="BIG138" s="422"/>
      <c r="BIH138" s="422"/>
      <c r="BII138" s="422"/>
      <c r="BIJ138" s="422"/>
      <c r="BIK138" s="422"/>
      <c r="BIL138" s="422"/>
      <c r="BIM138" s="422"/>
      <c r="BIN138" s="422"/>
      <c r="BIO138" s="422"/>
      <c r="BIP138" s="422"/>
      <c r="BIQ138" s="422"/>
      <c r="BIR138" s="422"/>
      <c r="BIS138" s="422"/>
      <c r="BIT138" s="422"/>
      <c r="BIU138" s="422"/>
      <c r="BIV138" s="422"/>
      <c r="BIW138" s="422"/>
      <c r="BIX138" s="422"/>
      <c r="BIY138" s="422"/>
      <c r="BIZ138" s="422"/>
      <c r="BJA138" s="422"/>
      <c r="BJB138" s="422"/>
      <c r="BJC138" s="422"/>
      <c r="BJD138" s="422"/>
      <c r="BJE138" s="422"/>
      <c r="BJF138" s="422"/>
      <c r="BJG138" s="422"/>
      <c r="BJH138" s="422"/>
      <c r="BJI138" s="422"/>
      <c r="BJJ138" s="422"/>
      <c r="BJK138" s="422"/>
      <c r="BJL138" s="422"/>
      <c r="BJM138" s="422"/>
      <c r="BJN138" s="422"/>
      <c r="BJO138" s="422"/>
      <c r="BJP138" s="422"/>
      <c r="BJQ138" s="422"/>
      <c r="BJR138" s="422"/>
      <c r="BJS138" s="422"/>
      <c r="BJT138" s="422"/>
      <c r="BJU138" s="422"/>
      <c r="BJV138" s="422"/>
      <c r="BJW138" s="422"/>
      <c r="BJX138" s="422"/>
      <c r="BJY138" s="422"/>
      <c r="BJZ138" s="422"/>
      <c r="BKA138" s="422"/>
      <c r="BKB138" s="422"/>
      <c r="BKC138" s="422"/>
      <c r="BKD138" s="422"/>
      <c r="BKE138" s="422"/>
      <c r="BKF138" s="422"/>
      <c r="BKG138" s="422"/>
      <c r="BKH138" s="422"/>
      <c r="BKI138" s="422"/>
      <c r="BKJ138" s="422"/>
      <c r="BKK138" s="422"/>
      <c r="BKL138" s="422"/>
      <c r="BKM138" s="422"/>
      <c r="BKN138" s="422"/>
      <c r="BKO138" s="422"/>
      <c r="BKP138" s="422"/>
      <c r="BKQ138" s="422"/>
      <c r="BKR138" s="422"/>
      <c r="BKS138" s="422"/>
      <c r="BKT138" s="422"/>
      <c r="BKU138" s="422"/>
      <c r="BKV138" s="422"/>
      <c r="BKW138" s="422"/>
      <c r="BKX138" s="422"/>
      <c r="BKY138" s="422"/>
      <c r="BKZ138" s="422"/>
      <c r="BLA138" s="422"/>
      <c r="BLB138" s="422"/>
      <c r="BLC138" s="422"/>
      <c r="BLD138" s="422"/>
      <c r="BLE138" s="422"/>
      <c r="BLF138" s="422"/>
      <c r="BLG138" s="422"/>
      <c r="BLH138" s="422"/>
      <c r="BLI138" s="422"/>
      <c r="BLJ138" s="422"/>
      <c r="BLK138" s="422"/>
      <c r="BLL138" s="422"/>
      <c r="BLM138" s="422"/>
      <c r="BLN138" s="422"/>
      <c r="BLO138" s="422"/>
      <c r="BLP138" s="422"/>
      <c r="BLQ138" s="422"/>
      <c r="BLR138" s="422"/>
      <c r="BLS138" s="422"/>
      <c r="BLT138" s="422"/>
      <c r="BLU138" s="422"/>
      <c r="BLV138" s="422"/>
      <c r="BLW138" s="422"/>
      <c r="BLX138" s="422"/>
      <c r="BLY138" s="422"/>
      <c r="BLZ138" s="422"/>
      <c r="BMA138" s="422"/>
      <c r="BMB138" s="422"/>
      <c r="BMC138" s="422"/>
      <c r="BMD138" s="422"/>
      <c r="BME138" s="422"/>
      <c r="BMF138" s="422"/>
      <c r="BMG138" s="422"/>
      <c r="BMH138" s="422"/>
      <c r="BMI138" s="422"/>
      <c r="BMJ138" s="422"/>
      <c r="BMK138" s="422"/>
      <c r="BML138" s="422"/>
      <c r="BMM138" s="422"/>
      <c r="BMN138" s="422"/>
      <c r="BMO138" s="422"/>
      <c r="BMP138" s="422"/>
      <c r="BMQ138" s="422"/>
      <c r="BMR138" s="422"/>
      <c r="BMS138" s="422"/>
      <c r="BMT138" s="422"/>
      <c r="BMU138" s="422"/>
      <c r="BMV138" s="422"/>
      <c r="BMW138" s="422"/>
      <c r="BMX138" s="422"/>
      <c r="BMY138" s="422"/>
      <c r="BMZ138" s="422"/>
      <c r="BNA138" s="422"/>
      <c r="BNB138" s="422"/>
      <c r="BNC138" s="422"/>
      <c r="BND138" s="422"/>
      <c r="BNE138" s="422"/>
      <c r="BNF138" s="422"/>
      <c r="BNG138" s="422"/>
      <c r="BNH138" s="422"/>
      <c r="BNI138" s="422"/>
      <c r="BNJ138" s="422"/>
      <c r="BNK138" s="422"/>
      <c r="BNL138" s="422"/>
      <c r="BNM138" s="422"/>
      <c r="BNN138" s="422"/>
      <c r="BNO138" s="422"/>
      <c r="BNP138" s="422"/>
      <c r="BNQ138" s="422"/>
      <c r="BNR138" s="422"/>
      <c r="BNS138" s="422"/>
      <c r="BNT138" s="422"/>
      <c r="BNU138" s="422"/>
      <c r="BNV138" s="422"/>
      <c r="BNW138" s="422"/>
      <c r="BNX138" s="422"/>
      <c r="BNY138" s="422"/>
      <c r="BNZ138" s="422"/>
      <c r="BOA138" s="422"/>
      <c r="BOB138" s="422"/>
      <c r="BOC138" s="422"/>
      <c r="BOD138" s="422"/>
      <c r="BOE138" s="422"/>
      <c r="BOF138" s="422"/>
      <c r="BOG138" s="422"/>
      <c r="BOH138" s="422"/>
      <c r="BOI138" s="422"/>
      <c r="BOJ138" s="422"/>
      <c r="BOK138" s="422"/>
      <c r="BOL138" s="422"/>
      <c r="BOM138" s="422"/>
      <c r="BON138" s="422"/>
      <c r="BOO138" s="422"/>
      <c r="BOP138" s="422"/>
      <c r="BOQ138" s="422"/>
      <c r="BOR138" s="422"/>
      <c r="BOS138" s="422"/>
      <c r="BOT138" s="422"/>
      <c r="BOU138" s="422"/>
      <c r="BOV138" s="422"/>
      <c r="BOW138" s="422"/>
      <c r="BOX138" s="422"/>
      <c r="BOY138" s="422"/>
      <c r="BOZ138" s="422"/>
      <c r="BPA138" s="422"/>
      <c r="BPB138" s="422"/>
      <c r="BPC138" s="422"/>
      <c r="BPD138" s="422"/>
      <c r="BPE138" s="422"/>
      <c r="BPF138" s="422"/>
      <c r="BPG138" s="422"/>
      <c r="BPH138" s="422"/>
      <c r="BPI138" s="422"/>
      <c r="BPJ138" s="422"/>
      <c r="BPK138" s="422"/>
      <c r="BPL138" s="422"/>
      <c r="BPM138" s="422"/>
      <c r="BPN138" s="422"/>
      <c r="BPO138" s="422"/>
      <c r="BPP138" s="422"/>
      <c r="BPQ138" s="422"/>
      <c r="BPR138" s="422"/>
      <c r="BPS138" s="422"/>
      <c r="BPT138" s="422"/>
      <c r="BPU138" s="422"/>
      <c r="BPV138" s="422"/>
      <c r="BPW138" s="422"/>
      <c r="BPX138" s="422"/>
      <c r="BPY138" s="422"/>
      <c r="BPZ138" s="422"/>
      <c r="BQA138" s="422"/>
      <c r="BQB138" s="422"/>
      <c r="BQC138" s="422"/>
      <c r="BQD138" s="422"/>
      <c r="BQE138" s="422"/>
      <c r="BQF138" s="422"/>
      <c r="BQG138" s="422"/>
      <c r="BQH138" s="422"/>
      <c r="BQI138" s="422"/>
      <c r="BQJ138" s="422"/>
      <c r="BQK138" s="422"/>
      <c r="BQL138" s="422"/>
      <c r="BQM138" s="422"/>
      <c r="BQN138" s="422"/>
      <c r="BQO138" s="422"/>
      <c r="BQP138" s="422"/>
      <c r="BQQ138" s="422"/>
      <c r="BQR138" s="422"/>
      <c r="BQS138" s="422"/>
      <c r="BQT138" s="422"/>
      <c r="BQU138" s="422"/>
      <c r="BQV138" s="422"/>
      <c r="BQW138" s="422"/>
      <c r="BQX138" s="422"/>
      <c r="BQY138" s="422"/>
      <c r="BQZ138" s="422"/>
      <c r="BRA138" s="422"/>
      <c r="BRB138" s="422"/>
      <c r="BRC138" s="422"/>
      <c r="BRD138" s="422"/>
      <c r="BRE138" s="422"/>
      <c r="BRF138" s="422"/>
      <c r="BRG138" s="422"/>
      <c r="BRH138" s="422"/>
      <c r="BRI138" s="422"/>
      <c r="BRJ138" s="422"/>
      <c r="BRK138" s="422"/>
      <c r="BRL138" s="422"/>
      <c r="BRM138" s="422"/>
      <c r="BRN138" s="422"/>
      <c r="BRO138" s="422"/>
      <c r="BRP138" s="422"/>
      <c r="BRQ138" s="422"/>
      <c r="BRR138" s="422"/>
      <c r="BRS138" s="422"/>
      <c r="BRT138" s="422"/>
      <c r="BRU138" s="422"/>
      <c r="BRV138" s="422"/>
      <c r="BRW138" s="422"/>
      <c r="BRX138" s="422"/>
      <c r="BRY138" s="422"/>
      <c r="BRZ138" s="422"/>
      <c r="BSA138" s="422"/>
      <c r="BSB138" s="422"/>
      <c r="BSC138" s="422"/>
      <c r="BSD138" s="422"/>
      <c r="BSE138" s="422"/>
      <c r="BSF138" s="422"/>
      <c r="BSG138" s="422"/>
      <c r="BSH138" s="422"/>
      <c r="BSI138" s="422"/>
      <c r="BSJ138" s="422"/>
      <c r="BSK138" s="422"/>
      <c r="BSL138" s="422"/>
      <c r="BSM138" s="422"/>
      <c r="BSN138" s="422"/>
      <c r="BSO138" s="422"/>
      <c r="BSP138" s="422"/>
      <c r="BSQ138" s="422"/>
      <c r="BSR138" s="422"/>
      <c r="BSS138" s="422"/>
      <c r="BST138" s="422"/>
      <c r="BSU138" s="422"/>
      <c r="BSV138" s="422"/>
      <c r="BSW138" s="422"/>
      <c r="BSX138" s="422"/>
      <c r="BSY138" s="422"/>
      <c r="BSZ138" s="422"/>
      <c r="BTA138" s="422"/>
      <c r="BTB138" s="422"/>
      <c r="BTC138" s="422"/>
      <c r="BTD138" s="422"/>
      <c r="BTE138" s="422"/>
      <c r="BTF138" s="422"/>
      <c r="BTG138" s="422"/>
      <c r="BTH138" s="422"/>
      <c r="BTI138" s="422"/>
      <c r="BTJ138" s="422"/>
      <c r="BTK138" s="422"/>
      <c r="BTL138" s="422"/>
      <c r="BTM138" s="422"/>
      <c r="BTN138" s="422"/>
      <c r="BTO138" s="422"/>
      <c r="BTP138" s="422"/>
      <c r="BTQ138" s="422"/>
      <c r="BTR138" s="422"/>
      <c r="BTS138" s="422"/>
      <c r="BTT138" s="422"/>
      <c r="BTU138" s="422"/>
      <c r="BTV138" s="422"/>
      <c r="BTW138" s="422"/>
      <c r="BTX138" s="422"/>
      <c r="BTY138" s="422"/>
      <c r="BTZ138" s="422"/>
      <c r="BUA138" s="422"/>
      <c r="BUB138" s="422"/>
      <c r="BUC138" s="422"/>
      <c r="BUD138" s="422"/>
      <c r="BUE138" s="422"/>
      <c r="BUF138" s="422"/>
      <c r="BUG138" s="422"/>
      <c r="BUH138" s="422"/>
      <c r="BUI138" s="422"/>
      <c r="BUJ138" s="422"/>
      <c r="BUK138" s="422"/>
      <c r="BUL138" s="422"/>
      <c r="BUM138" s="422"/>
      <c r="BUN138" s="422"/>
      <c r="BUO138" s="422"/>
      <c r="BUP138" s="422"/>
      <c r="BUQ138" s="422"/>
      <c r="BUR138" s="422"/>
      <c r="BUS138" s="422"/>
      <c r="BUT138" s="422"/>
      <c r="BUU138" s="422"/>
      <c r="BUV138" s="422"/>
      <c r="BUW138" s="422"/>
      <c r="BUX138" s="422"/>
      <c r="BUY138" s="422"/>
      <c r="BUZ138" s="422"/>
      <c r="BVA138" s="422"/>
      <c r="BVB138" s="422"/>
      <c r="BVC138" s="422"/>
      <c r="BVD138" s="422"/>
      <c r="BVE138" s="422"/>
      <c r="BVF138" s="422"/>
      <c r="BVG138" s="422"/>
      <c r="BVH138" s="422"/>
      <c r="BVI138" s="422"/>
      <c r="BVJ138" s="422"/>
      <c r="BVK138" s="422"/>
      <c r="BVL138" s="422"/>
      <c r="BVM138" s="422"/>
      <c r="BVN138" s="422"/>
      <c r="BVO138" s="422"/>
      <c r="BVP138" s="422"/>
      <c r="BVQ138" s="422"/>
      <c r="BVR138" s="422"/>
      <c r="BVS138" s="422"/>
      <c r="BVT138" s="422"/>
      <c r="BVU138" s="422"/>
      <c r="BVV138" s="422"/>
      <c r="BVW138" s="422"/>
      <c r="BVX138" s="422"/>
      <c r="BVY138" s="422"/>
      <c r="BVZ138" s="422"/>
      <c r="BWA138" s="422"/>
      <c r="BWB138" s="422"/>
      <c r="BWC138" s="422"/>
      <c r="BWD138" s="422"/>
      <c r="BWE138" s="422"/>
      <c r="BWF138" s="422"/>
      <c r="BWG138" s="422"/>
      <c r="BWH138" s="422"/>
      <c r="BWI138" s="422"/>
      <c r="BWJ138" s="422"/>
      <c r="BWK138" s="422"/>
      <c r="BWL138" s="422"/>
      <c r="BWM138" s="422"/>
      <c r="BWN138" s="422"/>
      <c r="BWO138" s="422"/>
      <c r="BWP138" s="422"/>
      <c r="BWQ138" s="422"/>
      <c r="BWR138" s="422"/>
      <c r="BWS138" s="422"/>
      <c r="BWT138" s="422"/>
      <c r="BWU138" s="422"/>
      <c r="BWV138" s="422"/>
      <c r="BWW138" s="422"/>
      <c r="BWX138" s="422"/>
      <c r="BWY138" s="422"/>
      <c r="BWZ138" s="422"/>
      <c r="BXA138" s="422"/>
      <c r="BXB138" s="422"/>
      <c r="BXC138" s="422"/>
      <c r="BXD138" s="422"/>
      <c r="BXE138" s="422"/>
      <c r="BXF138" s="422"/>
      <c r="BXG138" s="422"/>
      <c r="BXH138" s="422"/>
      <c r="BXI138" s="422"/>
      <c r="BXJ138" s="422"/>
      <c r="BXK138" s="422"/>
      <c r="BXL138" s="422"/>
      <c r="BXM138" s="422"/>
      <c r="BXN138" s="422"/>
      <c r="BXO138" s="422"/>
      <c r="BXP138" s="422"/>
      <c r="BXQ138" s="422"/>
      <c r="BXR138" s="422"/>
      <c r="BXS138" s="422"/>
      <c r="BXT138" s="422"/>
      <c r="BXU138" s="422"/>
      <c r="BXV138" s="422"/>
      <c r="BXW138" s="422"/>
      <c r="BXX138" s="422"/>
      <c r="BXY138" s="422"/>
      <c r="BXZ138" s="422"/>
      <c r="BYA138" s="422"/>
      <c r="BYB138" s="422"/>
      <c r="BYC138" s="422"/>
      <c r="BYD138" s="422"/>
      <c r="BYE138" s="422"/>
      <c r="BYF138" s="422"/>
      <c r="BYG138" s="422"/>
      <c r="BYH138" s="422"/>
      <c r="BYI138" s="422"/>
      <c r="BYJ138" s="422"/>
      <c r="BYK138" s="422"/>
      <c r="BYL138" s="422"/>
      <c r="BYM138" s="422"/>
      <c r="BYN138" s="422"/>
      <c r="BYO138" s="422"/>
      <c r="BYP138" s="422"/>
      <c r="BYQ138" s="422"/>
      <c r="BYR138" s="422"/>
      <c r="BYS138" s="422"/>
      <c r="BYT138" s="422"/>
      <c r="BYU138" s="422"/>
      <c r="BYV138" s="422"/>
      <c r="BYW138" s="422"/>
      <c r="BYX138" s="422"/>
      <c r="BYY138" s="422"/>
      <c r="BYZ138" s="422"/>
      <c r="BZA138" s="422"/>
      <c r="BZB138" s="422"/>
      <c r="BZC138" s="422"/>
      <c r="BZD138" s="422"/>
      <c r="BZE138" s="422"/>
      <c r="BZF138" s="422"/>
      <c r="BZG138" s="422"/>
      <c r="BZH138" s="422"/>
      <c r="BZI138" s="422"/>
      <c r="BZJ138" s="422"/>
      <c r="BZK138" s="422"/>
      <c r="BZL138" s="422"/>
      <c r="BZM138" s="422"/>
      <c r="BZN138" s="422"/>
      <c r="BZO138" s="422"/>
      <c r="BZP138" s="422"/>
      <c r="BZQ138" s="422"/>
      <c r="BZR138" s="422"/>
      <c r="BZS138" s="422"/>
      <c r="BZT138" s="422"/>
      <c r="BZU138" s="422"/>
      <c r="BZV138" s="422"/>
      <c r="BZW138" s="422"/>
      <c r="BZX138" s="422"/>
      <c r="BZY138" s="422"/>
      <c r="BZZ138" s="422"/>
      <c r="CAA138" s="422"/>
      <c r="CAB138" s="422"/>
      <c r="CAC138" s="422"/>
      <c r="CAD138" s="422"/>
      <c r="CAE138" s="422"/>
      <c r="CAF138" s="422"/>
      <c r="CAG138" s="422"/>
      <c r="CAH138" s="422"/>
      <c r="CAI138" s="422"/>
      <c r="CAJ138" s="422"/>
      <c r="CAK138" s="422"/>
      <c r="CAL138" s="422"/>
      <c r="CAM138" s="422"/>
      <c r="CAN138" s="422"/>
      <c r="CAO138" s="422"/>
      <c r="CAP138" s="422"/>
      <c r="CAQ138" s="422"/>
      <c r="CAR138" s="422"/>
      <c r="CAS138" s="422"/>
      <c r="CAT138" s="422"/>
      <c r="CAU138" s="422"/>
      <c r="CAV138" s="422"/>
      <c r="CAW138" s="422"/>
      <c r="CAX138" s="422"/>
      <c r="CAY138" s="422"/>
      <c r="CAZ138" s="422"/>
      <c r="CBA138" s="422"/>
      <c r="CBB138" s="422"/>
      <c r="CBC138" s="422"/>
      <c r="CBD138" s="422"/>
      <c r="CBE138" s="422"/>
      <c r="CBF138" s="422"/>
      <c r="CBG138" s="422"/>
      <c r="CBH138" s="422"/>
      <c r="CBI138" s="422"/>
      <c r="CBJ138" s="422"/>
      <c r="CBK138" s="422"/>
      <c r="CBL138" s="422"/>
      <c r="CBM138" s="422"/>
      <c r="CBN138" s="422"/>
      <c r="CBO138" s="422"/>
      <c r="CBP138" s="422"/>
      <c r="CBQ138" s="422"/>
      <c r="CBR138" s="422"/>
      <c r="CBS138" s="422"/>
      <c r="CBT138" s="422"/>
      <c r="CBU138" s="422"/>
      <c r="CBV138" s="422"/>
      <c r="CBW138" s="422"/>
      <c r="CBX138" s="422"/>
      <c r="CBY138" s="422"/>
      <c r="CBZ138" s="422"/>
      <c r="CCA138" s="422"/>
      <c r="CCB138" s="422"/>
      <c r="CCC138" s="422"/>
      <c r="CCD138" s="422"/>
      <c r="CCE138" s="422"/>
      <c r="CCF138" s="422"/>
      <c r="CCG138" s="422"/>
      <c r="CCH138" s="422"/>
      <c r="CCI138" s="422"/>
      <c r="CCJ138" s="422"/>
      <c r="CCK138" s="422"/>
      <c r="CCL138" s="422"/>
      <c r="CCM138" s="422"/>
      <c r="CCN138" s="422"/>
      <c r="CCO138" s="422"/>
      <c r="CCP138" s="422"/>
      <c r="CCQ138" s="422"/>
      <c r="CCR138" s="422"/>
      <c r="CCS138" s="422"/>
      <c r="CCT138" s="422"/>
      <c r="CCU138" s="422"/>
      <c r="CCV138" s="422"/>
      <c r="CCW138" s="422"/>
      <c r="CCX138" s="422"/>
      <c r="CCY138" s="422"/>
      <c r="CCZ138" s="422"/>
      <c r="CDA138" s="422"/>
      <c r="CDB138" s="422"/>
      <c r="CDC138" s="422"/>
      <c r="CDD138" s="422"/>
      <c r="CDE138" s="422"/>
      <c r="CDF138" s="422"/>
      <c r="CDG138" s="422"/>
      <c r="CDH138" s="422"/>
      <c r="CDI138" s="422"/>
      <c r="CDJ138" s="422"/>
      <c r="CDK138" s="422"/>
      <c r="CDL138" s="422"/>
      <c r="CDM138" s="422"/>
      <c r="CDN138" s="422"/>
      <c r="CDO138" s="422"/>
      <c r="CDP138" s="422"/>
      <c r="CDQ138" s="422"/>
      <c r="CDR138" s="422"/>
      <c r="CDS138" s="422"/>
      <c r="CDT138" s="422"/>
      <c r="CDU138" s="422"/>
      <c r="CDV138" s="422"/>
      <c r="CDW138" s="422"/>
      <c r="CDX138" s="422"/>
      <c r="CDY138" s="422"/>
      <c r="CDZ138" s="422"/>
      <c r="CEA138" s="422"/>
      <c r="CEB138" s="422"/>
      <c r="CEC138" s="422"/>
      <c r="CED138" s="422"/>
      <c r="CEE138" s="422"/>
      <c r="CEF138" s="422"/>
      <c r="CEG138" s="422"/>
      <c r="CEH138" s="422"/>
      <c r="CEI138" s="422"/>
      <c r="CEJ138" s="422"/>
      <c r="CEK138" s="422"/>
      <c r="CEL138" s="422"/>
      <c r="CEM138" s="422"/>
      <c r="CEN138" s="422"/>
      <c r="CEO138" s="422"/>
      <c r="CEP138" s="422"/>
      <c r="CEQ138" s="422"/>
      <c r="CER138" s="422"/>
      <c r="CES138" s="422"/>
      <c r="CET138" s="422"/>
      <c r="CEU138" s="422"/>
      <c r="CEV138" s="422"/>
      <c r="CEW138" s="422"/>
      <c r="CEX138" s="422"/>
      <c r="CEY138" s="422"/>
      <c r="CEZ138" s="422"/>
      <c r="CFA138" s="422"/>
      <c r="CFB138" s="422"/>
      <c r="CFC138" s="422"/>
      <c r="CFD138" s="422"/>
      <c r="CFE138" s="422"/>
      <c r="CFF138" s="422"/>
      <c r="CFG138" s="422"/>
      <c r="CFH138" s="422"/>
      <c r="CFI138" s="422"/>
      <c r="CFJ138" s="422"/>
      <c r="CFK138" s="422"/>
      <c r="CFL138" s="422"/>
      <c r="CFM138" s="422"/>
      <c r="CFN138" s="422"/>
      <c r="CFO138" s="422"/>
      <c r="CFP138" s="422"/>
      <c r="CFQ138" s="422"/>
      <c r="CFR138" s="422"/>
      <c r="CFS138" s="422"/>
      <c r="CFT138" s="422"/>
      <c r="CFU138" s="422"/>
      <c r="CFV138" s="422"/>
      <c r="CFW138" s="422"/>
      <c r="CFX138" s="422"/>
      <c r="CFY138" s="422"/>
      <c r="CFZ138" s="422"/>
      <c r="CGA138" s="422"/>
      <c r="CGB138" s="422"/>
      <c r="CGC138" s="422"/>
      <c r="CGD138" s="422"/>
      <c r="CGE138" s="422"/>
      <c r="CGF138" s="422"/>
      <c r="CGG138" s="422"/>
      <c r="CGH138" s="422"/>
      <c r="CGI138" s="422"/>
      <c r="CGJ138" s="422"/>
      <c r="CGK138" s="422"/>
      <c r="CGL138" s="422"/>
      <c r="CGM138" s="422"/>
      <c r="CGN138" s="422"/>
      <c r="CGO138" s="422"/>
      <c r="CGP138" s="422"/>
      <c r="CGQ138" s="422"/>
      <c r="CGR138" s="422"/>
      <c r="CGS138" s="422"/>
      <c r="CGT138" s="422"/>
      <c r="CGU138" s="422"/>
      <c r="CGV138" s="422"/>
      <c r="CGW138" s="422"/>
      <c r="CGX138" s="422"/>
      <c r="CGY138" s="422"/>
      <c r="CGZ138" s="422"/>
      <c r="CHA138" s="422"/>
      <c r="CHB138" s="422"/>
      <c r="CHC138" s="422"/>
      <c r="CHD138" s="422"/>
      <c r="CHE138" s="422"/>
      <c r="CHF138" s="422"/>
      <c r="CHG138" s="422"/>
      <c r="CHH138" s="422"/>
      <c r="CHI138" s="422"/>
      <c r="CHJ138" s="422"/>
      <c r="CHK138" s="422"/>
      <c r="CHL138" s="422"/>
      <c r="CHM138" s="422"/>
      <c r="CHN138" s="422"/>
      <c r="CHO138" s="422"/>
      <c r="CHP138" s="422"/>
      <c r="CHQ138" s="422"/>
      <c r="CHR138" s="422"/>
      <c r="CHS138" s="422"/>
      <c r="CHT138" s="422"/>
      <c r="CHU138" s="422"/>
      <c r="CHV138" s="422"/>
      <c r="CHW138" s="422"/>
      <c r="CHX138" s="422"/>
      <c r="CHY138" s="422"/>
      <c r="CHZ138" s="422"/>
      <c r="CIA138" s="422"/>
      <c r="CIB138" s="422"/>
      <c r="CIC138" s="422"/>
      <c r="CID138" s="422"/>
      <c r="CIE138" s="422"/>
      <c r="CIF138" s="422"/>
      <c r="CIG138" s="422"/>
      <c r="CIH138" s="422"/>
      <c r="CII138" s="422"/>
      <c r="CIJ138" s="422"/>
      <c r="CIK138" s="422"/>
      <c r="CIL138" s="422"/>
      <c r="CIM138" s="422"/>
      <c r="CIN138" s="422"/>
      <c r="CIO138" s="422"/>
      <c r="CIP138" s="422"/>
      <c r="CIQ138" s="422"/>
      <c r="CIR138" s="422"/>
      <c r="CIS138" s="422"/>
      <c r="CIT138" s="422"/>
      <c r="CIU138" s="422"/>
      <c r="CIV138" s="422"/>
      <c r="CIW138" s="422"/>
      <c r="CIX138" s="422"/>
      <c r="CIY138" s="422"/>
      <c r="CIZ138" s="422"/>
      <c r="CJA138" s="422"/>
      <c r="CJB138" s="422"/>
      <c r="CJC138" s="422"/>
      <c r="CJD138" s="422"/>
      <c r="CJE138" s="422"/>
      <c r="CJF138" s="422"/>
      <c r="CJG138" s="422"/>
      <c r="CJH138" s="422"/>
      <c r="CJI138" s="422"/>
      <c r="CJJ138" s="422"/>
      <c r="CJK138" s="422"/>
      <c r="CJL138" s="422"/>
      <c r="CJM138" s="422"/>
      <c r="CJN138" s="422"/>
      <c r="CJO138" s="422"/>
      <c r="CJP138" s="422"/>
      <c r="CJQ138" s="422"/>
      <c r="CJR138" s="422"/>
      <c r="CJS138" s="422"/>
      <c r="CJT138" s="422"/>
      <c r="CJU138" s="422"/>
      <c r="CJV138" s="422"/>
      <c r="CJW138" s="422"/>
      <c r="CJX138" s="422"/>
      <c r="CJY138" s="422"/>
      <c r="CJZ138" s="422"/>
      <c r="CKA138" s="422"/>
      <c r="CKB138" s="422"/>
      <c r="CKC138" s="422"/>
      <c r="CKD138" s="422"/>
      <c r="CKE138" s="422"/>
      <c r="CKF138" s="422"/>
      <c r="CKG138" s="422"/>
      <c r="CKH138" s="422"/>
      <c r="CKI138" s="422"/>
      <c r="CKJ138" s="422"/>
      <c r="CKK138" s="422"/>
      <c r="CKL138" s="422"/>
      <c r="CKM138" s="422"/>
      <c r="CKN138" s="422"/>
      <c r="CKO138" s="422"/>
      <c r="CKP138" s="422"/>
      <c r="CKQ138" s="422"/>
      <c r="CKR138" s="422"/>
      <c r="CKS138" s="422"/>
      <c r="CKT138" s="422"/>
      <c r="CKU138" s="422"/>
      <c r="CKV138" s="422"/>
      <c r="CKW138" s="422"/>
      <c r="CKX138" s="422"/>
      <c r="CKY138" s="422"/>
      <c r="CKZ138" s="422"/>
      <c r="CLA138" s="422"/>
      <c r="CLB138" s="422"/>
      <c r="CLC138" s="422"/>
      <c r="CLD138" s="422"/>
      <c r="CLE138" s="422"/>
      <c r="CLF138" s="422"/>
      <c r="CLG138" s="422"/>
      <c r="CLH138" s="422"/>
      <c r="CLI138" s="422"/>
      <c r="CLJ138" s="422"/>
      <c r="CLK138" s="422"/>
      <c r="CLL138" s="422"/>
      <c r="CLM138" s="422"/>
      <c r="CLN138" s="422"/>
      <c r="CLO138" s="422"/>
      <c r="CLP138" s="422"/>
      <c r="CLQ138" s="422"/>
      <c r="CLR138" s="422"/>
      <c r="CLS138" s="422"/>
      <c r="CLT138" s="422"/>
      <c r="CLU138" s="422"/>
      <c r="CLV138" s="422"/>
      <c r="CLW138" s="422"/>
      <c r="CLX138" s="422"/>
      <c r="CLY138" s="422"/>
      <c r="CLZ138" s="422"/>
      <c r="CMA138" s="422"/>
      <c r="CMB138" s="422"/>
      <c r="CMC138" s="422"/>
      <c r="CMD138" s="422"/>
      <c r="CME138" s="422"/>
      <c r="CMF138" s="422"/>
      <c r="CMG138" s="422"/>
      <c r="CMH138" s="422"/>
      <c r="CMI138" s="422"/>
      <c r="CMJ138" s="422"/>
      <c r="CMK138" s="422"/>
      <c r="CML138" s="422"/>
      <c r="CMM138" s="422"/>
      <c r="CMN138" s="422"/>
      <c r="CMO138" s="422"/>
      <c r="CMP138" s="422"/>
      <c r="CMQ138" s="422"/>
      <c r="CMR138" s="422"/>
      <c r="CMS138" s="422"/>
      <c r="CMT138" s="422"/>
      <c r="CMU138" s="422"/>
      <c r="CMV138" s="422"/>
      <c r="CMW138" s="422"/>
      <c r="CMX138" s="422"/>
      <c r="CMY138" s="422"/>
      <c r="CMZ138" s="422"/>
      <c r="CNA138" s="422"/>
      <c r="CNB138" s="422"/>
      <c r="CNC138" s="422"/>
      <c r="CND138" s="422"/>
      <c r="CNE138" s="422"/>
      <c r="CNF138" s="422"/>
      <c r="CNG138" s="422"/>
      <c r="CNH138" s="422"/>
      <c r="CNI138" s="422"/>
      <c r="CNJ138" s="422"/>
      <c r="CNK138" s="422"/>
      <c r="CNL138" s="422"/>
      <c r="CNM138" s="422"/>
      <c r="CNN138" s="422"/>
      <c r="CNO138" s="422"/>
      <c r="CNP138" s="422"/>
      <c r="CNQ138" s="422"/>
      <c r="CNR138" s="422"/>
      <c r="CNS138" s="422"/>
      <c r="CNT138" s="422"/>
      <c r="CNU138" s="422"/>
      <c r="CNV138" s="422"/>
      <c r="CNW138" s="422"/>
      <c r="CNX138" s="422"/>
      <c r="CNY138" s="422"/>
      <c r="CNZ138" s="422"/>
      <c r="COA138" s="422"/>
      <c r="COB138" s="422"/>
      <c r="COC138" s="422"/>
      <c r="COD138" s="422"/>
      <c r="COE138" s="422"/>
      <c r="COF138" s="422"/>
      <c r="COG138" s="422"/>
      <c r="COH138" s="422"/>
      <c r="COI138" s="422"/>
      <c r="COJ138" s="422"/>
      <c r="COK138" s="422"/>
      <c r="COL138" s="422"/>
      <c r="COM138" s="422"/>
      <c r="CON138" s="422"/>
      <c r="COO138" s="422"/>
      <c r="COP138" s="422"/>
      <c r="COQ138" s="422"/>
      <c r="COR138" s="422"/>
      <c r="COS138" s="422"/>
      <c r="COT138" s="422"/>
      <c r="COU138" s="422"/>
      <c r="COV138" s="422"/>
      <c r="COW138" s="422"/>
      <c r="COX138" s="422"/>
      <c r="COY138" s="422"/>
      <c r="COZ138" s="422"/>
      <c r="CPA138" s="422"/>
      <c r="CPB138" s="422"/>
      <c r="CPC138" s="422"/>
      <c r="CPD138" s="422"/>
      <c r="CPE138" s="422"/>
      <c r="CPF138" s="422"/>
      <c r="CPG138" s="422"/>
      <c r="CPH138" s="422"/>
      <c r="CPI138" s="422"/>
      <c r="CPJ138" s="422"/>
      <c r="CPK138" s="422"/>
      <c r="CPL138" s="422"/>
      <c r="CPM138" s="422"/>
      <c r="CPN138" s="422"/>
      <c r="CPO138" s="422"/>
      <c r="CPP138" s="422"/>
      <c r="CPQ138" s="422"/>
      <c r="CPR138" s="422"/>
      <c r="CPS138" s="422"/>
      <c r="CPT138" s="422"/>
      <c r="CPU138" s="422"/>
      <c r="CPV138" s="422"/>
      <c r="CPW138" s="422"/>
      <c r="CPX138" s="422"/>
      <c r="CPY138" s="422"/>
      <c r="CPZ138" s="422"/>
      <c r="CQA138" s="422"/>
      <c r="CQB138" s="422"/>
      <c r="CQC138" s="422"/>
      <c r="CQD138" s="422"/>
      <c r="CQE138" s="422"/>
      <c r="CQF138" s="422"/>
      <c r="CQG138" s="422"/>
      <c r="CQH138" s="422"/>
      <c r="CQI138" s="422"/>
      <c r="CQJ138" s="422"/>
      <c r="CQK138" s="422"/>
      <c r="CQL138" s="422"/>
      <c r="CQM138" s="422"/>
      <c r="CQN138" s="422"/>
      <c r="CQO138" s="422"/>
      <c r="CQP138" s="422"/>
      <c r="CQQ138" s="422"/>
      <c r="CQR138" s="422"/>
      <c r="CQS138" s="422"/>
      <c r="CQT138" s="422"/>
      <c r="CQU138" s="422"/>
      <c r="CQV138" s="422"/>
      <c r="CQW138" s="422"/>
      <c r="CQX138" s="422"/>
      <c r="CQY138" s="422"/>
      <c r="CQZ138" s="422"/>
      <c r="CRA138" s="422"/>
      <c r="CRB138" s="422"/>
      <c r="CRC138" s="422"/>
      <c r="CRD138" s="422"/>
      <c r="CRE138" s="422"/>
      <c r="CRF138" s="422"/>
      <c r="CRG138" s="422"/>
      <c r="CRH138" s="422"/>
      <c r="CRI138" s="422"/>
      <c r="CRJ138" s="422"/>
      <c r="CRK138" s="422"/>
      <c r="CRL138" s="422"/>
      <c r="CRM138" s="422"/>
      <c r="CRN138" s="422"/>
      <c r="CRO138" s="422"/>
      <c r="CRP138" s="422"/>
      <c r="CRQ138" s="422"/>
      <c r="CRR138" s="422"/>
      <c r="CRS138" s="422"/>
      <c r="CRT138" s="422"/>
      <c r="CRU138" s="422"/>
      <c r="CRV138" s="422"/>
      <c r="CRW138" s="422"/>
      <c r="CRX138" s="422"/>
      <c r="CRY138" s="422"/>
      <c r="CRZ138" s="422"/>
      <c r="CSA138" s="422"/>
      <c r="CSB138" s="422"/>
      <c r="CSC138" s="422"/>
      <c r="CSD138" s="422"/>
      <c r="CSE138" s="422"/>
      <c r="CSF138" s="422"/>
      <c r="CSG138" s="422"/>
      <c r="CSH138" s="422"/>
      <c r="CSI138" s="422"/>
      <c r="CSJ138" s="422"/>
      <c r="CSK138" s="422"/>
      <c r="CSL138" s="422"/>
      <c r="CSM138" s="422"/>
      <c r="CSN138" s="422"/>
      <c r="CSO138" s="422"/>
      <c r="CSP138" s="422"/>
      <c r="CSQ138" s="422"/>
      <c r="CSR138" s="422"/>
      <c r="CSS138" s="422"/>
      <c r="CST138" s="422"/>
      <c r="CSU138" s="422"/>
      <c r="CSV138" s="422"/>
      <c r="CSW138" s="422"/>
      <c r="CSX138" s="422"/>
      <c r="CSY138" s="422"/>
      <c r="CSZ138" s="422"/>
      <c r="CTA138" s="422"/>
      <c r="CTB138" s="422"/>
      <c r="CTC138" s="422"/>
      <c r="CTD138" s="422"/>
      <c r="CTE138" s="422"/>
      <c r="CTF138" s="422"/>
      <c r="CTG138" s="422"/>
      <c r="CTH138" s="422"/>
      <c r="CTI138" s="422"/>
      <c r="CTJ138" s="422"/>
      <c r="CTK138" s="422"/>
      <c r="CTL138" s="422"/>
      <c r="CTM138" s="422"/>
      <c r="CTN138" s="422"/>
      <c r="CTO138" s="422"/>
      <c r="CTP138" s="422"/>
      <c r="CTQ138" s="422"/>
      <c r="CTR138" s="422"/>
      <c r="CTS138" s="422"/>
      <c r="CTT138" s="422"/>
      <c r="CTU138" s="422"/>
      <c r="CTV138" s="422"/>
      <c r="CTW138" s="422"/>
      <c r="CTX138" s="422"/>
      <c r="CTY138" s="422"/>
      <c r="CTZ138" s="422"/>
      <c r="CUA138" s="422"/>
      <c r="CUB138" s="422"/>
      <c r="CUC138" s="422"/>
      <c r="CUD138" s="422"/>
      <c r="CUE138" s="422"/>
      <c r="CUF138" s="422"/>
      <c r="CUG138" s="422"/>
      <c r="CUH138" s="422"/>
      <c r="CUI138" s="422"/>
      <c r="CUJ138" s="422"/>
      <c r="CUK138" s="422"/>
      <c r="CUL138" s="422"/>
      <c r="CUM138" s="422"/>
      <c r="CUN138" s="422"/>
      <c r="CUO138" s="422"/>
      <c r="CUP138" s="422"/>
      <c r="CUQ138" s="422"/>
      <c r="CUR138" s="422"/>
      <c r="CUS138" s="422"/>
      <c r="CUT138" s="422"/>
      <c r="CUU138" s="422"/>
      <c r="CUV138" s="422"/>
      <c r="CUW138" s="422"/>
      <c r="CUX138" s="422"/>
      <c r="CUY138" s="422"/>
      <c r="CUZ138" s="422"/>
      <c r="CVA138" s="422"/>
      <c r="CVB138" s="422"/>
      <c r="CVC138" s="422"/>
      <c r="CVD138" s="422"/>
      <c r="CVE138" s="422"/>
      <c r="CVF138" s="422"/>
      <c r="CVG138" s="422"/>
      <c r="CVH138" s="422"/>
      <c r="CVI138" s="422"/>
      <c r="CVJ138" s="422"/>
      <c r="CVK138" s="422"/>
      <c r="CVL138" s="422"/>
      <c r="CVM138" s="422"/>
      <c r="CVN138" s="422"/>
      <c r="CVO138" s="422"/>
      <c r="CVP138" s="422"/>
      <c r="CVQ138" s="422"/>
      <c r="CVR138" s="422"/>
      <c r="CVS138" s="422"/>
      <c r="CVT138" s="422"/>
      <c r="CVU138" s="422"/>
      <c r="CVV138" s="422"/>
      <c r="CVW138" s="422"/>
      <c r="CVX138" s="422"/>
      <c r="CVY138" s="422"/>
      <c r="CVZ138" s="422"/>
      <c r="CWA138" s="422"/>
      <c r="CWB138" s="422"/>
      <c r="CWC138" s="422"/>
      <c r="CWD138" s="422"/>
      <c r="CWE138" s="422"/>
      <c r="CWF138" s="422"/>
      <c r="CWG138" s="422"/>
      <c r="CWH138" s="422"/>
      <c r="CWI138" s="422"/>
      <c r="CWJ138" s="422"/>
      <c r="CWK138" s="422"/>
      <c r="CWL138" s="422"/>
      <c r="CWM138" s="422"/>
      <c r="CWN138" s="422"/>
      <c r="CWO138" s="422"/>
      <c r="CWP138" s="422"/>
      <c r="CWQ138" s="422"/>
      <c r="CWR138" s="422"/>
      <c r="CWS138" s="422"/>
      <c r="CWT138" s="422"/>
      <c r="CWU138" s="422"/>
      <c r="CWV138" s="422"/>
      <c r="CWW138" s="422"/>
      <c r="CWX138" s="422"/>
      <c r="CWY138" s="422"/>
      <c r="CWZ138" s="422"/>
      <c r="CXA138" s="422"/>
      <c r="CXB138" s="422"/>
      <c r="CXC138" s="422"/>
      <c r="CXD138" s="422"/>
      <c r="CXE138" s="422"/>
      <c r="CXF138" s="422"/>
      <c r="CXG138" s="422"/>
      <c r="CXH138" s="422"/>
      <c r="CXI138" s="422"/>
      <c r="CXJ138" s="422"/>
      <c r="CXK138" s="422"/>
      <c r="CXL138" s="422"/>
      <c r="CXM138" s="422"/>
      <c r="CXN138" s="422"/>
      <c r="CXO138" s="422"/>
      <c r="CXP138" s="422"/>
      <c r="CXQ138" s="422"/>
      <c r="CXR138" s="422"/>
      <c r="CXS138" s="422"/>
      <c r="CXT138" s="422"/>
      <c r="CXU138" s="422"/>
      <c r="CXV138" s="422"/>
      <c r="CXW138" s="422"/>
      <c r="CXX138" s="422"/>
      <c r="CXY138" s="422"/>
      <c r="CXZ138" s="422"/>
      <c r="CYA138" s="422"/>
      <c r="CYB138" s="422"/>
      <c r="CYC138" s="422"/>
      <c r="CYD138" s="422"/>
      <c r="CYE138" s="422"/>
      <c r="CYF138" s="422"/>
      <c r="CYG138" s="422"/>
      <c r="CYH138" s="422"/>
      <c r="CYI138" s="422"/>
      <c r="CYJ138" s="422"/>
      <c r="CYK138" s="422"/>
      <c r="CYL138" s="422"/>
      <c r="CYM138" s="422"/>
      <c r="CYN138" s="422"/>
      <c r="CYO138" s="422"/>
      <c r="CYP138" s="422"/>
      <c r="CYQ138" s="422"/>
      <c r="CYR138" s="422"/>
      <c r="CYS138" s="422"/>
      <c r="CYT138" s="422"/>
      <c r="CYU138" s="422"/>
      <c r="CYV138" s="422"/>
      <c r="CYW138" s="422"/>
      <c r="CYX138" s="422"/>
      <c r="CYY138" s="422"/>
      <c r="CYZ138" s="422"/>
      <c r="CZA138" s="422"/>
      <c r="CZB138" s="422"/>
      <c r="CZC138" s="422"/>
      <c r="CZD138" s="422"/>
      <c r="CZE138" s="422"/>
      <c r="CZF138" s="422"/>
      <c r="CZG138" s="422"/>
      <c r="CZH138" s="422"/>
      <c r="CZI138" s="422"/>
      <c r="CZJ138" s="422"/>
      <c r="CZK138" s="422"/>
      <c r="CZL138" s="422"/>
      <c r="CZM138" s="422"/>
      <c r="CZN138" s="422"/>
      <c r="CZO138" s="422"/>
      <c r="CZP138" s="422"/>
      <c r="CZQ138" s="422"/>
      <c r="CZR138" s="422"/>
      <c r="CZS138" s="422"/>
      <c r="CZT138" s="422"/>
      <c r="CZU138" s="422"/>
      <c r="CZV138" s="422"/>
      <c r="CZW138" s="422"/>
      <c r="CZX138" s="422"/>
      <c r="CZY138" s="422"/>
      <c r="CZZ138" s="422"/>
      <c r="DAA138" s="422"/>
      <c r="DAB138" s="422"/>
      <c r="DAC138" s="422"/>
      <c r="DAD138" s="422"/>
      <c r="DAE138" s="422"/>
      <c r="DAF138" s="422"/>
      <c r="DAG138" s="422"/>
      <c r="DAH138" s="422"/>
      <c r="DAI138" s="422"/>
      <c r="DAJ138" s="422"/>
      <c r="DAK138" s="422"/>
      <c r="DAL138" s="422"/>
      <c r="DAM138" s="422"/>
      <c r="DAN138" s="422"/>
      <c r="DAO138" s="422"/>
      <c r="DAP138" s="422"/>
      <c r="DAQ138" s="422"/>
      <c r="DAR138" s="422"/>
      <c r="DAS138" s="422"/>
      <c r="DAT138" s="422"/>
      <c r="DAU138" s="422"/>
      <c r="DAV138" s="422"/>
      <c r="DAW138" s="422"/>
      <c r="DAX138" s="422"/>
      <c r="DAY138" s="422"/>
      <c r="DAZ138" s="422"/>
      <c r="DBA138" s="422"/>
      <c r="DBB138" s="422"/>
      <c r="DBC138" s="422"/>
      <c r="DBD138" s="422"/>
      <c r="DBE138" s="422"/>
      <c r="DBF138" s="422"/>
      <c r="DBG138" s="422"/>
      <c r="DBH138" s="422"/>
      <c r="DBI138" s="422"/>
      <c r="DBJ138" s="422"/>
      <c r="DBK138" s="422"/>
      <c r="DBL138" s="422"/>
      <c r="DBM138" s="422"/>
      <c r="DBN138" s="422"/>
      <c r="DBO138" s="422"/>
      <c r="DBP138" s="422"/>
      <c r="DBQ138" s="422"/>
      <c r="DBR138" s="422"/>
      <c r="DBS138" s="422"/>
      <c r="DBT138" s="422"/>
      <c r="DBU138" s="422"/>
      <c r="DBV138" s="422"/>
      <c r="DBW138" s="422"/>
      <c r="DBX138" s="422"/>
      <c r="DBY138" s="422"/>
      <c r="DBZ138" s="422"/>
      <c r="DCA138" s="422"/>
      <c r="DCB138" s="422"/>
      <c r="DCC138" s="422"/>
      <c r="DCD138" s="422"/>
      <c r="DCE138" s="422"/>
      <c r="DCF138" s="422"/>
      <c r="DCG138" s="422"/>
      <c r="DCH138" s="422"/>
      <c r="DCI138" s="422"/>
      <c r="DCJ138" s="422"/>
      <c r="DCK138" s="422"/>
      <c r="DCL138" s="422"/>
      <c r="DCM138" s="422"/>
      <c r="DCN138" s="422"/>
      <c r="DCO138" s="422"/>
      <c r="DCP138" s="422"/>
      <c r="DCQ138" s="422"/>
      <c r="DCR138" s="422"/>
      <c r="DCS138" s="422"/>
      <c r="DCT138" s="422"/>
      <c r="DCU138" s="422"/>
      <c r="DCV138" s="422"/>
      <c r="DCW138" s="422"/>
      <c r="DCX138" s="422"/>
      <c r="DCY138" s="422"/>
      <c r="DCZ138" s="422"/>
      <c r="DDA138" s="422"/>
      <c r="DDB138" s="422"/>
      <c r="DDC138" s="422"/>
      <c r="DDD138" s="422"/>
      <c r="DDE138" s="422"/>
      <c r="DDF138" s="422"/>
      <c r="DDG138" s="422"/>
      <c r="DDH138" s="422"/>
      <c r="DDI138" s="422"/>
      <c r="DDJ138" s="422"/>
      <c r="DDK138" s="422"/>
      <c r="DDL138" s="422"/>
      <c r="DDM138" s="422"/>
      <c r="DDN138" s="422"/>
      <c r="DDO138" s="422"/>
      <c r="DDP138" s="422"/>
      <c r="DDQ138" s="422"/>
      <c r="DDR138" s="422"/>
      <c r="DDS138" s="422"/>
      <c r="DDT138" s="422"/>
      <c r="DDU138" s="422"/>
      <c r="DDV138" s="422"/>
      <c r="DDW138" s="422"/>
      <c r="DDX138" s="422"/>
      <c r="DDY138" s="422"/>
      <c r="DDZ138" s="422"/>
      <c r="DEA138" s="422"/>
      <c r="DEB138" s="422"/>
      <c r="DEC138" s="422"/>
      <c r="DED138" s="422"/>
      <c r="DEE138" s="422"/>
      <c r="DEF138" s="422"/>
      <c r="DEG138" s="422"/>
      <c r="DEH138" s="422"/>
      <c r="DEI138" s="422"/>
      <c r="DEJ138" s="422"/>
      <c r="DEK138" s="422"/>
      <c r="DEL138" s="422"/>
      <c r="DEM138" s="422"/>
      <c r="DEN138" s="422"/>
      <c r="DEO138" s="422"/>
      <c r="DEP138" s="422"/>
      <c r="DEQ138" s="422"/>
      <c r="DER138" s="422"/>
      <c r="DES138" s="422"/>
      <c r="DET138" s="422"/>
      <c r="DEU138" s="422"/>
      <c r="DEV138" s="422"/>
      <c r="DEW138" s="422"/>
      <c r="DEX138" s="422"/>
      <c r="DEY138" s="422"/>
      <c r="DEZ138" s="422"/>
      <c r="DFA138" s="422"/>
      <c r="DFB138" s="422"/>
      <c r="DFC138" s="422"/>
      <c r="DFD138" s="422"/>
      <c r="DFE138" s="422"/>
      <c r="DFF138" s="422"/>
      <c r="DFG138" s="422"/>
      <c r="DFH138" s="422"/>
      <c r="DFI138" s="422"/>
      <c r="DFJ138" s="422"/>
      <c r="DFK138" s="422"/>
      <c r="DFL138" s="422"/>
      <c r="DFM138" s="422"/>
      <c r="DFN138" s="422"/>
      <c r="DFO138" s="422"/>
      <c r="DFP138" s="422"/>
      <c r="DFQ138" s="422"/>
      <c r="DFR138" s="422"/>
      <c r="DFS138" s="422"/>
      <c r="DFT138" s="422"/>
      <c r="DFU138" s="422"/>
      <c r="DFV138" s="422"/>
      <c r="DFW138" s="422"/>
      <c r="DFX138" s="422"/>
      <c r="DFY138" s="422"/>
      <c r="DFZ138" s="422"/>
      <c r="DGA138" s="422"/>
      <c r="DGB138" s="422"/>
      <c r="DGC138" s="422"/>
      <c r="DGD138" s="422"/>
      <c r="DGE138" s="422"/>
      <c r="DGF138" s="422"/>
      <c r="DGG138" s="422"/>
      <c r="DGH138" s="422"/>
      <c r="DGI138" s="422"/>
      <c r="DGJ138" s="422"/>
      <c r="DGK138" s="422"/>
      <c r="DGL138" s="422"/>
      <c r="DGM138" s="422"/>
      <c r="DGN138" s="422"/>
      <c r="DGO138" s="422"/>
      <c r="DGP138" s="422"/>
      <c r="DGQ138" s="422"/>
      <c r="DGR138" s="422"/>
      <c r="DGS138" s="422"/>
      <c r="DGT138" s="422"/>
      <c r="DGU138" s="422"/>
      <c r="DGV138" s="422"/>
      <c r="DGW138" s="422"/>
      <c r="DGX138" s="422"/>
      <c r="DGY138" s="422"/>
      <c r="DGZ138" s="422"/>
      <c r="DHA138" s="422"/>
      <c r="DHB138" s="422"/>
      <c r="DHC138" s="422"/>
      <c r="DHD138" s="422"/>
      <c r="DHE138" s="422"/>
      <c r="DHF138" s="422"/>
      <c r="DHG138" s="422"/>
      <c r="DHH138" s="422"/>
      <c r="DHI138" s="422"/>
      <c r="DHJ138" s="422"/>
      <c r="DHK138" s="422"/>
      <c r="DHL138" s="422"/>
      <c r="DHM138" s="422"/>
      <c r="DHN138" s="422"/>
      <c r="DHO138" s="422"/>
      <c r="DHP138" s="422"/>
      <c r="DHQ138" s="422"/>
      <c r="DHR138" s="422"/>
      <c r="DHS138" s="422"/>
      <c r="DHT138" s="422"/>
      <c r="DHU138" s="422"/>
      <c r="DHV138" s="422"/>
      <c r="DHW138" s="422"/>
      <c r="DHX138" s="422"/>
      <c r="DHY138" s="422"/>
      <c r="DHZ138" s="422"/>
      <c r="DIA138" s="422"/>
      <c r="DIB138" s="422"/>
      <c r="DIC138" s="422"/>
      <c r="DID138" s="422"/>
      <c r="DIE138" s="422"/>
      <c r="DIF138" s="422"/>
      <c r="DIG138" s="422"/>
      <c r="DIH138" s="422"/>
      <c r="DII138" s="422"/>
      <c r="DIJ138" s="422"/>
      <c r="DIK138" s="422"/>
      <c r="DIL138" s="422"/>
      <c r="DIM138" s="422"/>
      <c r="DIN138" s="422"/>
      <c r="DIO138" s="422"/>
      <c r="DIP138" s="422"/>
      <c r="DIQ138" s="422"/>
      <c r="DIR138" s="422"/>
      <c r="DIS138" s="422"/>
      <c r="DIT138" s="422"/>
      <c r="DIU138" s="422"/>
      <c r="DIV138" s="422"/>
      <c r="DIW138" s="422"/>
      <c r="DIX138" s="422"/>
      <c r="DIY138" s="422"/>
      <c r="DIZ138" s="422"/>
      <c r="DJA138" s="422"/>
      <c r="DJB138" s="422"/>
      <c r="DJC138" s="422"/>
      <c r="DJD138" s="422"/>
      <c r="DJE138" s="422"/>
      <c r="DJF138" s="422"/>
      <c r="DJG138" s="422"/>
      <c r="DJH138" s="422"/>
      <c r="DJI138" s="422"/>
      <c r="DJJ138" s="422"/>
      <c r="DJK138" s="422"/>
      <c r="DJL138" s="422"/>
      <c r="DJM138" s="422"/>
      <c r="DJN138" s="422"/>
      <c r="DJO138" s="422"/>
      <c r="DJP138" s="422"/>
      <c r="DJQ138" s="422"/>
      <c r="DJR138" s="422"/>
      <c r="DJS138" s="422"/>
      <c r="DJT138" s="422"/>
      <c r="DJU138" s="422"/>
      <c r="DJV138" s="422"/>
      <c r="DJW138" s="422"/>
      <c r="DJX138" s="422"/>
      <c r="DJY138" s="422"/>
      <c r="DJZ138" s="422"/>
      <c r="DKA138" s="422"/>
      <c r="DKB138" s="422"/>
      <c r="DKC138" s="422"/>
      <c r="DKD138" s="422"/>
      <c r="DKE138" s="422"/>
      <c r="DKF138" s="422"/>
      <c r="DKG138" s="422"/>
      <c r="DKH138" s="422"/>
      <c r="DKI138" s="422"/>
      <c r="DKJ138" s="422"/>
      <c r="DKK138" s="422"/>
      <c r="DKL138" s="422"/>
      <c r="DKM138" s="422"/>
      <c r="DKN138" s="422"/>
      <c r="DKO138" s="422"/>
      <c r="DKP138" s="422"/>
      <c r="DKQ138" s="422"/>
      <c r="DKR138" s="422"/>
      <c r="DKS138" s="422"/>
      <c r="DKT138" s="422"/>
      <c r="DKU138" s="422"/>
      <c r="DKV138" s="422"/>
      <c r="DKW138" s="422"/>
      <c r="DKX138" s="422"/>
      <c r="DKY138" s="422"/>
      <c r="DKZ138" s="422"/>
      <c r="DLA138" s="422"/>
      <c r="DLB138" s="422"/>
      <c r="DLC138" s="422"/>
      <c r="DLD138" s="422"/>
      <c r="DLE138" s="422"/>
      <c r="DLF138" s="422"/>
      <c r="DLG138" s="422"/>
      <c r="DLH138" s="422"/>
      <c r="DLI138" s="422"/>
      <c r="DLJ138" s="422"/>
      <c r="DLK138" s="422"/>
      <c r="DLL138" s="422"/>
      <c r="DLM138" s="422"/>
      <c r="DLN138" s="422"/>
      <c r="DLO138" s="422"/>
      <c r="DLP138" s="422"/>
      <c r="DLQ138" s="422"/>
      <c r="DLR138" s="422"/>
      <c r="DLS138" s="422"/>
      <c r="DLT138" s="422"/>
      <c r="DLU138" s="422"/>
      <c r="DLV138" s="422"/>
      <c r="DLW138" s="422"/>
      <c r="DLX138" s="422"/>
      <c r="DLY138" s="422"/>
      <c r="DLZ138" s="422"/>
      <c r="DMA138" s="422"/>
      <c r="DMB138" s="422"/>
      <c r="DMC138" s="422"/>
      <c r="DMD138" s="422"/>
      <c r="DME138" s="422"/>
      <c r="DMF138" s="422"/>
      <c r="DMG138" s="422"/>
      <c r="DMH138" s="422"/>
      <c r="DMI138" s="422"/>
      <c r="DMJ138" s="422"/>
      <c r="DMK138" s="422"/>
      <c r="DML138" s="422"/>
      <c r="DMM138" s="422"/>
      <c r="DMN138" s="422"/>
      <c r="DMO138" s="422"/>
      <c r="DMP138" s="422"/>
      <c r="DMQ138" s="422"/>
      <c r="DMR138" s="422"/>
      <c r="DMS138" s="422"/>
      <c r="DMT138" s="422"/>
      <c r="DMU138" s="422"/>
      <c r="DMV138" s="422"/>
      <c r="DMW138" s="422"/>
      <c r="DMX138" s="422"/>
      <c r="DMY138" s="422"/>
      <c r="DMZ138" s="422"/>
      <c r="DNA138" s="422"/>
      <c r="DNB138" s="422"/>
      <c r="DNC138" s="422"/>
      <c r="DND138" s="422"/>
      <c r="DNE138" s="422"/>
      <c r="DNF138" s="422"/>
      <c r="DNG138" s="422"/>
      <c r="DNH138" s="422"/>
      <c r="DNI138" s="422"/>
      <c r="DNJ138" s="422"/>
      <c r="DNK138" s="422"/>
      <c r="DNL138" s="422"/>
      <c r="DNM138" s="422"/>
      <c r="DNN138" s="422"/>
      <c r="DNO138" s="422"/>
      <c r="DNP138" s="422"/>
      <c r="DNQ138" s="422"/>
      <c r="DNR138" s="422"/>
      <c r="DNS138" s="422"/>
      <c r="DNT138" s="422"/>
      <c r="DNU138" s="422"/>
      <c r="DNV138" s="422"/>
      <c r="DNW138" s="422"/>
      <c r="DNX138" s="422"/>
      <c r="DNY138" s="422"/>
      <c r="DNZ138" s="422"/>
      <c r="DOA138" s="422"/>
      <c r="DOB138" s="422"/>
      <c r="DOC138" s="422"/>
      <c r="DOD138" s="422"/>
      <c r="DOE138" s="422"/>
      <c r="DOF138" s="422"/>
      <c r="DOG138" s="422"/>
      <c r="DOH138" s="422"/>
      <c r="DOI138" s="422"/>
      <c r="DOJ138" s="422"/>
      <c r="DOK138" s="422"/>
      <c r="DOL138" s="422"/>
      <c r="DOM138" s="422"/>
      <c r="DON138" s="422"/>
      <c r="DOO138" s="422"/>
      <c r="DOP138" s="422"/>
      <c r="DOQ138" s="422"/>
      <c r="DOR138" s="422"/>
      <c r="DOS138" s="422"/>
      <c r="DOT138" s="422"/>
      <c r="DOU138" s="422"/>
      <c r="DOV138" s="422"/>
      <c r="DOW138" s="422"/>
      <c r="DOX138" s="422"/>
      <c r="DOY138" s="422"/>
      <c r="DOZ138" s="422"/>
      <c r="DPA138" s="422"/>
      <c r="DPB138" s="422"/>
      <c r="DPC138" s="422"/>
      <c r="DPD138" s="422"/>
      <c r="DPE138" s="422"/>
      <c r="DPF138" s="422"/>
      <c r="DPG138" s="422"/>
      <c r="DPH138" s="422"/>
      <c r="DPI138" s="422"/>
      <c r="DPJ138" s="422"/>
      <c r="DPK138" s="422"/>
      <c r="DPL138" s="422"/>
      <c r="DPM138" s="422"/>
      <c r="DPN138" s="422"/>
      <c r="DPO138" s="422"/>
      <c r="DPP138" s="422"/>
      <c r="DPQ138" s="422"/>
      <c r="DPR138" s="422"/>
      <c r="DPS138" s="422"/>
      <c r="DPT138" s="422"/>
      <c r="DPU138" s="422"/>
      <c r="DPV138" s="422"/>
      <c r="DPW138" s="422"/>
      <c r="DPX138" s="422"/>
      <c r="DPY138" s="422"/>
      <c r="DPZ138" s="422"/>
      <c r="DQA138" s="422"/>
      <c r="DQB138" s="422"/>
      <c r="DQC138" s="422"/>
      <c r="DQD138" s="422"/>
      <c r="DQE138" s="422"/>
      <c r="DQF138" s="422"/>
      <c r="DQG138" s="422"/>
      <c r="DQH138" s="422"/>
      <c r="DQI138" s="422"/>
      <c r="DQJ138" s="422"/>
      <c r="DQK138" s="422"/>
      <c r="DQL138" s="422"/>
      <c r="DQM138" s="422"/>
      <c r="DQN138" s="422"/>
      <c r="DQO138" s="422"/>
      <c r="DQP138" s="422"/>
      <c r="DQQ138" s="422"/>
      <c r="DQR138" s="422"/>
      <c r="DQS138" s="422"/>
      <c r="DQT138" s="422"/>
      <c r="DQU138" s="422"/>
      <c r="DQV138" s="422"/>
      <c r="DQW138" s="422"/>
      <c r="DQX138" s="422"/>
      <c r="DQY138" s="422"/>
      <c r="DQZ138" s="422"/>
      <c r="DRA138" s="422"/>
      <c r="DRB138" s="422"/>
      <c r="DRC138" s="422"/>
      <c r="DRD138" s="422"/>
      <c r="DRE138" s="422"/>
      <c r="DRF138" s="422"/>
      <c r="DRG138" s="422"/>
      <c r="DRH138" s="422"/>
      <c r="DRI138" s="422"/>
      <c r="DRJ138" s="422"/>
      <c r="DRK138" s="422"/>
      <c r="DRL138" s="422"/>
      <c r="DRM138" s="422"/>
      <c r="DRN138" s="422"/>
      <c r="DRO138" s="422"/>
      <c r="DRP138" s="422"/>
      <c r="DRQ138" s="422"/>
      <c r="DRR138" s="422"/>
      <c r="DRS138" s="422"/>
      <c r="DRT138" s="422"/>
      <c r="DRU138" s="422"/>
      <c r="DRV138" s="422"/>
      <c r="DRW138" s="422"/>
      <c r="DRX138" s="422"/>
      <c r="DRY138" s="422"/>
      <c r="DRZ138" s="422"/>
      <c r="DSA138" s="422"/>
      <c r="DSB138" s="422"/>
      <c r="DSC138" s="422"/>
      <c r="DSD138" s="422"/>
      <c r="DSE138" s="422"/>
      <c r="DSF138" s="422"/>
      <c r="DSG138" s="422"/>
      <c r="DSH138" s="422"/>
      <c r="DSI138" s="422"/>
      <c r="DSJ138" s="422"/>
      <c r="DSK138" s="422"/>
      <c r="DSL138" s="422"/>
      <c r="DSM138" s="422"/>
      <c r="DSN138" s="422"/>
      <c r="DSO138" s="422"/>
      <c r="DSP138" s="422"/>
      <c r="DSQ138" s="422"/>
      <c r="DSR138" s="422"/>
      <c r="DSS138" s="422"/>
      <c r="DST138" s="422"/>
      <c r="DSU138" s="422"/>
      <c r="DSV138" s="422"/>
      <c r="DSW138" s="422"/>
      <c r="DSX138" s="422"/>
      <c r="DSY138" s="422"/>
      <c r="DSZ138" s="422"/>
      <c r="DTA138" s="422"/>
      <c r="DTB138" s="422"/>
      <c r="DTC138" s="422"/>
      <c r="DTD138" s="422"/>
      <c r="DTE138" s="422"/>
      <c r="DTF138" s="422"/>
      <c r="DTG138" s="422"/>
      <c r="DTH138" s="422"/>
      <c r="DTI138" s="422"/>
      <c r="DTJ138" s="422"/>
      <c r="DTK138" s="422"/>
      <c r="DTL138" s="422"/>
      <c r="DTM138" s="422"/>
      <c r="DTN138" s="422"/>
      <c r="DTO138" s="422"/>
      <c r="DTP138" s="422"/>
      <c r="DTQ138" s="422"/>
      <c r="DTR138" s="422"/>
      <c r="DTS138" s="422"/>
      <c r="DTT138" s="422"/>
      <c r="DTU138" s="422"/>
      <c r="DTV138" s="422"/>
      <c r="DTW138" s="422"/>
      <c r="DTX138" s="422"/>
      <c r="DTY138" s="422"/>
      <c r="DTZ138" s="422"/>
      <c r="DUA138" s="422"/>
      <c r="DUB138" s="422"/>
      <c r="DUC138" s="422"/>
      <c r="DUD138" s="422"/>
      <c r="DUE138" s="422"/>
      <c r="DUF138" s="422"/>
      <c r="DUG138" s="422"/>
      <c r="DUH138" s="422"/>
      <c r="DUI138" s="422"/>
      <c r="DUJ138" s="422"/>
      <c r="DUK138" s="422"/>
      <c r="DUL138" s="422"/>
      <c r="DUM138" s="422"/>
      <c r="DUN138" s="422"/>
      <c r="DUO138" s="422"/>
      <c r="DUP138" s="422"/>
      <c r="DUQ138" s="422"/>
      <c r="DUR138" s="422"/>
      <c r="DUS138" s="422"/>
      <c r="DUT138" s="422"/>
      <c r="DUU138" s="422"/>
      <c r="DUV138" s="422"/>
      <c r="DUW138" s="422"/>
      <c r="DUX138" s="422"/>
      <c r="DUY138" s="422"/>
      <c r="DUZ138" s="422"/>
      <c r="DVA138" s="422"/>
      <c r="DVB138" s="422"/>
      <c r="DVC138" s="422"/>
      <c r="DVD138" s="422"/>
      <c r="DVE138" s="422"/>
      <c r="DVF138" s="422"/>
      <c r="DVG138" s="422"/>
      <c r="DVH138" s="422"/>
      <c r="DVI138" s="422"/>
      <c r="DVJ138" s="422"/>
      <c r="DVK138" s="422"/>
      <c r="DVL138" s="422"/>
      <c r="DVM138" s="422"/>
      <c r="DVN138" s="422"/>
      <c r="DVO138" s="422"/>
      <c r="DVP138" s="422"/>
      <c r="DVQ138" s="422"/>
      <c r="DVR138" s="422"/>
      <c r="DVS138" s="422"/>
      <c r="DVT138" s="422"/>
      <c r="DVU138" s="422"/>
      <c r="DVV138" s="422"/>
      <c r="DVW138" s="422"/>
      <c r="DVX138" s="422"/>
      <c r="DVY138" s="422"/>
      <c r="DVZ138" s="422"/>
      <c r="DWA138" s="422"/>
      <c r="DWB138" s="422"/>
      <c r="DWC138" s="422"/>
      <c r="DWD138" s="422"/>
      <c r="DWE138" s="422"/>
      <c r="DWF138" s="422"/>
      <c r="DWG138" s="422"/>
      <c r="DWH138" s="422"/>
      <c r="DWI138" s="422"/>
      <c r="DWJ138" s="422"/>
      <c r="DWK138" s="422"/>
      <c r="DWL138" s="422"/>
      <c r="DWM138" s="422"/>
      <c r="DWN138" s="422"/>
      <c r="DWO138" s="422"/>
      <c r="DWP138" s="422"/>
      <c r="DWQ138" s="422"/>
      <c r="DWR138" s="422"/>
      <c r="DWS138" s="422"/>
      <c r="DWT138" s="422"/>
      <c r="DWU138" s="422"/>
      <c r="DWV138" s="422"/>
      <c r="DWW138" s="422"/>
      <c r="DWX138" s="422"/>
      <c r="DWY138" s="422"/>
      <c r="DWZ138" s="422"/>
      <c r="DXA138" s="422"/>
      <c r="DXB138" s="422"/>
      <c r="DXC138" s="422"/>
      <c r="DXD138" s="422"/>
      <c r="DXE138" s="422"/>
      <c r="DXF138" s="422"/>
      <c r="DXG138" s="422"/>
      <c r="DXH138" s="422"/>
      <c r="DXI138" s="422"/>
      <c r="DXJ138" s="422"/>
      <c r="DXK138" s="422"/>
      <c r="DXL138" s="422"/>
      <c r="DXM138" s="422"/>
      <c r="DXN138" s="422"/>
      <c r="DXO138" s="422"/>
      <c r="DXP138" s="422"/>
      <c r="DXQ138" s="422"/>
      <c r="DXR138" s="422"/>
      <c r="DXS138" s="422"/>
      <c r="DXT138" s="422"/>
      <c r="DXU138" s="422"/>
      <c r="DXV138" s="422"/>
      <c r="DXW138" s="422"/>
      <c r="DXX138" s="422"/>
      <c r="DXY138" s="422"/>
      <c r="DXZ138" s="422"/>
      <c r="DYA138" s="422"/>
      <c r="DYB138" s="422"/>
      <c r="DYC138" s="422"/>
      <c r="DYD138" s="422"/>
      <c r="DYE138" s="422"/>
      <c r="DYF138" s="422"/>
      <c r="DYG138" s="422"/>
      <c r="DYH138" s="422"/>
      <c r="DYI138" s="422"/>
      <c r="DYJ138" s="422"/>
      <c r="DYK138" s="422"/>
      <c r="DYL138" s="422"/>
      <c r="DYM138" s="422"/>
      <c r="DYN138" s="422"/>
      <c r="DYO138" s="422"/>
      <c r="DYP138" s="422"/>
      <c r="DYQ138" s="422"/>
      <c r="DYR138" s="422"/>
      <c r="DYS138" s="422"/>
      <c r="DYT138" s="422"/>
      <c r="DYU138" s="422"/>
      <c r="DYV138" s="422"/>
      <c r="DYW138" s="422"/>
      <c r="DYX138" s="422"/>
      <c r="DYY138" s="422"/>
      <c r="DYZ138" s="422"/>
      <c r="DZA138" s="422"/>
      <c r="DZB138" s="422"/>
      <c r="DZC138" s="422"/>
      <c r="DZD138" s="422"/>
      <c r="DZE138" s="422"/>
      <c r="DZF138" s="422"/>
      <c r="DZG138" s="422"/>
      <c r="DZH138" s="422"/>
      <c r="DZI138" s="422"/>
      <c r="DZJ138" s="422"/>
      <c r="DZK138" s="422"/>
      <c r="DZL138" s="422"/>
      <c r="DZM138" s="422"/>
      <c r="DZN138" s="422"/>
      <c r="DZO138" s="422"/>
      <c r="DZP138" s="422"/>
      <c r="DZQ138" s="422"/>
      <c r="DZR138" s="422"/>
      <c r="DZS138" s="422"/>
      <c r="DZT138" s="422"/>
      <c r="DZU138" s="422"/>
      <c r="DZV138" s="422"/>
      <c r="DZW138" s="422"/>
      <c r="DZX138" s="422"/>
      <c r="DZY138" s="422"/>
      <c r="DZZ138" s="422"/>
      <c r="EAA138" s="422"/>
      <c r="EAB138" s="422"/>
      <c r="EAC138" s="422"/>
      <c r="EAD138" s="422"/>
      <c r="EAE138" s="422"/>
      <c r="EAF138" s="422"/>
      <c r="EAG138" s="422"/>
      <c r="EAH138" s="422"/>
      <c r="EAI138" s="422"/>
      <c r="EAJ138" s="422"/>
      <c r="EAK138" s="422"/>
      <c r="EAL138" s="422"/>
      <c r="EAM138" s="422"/>
      <c r="EAN138" s="422"/>
      <c r="EAO138" s="422"/>
      <c r="EAP138" s="422"/>
      <c r="EAQ138" s="422"/>
      <c r="EAR138" s="422"/>
      <c r="EAS138" s="422"/>
      <c r="EAT138" s="422"/>
      <c r="EAU138" s="422"/>
      <c r="EAV138" s="422"/>
      <c r="EAW138" s="422"/>
      <c r="EAX138" s="422"/>
      <c r="EAY138" s="422"/>
      <c r="EAZ138" s="422"/>
      <c r="EBA138" s="422"/>
      <c r="EBB138" s="422"/>
      <c r="EBC138" s="422"/>
      <c r="EBD138" s="422"/>
      <c r="EBE138" s="422"/>
      <c r="EBF138" s="422"/>
      <c r="EBG138" s="422"/>
      <c r="EBH138" s="422"/>
      <c r="EBI138" s="422"/>
      <c r="EBJ138" s="422"/>
      <c r="EBK138" s="422"/>
      <c r="EBL138" s="422"/>
      <c r="EBM138" s="422"/>
      <c r="EBN138" s="422"/>
      <c r="EBO138" s="422"/>
      <c r="EBP138" s="422"/>
      <c r="EBQ138" s="422"/>
      <c r="EBR138" s="422"/>
      <c r="EBS138" s="422"/>
      <c r="EBT138" s="422"/>
      <c r="EBU138" s="422"/>
      <c r="EBV138" s="422"/>
      <c r="EBW138" s="422"/>
      <c r="EBX138" s="422"/>
      <c r="EBY138" s="422"/>
      <c r="EBZ138" s="422"/>
      <c r="ECA138" s="422"/>
      <c r="ECB138" s="422"/>
      <c r="ECC138" s="422"/>
      <c r="ECD138" s="422"/>
      <c r="ECE138" s="422"/>
      <c r="ECF138" s="422"/>
      <c r="ECG138" s="422"/>
      <c r="ECH138" s="422"/>
      <c r="ECI138" s="422"/>
      <c r="ECJ138" s="422"/>
      <c r="ECK138" s="422"/>
      <c r="ECL138" s="422"/>
      <c r="ECM138" s="422"/>
      <c r="ECN138" s="422"/>
      <c r="ECO138" s="422"/>
      <c r="ECP138" s="422"/>
      <c r="ECQ138" s="422"/>
      <c r="ECR138" s="422"/>
      <c r="ECS138" s="422"/>
      <c r="ECT138" s="422"/>
      <c r="ECU138" s="422"/>
      <c r="ECV138" s="422"/>
      <c r="ECW138" s="422"/>
      <c r="ECX138" s="422"/>
      <c r="ECY138" s="422"/>
      <c r="ECZ138" s="422"/>
      <c r="EDA138" s="422"/>
      <c r="EDB138" s="422"/>
      <c r="EDC138" s="422"/>
      <c r="EDD138" s="422"/>
      <c r="EDE138" s="422"/>
      <c r="EDF138" s="422"/>
      <c r="EDG138" s="422"/>
      <c r="EDH138" s="422"/>
      <c r="EDI138" s="422"/>
      <c r="EDJ138" s="422"/>
      <c r="EDK138" s="422"/>
      <c r="EDL138" s="422"/>
      <c r="EDM138" s="422"/>
      <c r="EDN138" s="422"/>
      <c r="EDO138" s="422"/>
      <c r="EDP138" s="422"/>
      <c r="EDQ138" s="422"/>
      <c r="EDR138" s="422"/>
      <c r="EDS138" s="422"/>
      <c r="EDT138" s="422"/>
      <c r="EDU138" s="422"/>
      <c r="EDV138" s="422"/>
      <c r="EDW138" s="422"/>
      <c r="EDX138" s="422"/>
      <c r="EDY138" s="422"/>
      <c r="EDZ138" s="422"/>
      <c r="EEA138" s="422"/>
      <c r="EEB138" s="422"/>
      <c r="EEC138" s="422"/>
      <c r="EED138" s="422"/>
      <c r="EEE138" s="422"/>
      <c r="EEF138" s="422"/>
      <c r="EEG138" s="422"/>
      <c r="EEH138" s="422"/>
      <c r="EEI138" s="422"/>
      <c r="EEJ138" s="422"/>
      <c r="EEK138" s="422"/>
      <c r="EEL138" s="422"/>
      <c r="EEM138" s="422"/>
      <c r="EEN138" s="422"/>
      <c r="EEO138" s="422"/>
      <c r="EEP138" s="422"/>
      <c r="EEQ138" s="422"/>
      <c r="EER138" s="422"/>
      <c r="EES138" s="422"/>
      <c r="EET138" s="422"/>
      <c r="EEU138" s="422"/>
      <c r="EEV138" s="422"/>
      <c r="EEW138" s="422"/>
      <c r="EEX138" s="422"/>
      <c r="EEY138" s="422"/>
      <c r="EEZ138" s="422"/>
      <c r="EFA138" s="422"/>
      <c r="EFB138" s="422"/>
      <c r="EFC138" s="422"/>
      <c r="EFD138" s="422"/>
      <c r="EFE138" s="422"/>
      <c r="EFF138" s="422"/>
      <c r="EFG138" s="422"/>
      <c r="EFH138" s="422"/>
      <c r="EFI138" s="422"/>
      <c r="EFJ138" s="422"/>
      <c r="EFK138" s="422"/>
      <c r="EFL138" s="422"/>
      <c r="EFM138" s="422"/>
      <c r="EFN138" s="422"/>
      <c r="EFO138" s="422"/>
      <c r="EFP138" s="422"/>
      <c r="EFQ138" s="422"/>
      <c r="EFR138" s="422"/>
      <c r="EFS138" s="422"/>
      <c r="EFT138" s="422"/>
      <c r="EFU138" s="422"/>
      <c r="EFV138" s="422"/>
      <c r="EFW138" s="422"/>
      <c r="EFX138" s="422"/>
      <c r="EFY138" s="422"/>
      <c r="EFZ138" s="422"/>
      <c r="EGA138" s="422"/>
      <c r="EGB138" s="422"/>
      <c r="EGC138" s="422"/>
      <c r="EGD138" s="422"/>
      <c r="EGE138" s="422"/>
      <c r="EGF138" s="422"/>
      <c r="EGG138" s="422"/>
      <c r="EGH138" s="422"/>
      <c r="EGI138" s="422"/>
      <c r="EGJ138" s="422"/>
      <c r="EGK138" s="422"/>
      <c r="EGL138" s="422"/>
      <c r="EGM138" s="422"/>
      <c r="EGN138" s="422"/>
      <c r="EGO138" s="422"/>
      <c r="EGP138" s="422"/>
      <c r="EGQ138" s="422"/>
      <c r="EGR138" s="422"/>
      <c r="EGS138" s="422"/>
      <c r="EGT138" s="422"/>
      <c r="EGU138" s="422"/>
      <c r="EGV138" s="422"/>
      <c r="EGW138" s="422"/>
      <c r="EGX138" s="422"/>
      <c r="EGY138" s="422"/>
      <c r="EGZ138" s="422"/>
      <c r="EHA138" s="422"/>
      <c r="EHB138" s="422"/>
      <c r="EHC138" s="422"/>
      <c r="EHD138" s="422"/>
      <c r="EHE138" s="422"/>
      <c r="EHF138" s="422"/>
      <c r="EHG138" s="422"/>
      <c r="EHH138" s="422"/>
      <c r="EHI138" s="422"/>
      <c r="EHJ138" s="422"/>
      <c r="EHK138" s="422"/>
      <c r="EHL138" s="422"/>
      <c r="EHM138" s="422"/>
      <c r="EHN138" s="422"/>
      <c r="EHO138" s="422"/>
      <c r="EHP138" s="422"/>
      <c r="EHQ138" s="422"/>
      <c r="EHR138" s="422"/>
      <c r="EHS138" s="422"/>
      <c r="EHT138" s="422"/>
      <c r="EHU138" s="422"/>
      <c r="EHV138" s="422"/>
      <c r="EHW138" s="422"/>
      <c r="EHX138" s="422"/>
      <c r="EHY138" s="422"/>
      <c r="EHZ138" s="422"/>
      <c r="EIA138" s="422"/>
      <c r="EIB138" s="422"/>
      <c r="EIC138" s="422"/>
      <c r="EID138" s="422"/>
      <c r="EIE138" s="422"/>
      <c r="EIF138" s="422"/>
      <c r="EIG138" s="422"/>
      <c r="EIH138" s="422"/>
      <c r="EII138" s="422"/>
      <c r="EIJ138" s="422"/>
      <c r="EIK138" s="422"/>
      <c r="EIL138" s="422"/>
      <c r="EIM138" s="422"/>
      <c r="EIN138" s="422"/>
      <c r="EIO138" s="422"/>
      <c r="EIP138" s="422"/>
      <c r="EIQ138" s="422"/>
      <c r="EIR138" s="422"/>
      <c r="EIS138" s="422"/>
      <c r="EIT138" s="422"/>
      <c r="EIU138" s="422"/>
      <c r="EIV138" s="422"/>
      <c r="EIW138" s="422"/>
      <c r="EIX138" s="422"/>
      <c r="EIY138" s="422"/>
      <c r="EIZ138" s="422"/>
      <c r="EJA138" s="422"/>
      <c r="EJB138" s="422"/>
      <c r="EJC138" s="422"/>
      <c r="EJD138" s="422"/>
      <c r="EJE138" s="422"/>
      <c r="EJF138" s="422"/>
      <c r="EJG138" s="422"/>
      <c r="EJH138" s="422"/>
      <c r="EJI138" s="422"/>
      <c r="EJJ138" s="422"/>
      <c r="EJK138" s="422"/>
      <c r="EJL138" s="422"/>
      <c r="EJM138" s="422"/>
      <c r="EJN138" s="422"/>
      <c r="EJO138" s="422"/>
      <c r="EJP138" s="422"/>
      <c r="EJQ138" s="422"/>
      <c r="EJR138" s="422"/>
      <c r="EJS138" s="422"/>
      <c r="EJT138" s="422"/>
      <c r="EJU138" s="422"/>
      <c r="EJV138" s="422"/>
      <c r="EJW138" s="422"/>
      <c r="EJX138" s="422"/>
      <c r="EJY138" s="422"/>
      <c r="EJZ138" s="422"/>
      <c r="EKA138" s="422"/>
      <c r="EKB138" s="422"/>
      <c r="EKC138" s="422"/>
      <c r="EKD138" s="422"/>
      <c r="EKE138" s="422"/>
      <c r="EKF138" s="422"/>
      <c r="EKG138" s="422"/>
      <c r="EKH138" s="422"/>
      <c r="EKI138" s="422"/>
      <c r="EKJ138" s="422"/>
      <c r="EKK138" s="422"/>
      <c r="EKL138" s="422"/>
      <c r="EKM138" s="422"/>
      <c r="EKN138" s="422"/>
      <c r="EKO138" s="422"/>
      <c r="EKP138" s="422"/>
      <c r="EKQ138" s="422"/>
      <c r="EKR138" s="422"/>
      <c r="EKS138" s="422"/>
      <c r="EKT138" s="422"/>
      <c r="EKU138" s="422"/>
      <c r="EKV138" s="422"/>
      <c r="EKW138" s="422"/>
      <c r="EKX138" s="422"/>
      <c r="EKY138" s="422"/>
      <c r="EKZ138" s="422"/>
      <c r="ELA138" s="422"/>
      <c r="ELB138" s="422"/>
      <c r="ELC138" s="422"/>
      <c r="ELD138" s="422"/>
      <c r="ELE138" s="422"/>
      <c r="ELF138" s="422"/>
      <c r="ELG138" s="422"/>
      <c r="ELH138" s="422"/>
      <c r="ELI138" s="422"/>
      <c r="ELJ138" s="422"/>
      <c r="ELK138" s="422"/>
      <c r="ELL138" s="422"/>
      <c r="ELM138" s="422"/>
      <c r="ELN138" s="422"/>
      <c r="ELO138" s="422"/>
      <c r="ELP138" s="422"/>
      <c r="ELQ138" s="422"/>
      <c r="ELR138" s="422"/>
      <c r="ELS138" s="422"/>
      <c r="ELT138" s="422"/>
      <c r="ELU138" s="422"/>
      <c r="ELV138" s="422"/>
      <c r="ELW138" s="422"/>
      <c r="ELX138" s="422"/>
      <c r="ELY138" s="422"/>
      <c r="ELZ138" s="422"/>
      <c r="EMA138" s="422"/>
      <c r="EMB138" s="422"/>
      <c r="EMC138" s="422"/>
      <c r="EMD138" s="422"/>
      <c r="EME138" s="422"/>
      <c r="EMF138" s="422"/>
      <c r="EMG138" s="422"/>
      <c r="EMH138" s="422"/>
      <c r="EMI138" s="422"/>
      <c r="EMJ138" s="422"/>
      <c r="EMK138" s="422"/>
      <c r="EML138" s="422"/>
      <c r="EMM138" s="422"/>
      <c r="EMN138" s="422"/>
      <c r="EMO138" s="422"/>
      <c r="EMP138" s="422"/>
      <c r="EMQ138" s="422"/>
      <c r="EMR138" s="422"/>
      <c r="EMS138" s="422"/>
      <c r="EMT138" s="422"/>
      <c r="EMU138" s="422"/>
      <c r="EMV138" s="422"/>
      <c r="EMW138" s="422"/>
      <c r="EMX138" s="422"/>
      <c r="EMY138" s="422"/>
      <c r="EMZ138" s="422"/>
      <c r="ENA138" s="422"/>
      <c r="ENB138" s="422"/>
      <c r="ENC138" s="422"/>
      <c r="END138" s="422"/>
      <c r="ENE138" s="422"/>
      <c r="ENF138" s="422"/>
      <c r="ENG138" s="422"/>
      <c r="ENH138" s="422"/>
      <c r="ENI138" s="422"/>
      <c r="ENJ138" s="422"/>
      <c r="ENK138" s="422"/>
      <c r="ENL138" s="422"/>
      <c r="ENM138" s="422"/>
      <c r="ENN138" s="422"/>
      <c r="ENO138" s="422"/>
      <c r="ENP138" s="422"/>
      <c r="ENQ138" s="422"/>
      <c r="ENR138" s="422"/>
      <c r="ENS138" s="422"/>
      <c r="ENT138" s="422"/>
      <c r="ENU138" s="422"/>
      <c r="ENV138" s="422"/>
      <c r="ENW138" s="422"/>
      <c r="ENX138" s="422"/>
      <c r="ENY138" s="422"/>
      <c r="ENZ138" s="422"/>
      <c r="EOA138" s="422"/>
      <c r="EOB138" s="422"/>
      <c r="EOC138" s="422"/>
      <c r="EOD138" s="422"/>
      <c r="EOE138" s="422"/>
      <c r="EOF138" s="422"/>
      <c r="EOG138" s="422"/>
      <c r="EOH138" s="422"/>
      <c r="EOI138" s="422"/>
      <c r="EOJ138" s="422"/>
      <c r="EOK138" s="422"/>
      <c r="EOL138" s="422"/>
      <c r="EOM138" s="422"/>
      <c r="EON138" s="422"/>
      <c r="EOO138" s="422"/>
      <c r="EOP138" s="422"/>
      <c r="EOQ138" s="422"/>
      <c r="EOR138" s="422"/>
      <c r="EOS138" s="422"/>
      <c r="EOT138" s="422"/>
      <c r="EOU138" s="422"/>
      <c r="EOV138" s="422"/>
      <c r="EOW138" s="422"/>
      <c r="EOX138" s="422"/>
      <c r="EOY138" s="422"/>
      <c r="EOZ138" s="422"/>
      <c r="EPA138" s="422"/>
      <c r="EPB138" s="422"/>
      <c r="EPC138" s="422"/>
      <c r="EPD138" s="422"/>
      <c r="EPE138" s="422"/>
      <c r="EPF138" s="422"/>
      <c r="EPG138" s="422"/>
      <c r="EPH138" s="422"/>
      <c r="EPI138" s="422"/>
      <c r="EPJ138" s="422"/>
      <c r="EPK138" s="422"/>
      <c r="EPL138" s="422"/>
      <c r="EPM138" s="422"/>
      <c r="EPN138" s="422"/>
      <c r="EPO138" s="422"/>
      <c r="EPP138" s="422"/>
      <c r="EPQ138" s="422"/>
      <c r="EPR138" s="422"/>
      <c r="EPS138" s="422"/>
      <c r="EPT138" s="422"/>
      <c r="EPU138" s="422"/>
      <c r="EPV138" s="422"/>
      <c r="EPW138" s="422"/>
      <c r="EPX138" s="422"/>
      <c r="EPY138" s="422"/>
      <c r="EPZ138" s="422"/>
      <c r="EQA138" s="422"/>
      <c r="EQB138" s="422"/>
      <c r="EQC138" s="422"/>
      <c r="EQD138" s="422"/>
      <c r="EQE138" s="422"/>
      <c r="EQF138" s="422"/>
      <c r="EQG138" s="422"/>
      <c r="EQH138" s="422"/>
      <c r="EQI138" s="422"/>
      <c r="EQJ138" s="422"/>
      <c r="EQK138" s="422"/>
      <c r="EQL138" s="422"/>
      <c r="EQM138" s="422"/>
      <c r="EQN138" s="422"/>
      <c r="EQO138" s="422"/>
      <c r="EQP138" s="422"/>
      <c r="EQQ138" s="422"/>
      <c r="EQR138" s="422"/>
      <c r="EQS138" s="422"/>
      <c r="EQT138" s="422"/>
      <c r="EQU138" s="422"/>
      <c r="EQV138" s="422"/>
      <c r="EQW138" s="422"/>
      <c r="EQX138" s="422"/>
      <c r="EQY138" s="422"/>
      <c r="EQZ138" s="422"/>
      <c r="ERA138" s="422"/>
      <c r="ERB138" s="422"/>
      <c r="ERC138" s="422"/>
      <c r="ERD138" s="422"/>
      <c r="ERE138" s="422"/>
      <c r="ERF138" s="422"/>
      <c r="ERG138" s="422"/>
      <c r="ERH138" s="422"/>
      <c r="ERI138" s="422"/>
      <c r="ERJ138" s="422"/>
      <c r="ERK138" s="422"/>
      <c r="ERL138" s="422"/>
      <c r="ERM138" s="422"/>
      <c r="ERN138" s="422"/>
      <c r="ERO138" s="422"/>
      <c r="ERP138" s="422"/>
      <c r="ERQ138" s="422"/>
      <c r="ERR138" s="422"/>
      <c r="ERS138" s="422"/>
      <c r="ERT138" s="422"/>
      <c r="ERU138" s="422"/>
      <c r="ERV138" s="422"/>
      <c r="ERW138" s="422"/>
      <c r="ERX138" s="422"/>
      <c r="ERY138" s="422"/>
      <c r="ERZ138" s="422"/>
      <c r="ESA138" s="422"/>
      <c r="ESB138" s="422"/>
      <c r="ESC138" s="422"/>
      <c r="ESD138" s="422"/>
      <c r="ESE138" s="422"/>
      <c r="ESF138" s="422"/>
      <c r="ESG138" s="422"/>
      <c r="ESH138" s="422"/>
      <c r="ESI138" s="422"/>
      <c r="ESJ138" s="422"/>
      <c r="ESK138" s="422"/>
      <c r="ESL138" s="422"/>
      <c r="ESM138" s="422"/>
      <c r="ESN138" s="422"/>
      <c r="ESO138" s="422"/>
      <c r="ESP138" s="422"/>
      <c r="ESQ138" s="422"/>
      <c r="ESR138" s="422"/>
      <c r="ESS138" s="422"/>
      <c r="EST138" s="422"/>
      <c r="ESU138" s="422"/>
      <c r="ESV138" s="422"/>
      <c r="ESW138" s="422"/>
      <c r="ESX138" s="422"/>
      <c r="ESY138" s="422"/>
      <c r="ESZ138" s="422"/>
      <c r="ETA138" s="422"/>
      <c r="ETB138" s="422"/>
      <c r="ETC138" s="422"/>
      <c r="ETD138" s="422"/>
      <c r="ETE138" s="422"/>
      <c r="ETF138" s="422"/>
      <c r="ETG138" s="422"/>
      <c r="ETH138" s="422"/>
      <c r="ETI138" s="422"/>
      <c r="ETJ138" s="422"/>
      <c r="ETK138" s="422"/>
      <c r="ETL138" s="422"/>
      <c r="ETM138" s="422"/>
      <c r="ETN138" s="422"/>
      <c r="ETO138" s="422"/>
      <c r="ETP138" s="422"/>
      <c r="ETQ138" s="422"/>
      <c r="ETR138" s="422"/>
      <c r="ETS138" s="422"/>
      <c r="ETT138" s="422"/>
      <c r="ETU138" s="422"/>
      <c r="ETV138" s="422"/>
      <c r="ETW138" s="422"/>
      <c r="ETX138" s="422"/>
      <c r="ETY138" s="422"/>
      <c r="ETZ138" s="422"/>
      <c r="EUA138" s="422"/>
      <c r="EUB138" s="422"/>
      <c r="EUC138" s="422"/>
      <c r="EUD138" s="422"/>
      <c r="EUE138" s="422"/>
      <c r="EUF138" s="422"/>
      <c r="EUG138" s="422"/>
      <c r="EUH138" s="422"/>
      <c r="EUI138" s="422"/>
      <c r="EUJ138" s="422"/>
      <c r="EUK138" s="422"/>
      <c r="EUL138" s="422"/>
      <c r="EUM138" s="422"/>
      <c r="EUN138" s="422"/>
      <c r="EUO138" s="422"/>
      <c r="EUP138" s="422"/>
      <c r="EUQ138" s="422"/>
      <c r="EUR138" s="422"/>
      <c r="EUS138" s="422"/>
      <c r="EUT138" s="422"/>
      <c r="EUU138" s="422"/>
      <c r="EUV138" s="422"/>
      <c r="EUW138" s="422"/>
      <c r="EUX138" s="422"/>
      <c r="EUY138" s="422"/>
      <c r="EUZ138" s="422"/>
      <c r="EVA138" s="422"/>
      <c r="EVB138" s="422"/>
      <c r="EVC138" s="422"/>
      <c r="EVD138" s="422"/>
      <c r="EVE138" s="422"/>
      <c r="EVF138" s="422"/>
      <c r="EVG138" s="422"/>
      <c r="EVH138" s="422"/>
      <c r="EVI138" s="422"/>
      <c r="EVJ138" s="422"/>
      <c r="EVK138" s="422"/>
      <c r="EVL138" s="422"/>
      <c r="EVM138" s="422"/>
      <c r="EVN138" s="422"/>
      <c r="EVO138" s="422"/>
      <c r="EVP138" s="422"/>
      <c r="EVQ138" s="422"/>
      <c r="EVR138" s="422"/>
      <c r="EVS138" s="422"/>
      <c r="EVT138" s="422"/>
      <c r="EVU138" s="422"/>
      <c r="EVV138" s="422"/>
      <c r="EVW138" s="422"/>
      <c r="EVX138" s="422"/>
      <c r="EVY138" s="422"/>
      <c r="EVZ138" s="422"/>
      <c r="EWA138" s="422"/>
      <c r="EWB138" s="422"/>
      <c r="EWC138" s="422"/>
      <c r="EWD138" s="422"/>
      <c r="EWE138" s="422"/>
      <c r="EWF138" s="422"/>
      <c r="EWG138" s="422"/>
      <c r="EWH138" s="422"/>
      <c r="EWI138" s="422"/>
      <c r="EWJ138" s="422"/>
      <c r="EWK138" s="422"/>
      <c r="EWL138" s="422"/>
      <c r="EWM138" s="422"/>
      <c r="EWN138" s="422"/>
      <c r="EWO138" s="422"/>
      <c r="EWP138" s="422"/>
      <c r="EWQ138" s="422"/>
      <c r="EWR138" s="422"/>
      <c r="EWS138" s="422"/>
      <c r="EWT138" s="422"/>
      <c r="EWU138" s="422"/>
      <c r="EWV138" s="422"/>
      <c r="EWW138" s="422"/>
      <c r="EWX138" s="422"/>
      <c r="EWY138" s="422"/>
      <c r="EWZ138" s="422"/>
      <c r="EXA138" s="422"/>
      <c r="EXB138" s="422"/>
      <c r="EXC138" s="422"/>
      <c r="EXD138" s="422"/>
      <c r="EXE138" s="422"/>
      <c r="EXF138" s="422"/>
      <c r="EXG138" s="422"/>
      <c r="EXH138" s="422"/>
      <c r="EXI138" s="422"/>
      <c r="EXJ138" s="422"/>
      <c r="EXK138" s="422"/>
      <c r="EXL138" s="422"/>
      <c r="EXM138" s="422"/>
      <c r="EXN138" s="422"/>
      <c r="EXO138" s="422"/>
      <c r="EXP138" s="422"/>
      <c r="EXQ138" s="422"/>
      <c r="EXR138" s="422"/>
      <c r="EXS138" s="422"/>
      <c r="EXT138" s="422"/>
      <c r="EXU138" s="422"/>
      <c r="EXV138" s="422"/>
      <c r="EXW138" s="422"/>
      <c r="EXX138" s="422"/>
      <c r="EXY138" s="422"/>
      <c r="EXZ138" s="422"/>
      <c r="EYA138" s="422"/>
      <c r="EYB138" s="422"/>
      <c r="EYC138" s="422"/>
      <c r="EYD138" s="422"/>
      <c r="EYE138" s="422"/>
      <c r="EYF138" s="422"/>
      <c r="EYG138" s="422"/>
      <c r="EYH138" s="422"/>
      <c r="EYI138" s="422"/>
      <c r="EYJ138" s="422"/>
      <c r="EYK138" s="422"/>
      <c r="EYL138" s="422"/>
      <c r="EYM138" s="422"/>
      <c r="EYN138" s="422"/>
      <c r="EYO138" s="422"/>
      <c r="EYP138" s="422"/>
      <c r="EYQ138" s="422"/>
      <c r="EYR138" s="422"/>
      <c r="EYS138" s="422"/>
      <c r="EYT138" s="422"/>
      <c r="EYU138" s="422"/>
      <c r="EYV138" s="422"/>
      <c r="EYW138" s="422"/>
      <c r="EYX138" s="422"/>
      <c r="EYY138" s="422"/>
      <c r="EYZ138" s="422"/>
      <c r="EZA138" s="422"/>
      <c r="EZB138" s="422"/>
      <c r="EZC138" s="422"/>
      <c r="EZD138" s="422"/>
      <c r="EZE138" s="422"/>
      <c r="EZF138" s="422"/>
      <c r="EZG138" s="422"/>
      <c r="EZH138" s="422"/>
      <c r="EZI138" s="422"/>
      <c r="EZJ138" s="422"/>
      <c r="EZK138" s="422"/>
      <c r="EZL138" s="422"/>
      <c r="EZM138" s="422"/>
      <c r="EZN138" s="422"/>
      <c r="EZO138" s="422"/>
      <c r="EZP138" s="422"/>
      <c r="EZQ138" s="422"/>
      <c r="EZR138" s="422"/>
      <c r="EZS138" s="422"/>
      <c r="EZT138" s="422"/>
      <c r="EZU138" s="422"/>
      <c r="EZV138" s="422"/>
      <c r="EZW138" s="422"/>
      <c r="EZX138" s="422"/>
      <c r="EZY138" s="422"/>
      <c r="EZZ138" s="422"/>
      <c r="FAA138" s="422"/>
      <c r="FAB138" s="422"/>
      <c r="FAC138" s="422"/>
      <c r="FAD138" s="422"/>
      <c r="FAE138" s="422"/>
      <c r="FAF138" s="422"/>
      <c r="FAG138" s="422"/>
      <c r="FAH138" s="422"/>
      <c r="FAI138" s="422"/>
      <c r="FAJ138" s="422"/>
      <c r="FAK138" s="422"/>
      <c r="FAL138" s="422"/>
      <c r="FAM138" s="422"/>
      <c r="FAN138" s="422"/>
      <c r="FAO138" s="422"/>
      <c r="FAP138" s="422"/>
      <c r="FAQ138" s="422"/>
      <c r="FAR138" s="422"/>
      <c r="FAS138" s="422"/>
      <c r="FAT138" s="422"/>
      <c r="FAU138" s="422"/>
      <c r="FAV138" s="422"/>
      <c r="FAW138" s="422"/>
      <c r="FAX138" s="422"/>
      <c r="FAY138" s="422"/>
      <c r="FAZ138" s="422"/>
      <c r="FBA138" s="422"/>
      <c r="FBB138" s="422"/>
      <c r="FBC138" s="422"/>
      <c r="FBD138" s="422"/>
      <c r="FBE138" s="422"/>
      <c r="FBF138" s="422"/>
      <c r="FBG138" s="422"/>
      <c r="FBH138" s="422"/>
      <c r="FBI138" s="422"/>
      <c r="FBJ138" s="422"/>
      <c r="FBK138" s="422"/>
      <c r="FBL138" s="422"/>
      <c r="FBM138" s="422"/>
      <c r="FBN138" s="422"/>
      <c r="FBO138" s="422"/>
      <c r="FBP138" s="422"/>
      <c r="FBQ138" s="422"/>
      <c r="FBR138" s="422"/>
      <c r="FBS138" s="422"/>
      <c r="FBT138" s="422"/>
      <c r="FBU138" s="422"/>
      <c r="FBV138" s="422"/>
      <c r="FBW138" s="422"/>
      <c r="FBX138" s="422"/>
      <c r="FBY138" s="422"/>
      <c r="FBZ138" s="422"/>
      <c r="FCA138" s="422"/>
      <c r="FCB138" s="422"/>
      <c r="FCC138" s="422"/>
      <c r="FCD138" s="422"/>
      <c r="FCE138" s="422"/>
      <c r="FCF138" s="422"/>
      <c r="FCG138" s="422"/>
      <c r="FCH138" s="422"/>
      <c r="FCI138" s="422"/>
      <c r="FCJ138" s="422"/>
      <c r="FCK138" s="422"/>
      <c r="FCL138" s="422"/>
      <c r="FCM138" s="422"/>
      <c r="FCN138" s="422"/>
      <c r="FCO138" s="422"/>
      <c r="FCP138" s="422"/>
      <c r="FCQ138" s="422"/>
      <c r="FCR138" s="422"/>
      <c r="FCS138" s="422"/>
      <c r="FCT138" s="422"/>
      <c r="FCU138" s="422"/>
      <c r="FCV138" s="422"/>
      <c r="FCW138" s="422"/>
      <c r="FCX138" s="422"/>
      <c r="FCY138" s="422"/>
      <c r="FCZ138" s="422"/>
      <c r="FDA138" s="422"/>
      <c r="FDB138" s="422"/>
      <c r="FDC138" s="422"/>
      <c r="FDD138" s="422"/>
      <c r="FDE138" s="422"/>
      <c r="FDF138" s="422"/>
      <c r="FDG138" s="422"/>
      <c r="FDH138" s="422"/>
      <c r="FDI138" s="422"/>
      <c r="FDJ138" s="422"/>
      <c r="FDK138" s="422"/>
      <c r="FDL138" s="422"/>
      <c r="FDM138" s="422"/>
      <c r="FDN138" s="422"/>
      <c r="FDO138" s="422"/>
      <c r="FDP138" s="422"/>
      <c r="FDQ138" s="422"/>
      <c r="FDR138" s="422"/>
      <c r="FDS138" s="422"/>
      <c r="FDT138" s="422"/>
      <c r="FDU138" s="422"/>
      <c r="FDV138" s="422"/>
      <c r="FDW138" s="422"/>
      <c r="FDX138" s="422"/>
      <c r="FDY138" s="422"/>
      <c r="FDZ138" s="422"/>
      <c r="FEA138" s="422"/>
      <c r="FEB138" s="422"/>
      <c r="FEC138" s="422"/>
      <c r="FED138" s="422"/>
      <c r="FEE138" s="422"/>
      <c r="FEF138" s="422"/>
      <c r="FEG138" s="422"/>
      <c r="FEH138" s="422"/>
      <c r="FEI138" s="422"/>
      <c r="FEJ138" s="422"/>
      <c r="FEK138" s="422"/>
      <c r="FEL138" s="422"/>
      <c r="FEM138" s="422"/>
      <c r="FEN138" s="422"/>
      <c r="FEO138" s="422"/>
      <c r="FEP138" s="422"/>
      <c r="FEQ138" s="422"/>
      <c r="FER138" s="422"/>
      <c r="FES138" s="422"/>
      <c r="FET138" s="422"/>
      <c r="FEU138" s="422"/>
      <c r="FEV138" s="422"/>
      <c r="FEW138" s="422"/>
      <c r="FEX138" s="422"/>
      <c r="FEY138" s="422"/>
      <c r="FEZ138" s="422"/>
      <c r="FFA138" s="422"/>
      <c r="FFB138" s="422"/>
      <c r="FFC138" s="422"/>
      <c r="FFD138" s="422"/>
      <c r="FFE138" s="422"/>
      <c r="FFF138" s="422"/>
      <c r="FFG138" s="422"/>
      <c r="FFH138" s="422"/>
      <c r="FFI138" s="422"/>
      <c r="FFJ138" s="422"/>
      <c r="FFK138" s="422"/>
      <c r="FFL138" s="422"/>
      <c r="FFM138" s="422"/>
      <c r="FFN138" s="422"/>
      <c r="FFO138" s="422"/>
      <c r="FFP138" s="422"/>
      <c r="FFQ138" s="422"/>
      <c r="FFR138" s="422"/>
      <c r="FFS138" s="422"/>
      <c r="FFT138" s="422"/>
      <c r="FFU138" s="422"/>
      <c r="FFV138" s="422"/>
      <c r="FFW138" s="422"/>
      <c r="FFX138" s="422"/>
      <c r="FFY138" s="422"/>
      <c r="FFZ138" s="422"/>
      <c r="FGA138" s="422"/>
      <c r="FGB138" s="422"/>
      <c r="FGC138" s="422"/>
      <c r="FGD138" s="422"/>
      <c r="FGE138" s="422"/>
      <c r="FGF138" s="422"/>
      <c r="FGG138" s="422"/>
      <c r="FGH138" s="422"/>
      <c r="FGI138" s="422"/>
      <c r="FGJ138" s="422"/>
      <c r="FGK138" s="422"/>
      <c r="FGL138" s="422"/>
      <c r="FGM138" s="422"/>
      <c r="FGN138" s="422"/>
      <c r="FGO138" s="422"/>
      <c r="FGP138" s="422"/>
      <c r="FGQ138" s="422"/>
      <c r="FGR138" s="422"/>
      <c r="FGS138" s="422"/>
      <c r="FGT138" s="422"/>
      <c r="FGU138" s="422"/>
      <c r="FGV138" s="422"/>
      <c r="FGW138" s="422"/>
      <c r="FGX138" s="422"/>
      <c r="FGY138" s="422"/>
      <c r="FGZ138" s="422"/>
      <c r="FHA138" s="422"/>
      <c r="FHB138" s="422"/>
      <c r="FHC138" s="422"/>
      <c r="FHD138" s="422"/>
      <c r="FHE138" s="422"/>
      <c r="FHF138" s="422"/>
      <c r="FHG138" s="422"/>
      <c r="FHH138" s="422"/>
      <c r="FHI138" s="422"/>
      <c r="FHJ138" s="422"/>
      <c r="FHK138" s="422"/>
      <c r="FHL138" s="422"/>
      <c r="FHM138" s="422"/>
      <c r="FHN138" s="422"/>
      <c r="FHO138" s="422"/>
      <c r="FHP138" s="422"/>
      <c r="FHQ138" s="422"/>
      <c r="FHR138" s="422"/>
      <c r="FHS138" s="422"/>
      <c r="FHT138" s="422"/>
      <c r="FHU138" s="422"/>
      <c r="FHV138" s="422"/>
      <c r="FHW138" s="422"/>
      <c r="FHX138" s="422"/>
      <c r="FHY138" s="422"/>
      <c r="FHZ138" s="422"/>
      <c r="FIA138" s="422"/>
      <c r="FIB138" s="422"/>
      <c r="FIC138" s="422"/>
      <c r="FID138" s="422"/>
      <c r="FIE138" s="422"/>
      <c r="FIF138" s="422"/>
      <c r="FIG138" s="422"/>
      <c r="FIH138" s="422"/>
      <c r="FII138" s="422"/>
      <c r="FIJ138" s="422"/>
      <c r="FIK138" s="422"/>
      <c r="FIL138" s="422"/>
      <c r="FIM138" s="422"/>
      <c r="FIN138" s="422"/>
      <c r="FIO138" s="422"/>
      <c r="FIP138" s="422"/>
      <c r="FIQ138" s="422"/>
      <c r="FIR138" s="422"/>
      <c r="FIS138" s="422"/>
      <c r="FIT138" s="422"/>
      <c r="FIU138" s="422"/>
      <c r="FIV138" s="422"/>
      <c r="FIW138" s="422"/>
      <c r="FIX138" s="422"/>
      <c r="FIY138" s="422"/>
      <c r="FIZ138" s="422"/>
      <c r="FJA138" s="422"/>
      <c r="FJB138" s="422"/>
      <c r="FJC138" s="422"/>
      <c r="FJD138" s="422"/>
      <c r="FJE138" s="422"/>
      <c r="FJF138" s="422"/>
      <c r="FJG138" s="422"/>
      <c r="FJH138" s="422"/>
      <c r="FJI138" s="422"/>
      <c r="FJJ138" s="422"/>
      <c r="FJK138" s="422"/>
      <c r="FJL138" s="422"/>
      <c r="FJM138" s="422"/>
      <c r="FJN138" s="422"/>
      <c r="FJO138" s="422"/>
      <c r="FJP138" s="422"/>
      <c r="FJQ138" s="422"/>
      <c r="FJR138" s="422"/>
      <c r="FJS138" s="422"/>
      <c r="FJT138" s="422"/>
      <c r="FJU138" s="422"/>
      <c r="FJV138" s="422"/>
      <c r="FJW138" s="422"/>
      <c r="FJX138" s="422"/>
      <c r="FJY138" s="422"/>
      <c r="FJZ138" s="422"/>
      <c r="FKA138" s="422"/>
      <c r="FKB138" s="422"/>
      <c r="FKC138" s="422"/>
      <c r="FKD138" s="422"/>
      <c r="FKE138" s="422"/>
      <c r="FKF138" s="422"/>
      <c r="FKG138" s="422"/>
      <c r="FKH138" s="422"/>
      <c r="FKI138" s="422"/>
      <c r="FKJ138" s="422"/>
      <c r="FKK138" s="422"/>
      <c r="FKL138" s="422"/>
      <c r="FKM138" s="422"/>
      <c r="FKN138" s="422"/>
      <c r="FKO138" s="422"/>
      <c r="FKP138" s="422"/>
      <c r="FKQ138" s="422"/>
      <c r="FKR138" s="422"/>
      <c r="FKS138" s="422"/>
      <c r="FKT138" s="422"/>
      <c r="FKU138" s="422"/>
      <c r="FKV138" s="422"/>
      <c r="FKW138" s="422"/>
      <c r="FKX138" s="422"/>
      <c r="FKY138" s="422"/>
      <c r="FKZ138" s="422"/>
      <c r="FLA138" s="422"/>
      <c r="FLB138" s="422"/>
      <c r="FLC138" s="422"/>
      <c r="FLD138" s="422"/>
      <c r="FLE138" s="422"/>
      <c r="FLF138" s="422"/>
      <c r="FLG138" s="422"/>
      <c r="FLH138" s="422"/>
      <c r="FLI138" s="422"/>
      <c r="FLJ138" s="422"/>
      <c r="FLK138" s="422"/>
      <c r="FLL138" s="422"/>
      <c r="FLM138" s="422"/>
      <c r="FLN138" s="422"/>
      <c r="FLO138" s="422"/>
      <c r="FLP138" s="422"/>
      <c r="FLQ138" s="422"/>
      <c r="FLR138" s="422"/>
      <c r="FLS138" s="422"/>
      <c r="FLT138" s="422"/>
      <c r="FLU138" s="422"/>
      <c r="FLV138" s="422"/>
      <c r="FLW138" s="422"/>
      <c r="FLX138" s="422"/>
      <c r="FLY138" s="422"/>
      <c r="FLZ138" s="422"/>
      <c r="FMA138" s="422"/>
      <c r="FMB138" s="422"/>
      <c r="FMC138" s="422"/>
      <c r="FMD138" s="422"/>
      <c r="FME138" s="422"/>
      <c r="FMF138" s="422"/>
      <c r="FMG138" s="422"/>
      <c r="FMH138" s="422"/>
      <c r="FMI138" s="422"/>
      <c r="FMJ138" s="422"/>
      <c r="FMK138" s="422"/>
      <c r="FML138" s="422"/>
      <c r="FMM138" s="422"/>
      <c r="FMN138" s="422"/>
      <c r="FMO138" s="422"/>
      <c r="FMP138" s="422"/>
      <c r="FMQ138" s="422"/>
      <c r="FMR138" s="422"/>
      <c r="FMS138" s="422"/>
      <c r="FMT138" s="422"/>
      <c r="FMU138" s="422"/>
      <c r="FMV138" s="422"/>
      <c r="FMW138" s="422"/>
      <c r="FMX138" s="422"/>
      <c r="FMY138" s="422"/>
      <c r="FMZ138" s="422"/>
      <c r="FNA138" s="422"/>
      <c r="FNB138" s="422"/>
      <c r="FNC138" s="422"/>
      <c r="FND138" s="422"/>
      <c r="FNE138" s="422"/>
      <c r="FNF138" s="422"/>
      <c r="FNG138" s="422"/>
      <c r="FNH138" s="422"/>
      <c r="FNI138" s="422"/>
      <c r="FNJ138" s="422"/>
      <c r="FNK138" s="422"/>
      <c r="FNL138" s="422"/>
      <c r="FNM138" s="422"/>
      <c r="FNN138" s="422"/>
      <c r="FNO138" s="422"/>
      <c r="FNP138" s="422"/>
      <c r="FNQ138" s="422"/>
      <c r="FNR138" s="422"/>
      <c r="FNS138" s="422"/>
      <c r="FNT138" s="422"/>
      <c r="FNU138" s="422"/>
      <c r="FNV138" s="422"/>
      <c r="FNW138" s="422"/>
      <c r="FNX138" s="422"/>
      <c r="FNY138" s="422"/>
      <c r="FNZ138" s="422"/>
      <c r="FOA138" s="422"/>
      <c r="FOB138" s="422"/>
      <c r="FOC138" s="422"/>
      <c r="FOD138" s="422"/>
      <c r="FOE138" s="422"/>
      <c r="FOF138" s="422"/>
      <c r="FOG138" s="422"/>
      <c r="FOH138" s="422"/>
      <c r="FOI138" s="422"/>
      <c r="FOJ138" s="422"/>
      <c r="FOK138" s="422"/>
      <c r="FOL138" s="422"/>
      <c r="FOM138" s="422"/>
      <c r="FON138" s="422"/>
      <c r="FOO138" s="422"/>
      <c r="FOP138" s="422"/>
      <c r="FOQ138" s="422"/>
      <c r="FOR138" s="422"/>
      <c r="FOS138" s="422"/>
      <c r="FOT138" s="422"/>
      <c r="FOU138" s="422"/>
      <c r="FOV138" s="422"/>
      <c r="FOW138" s="422"/>
      <c r="FOX138" s="422"/>
      <c r="FOY138" s="422"/>
      <c r="FOZ138" s="422"/>
      <c r="FPA138" s="422"/>
      <c r="FPB138" s="422"/>
      <c r="FPC138" s="422"/>
      <c r="FPD138" s="422"/>
      <c r="FPE138" s="422"/>
      <c r="FPF138" s="422"/>
      <c r="FPG138" s="422"/>
      <c r="FPH138" s="422"/>
      <c r="FPI138" s="422"/>
      <c r="FPJ138" s="422"/>
      <c r="FPK138" s="422"/>
      <c r="FPL138" s="422"/>
      <c r="FPM138" s="422"/>
      <c r="FPN138" s="422"/>
      <c r="FPO138" s="422"/>
      <c r="FPP138" s="422"/>
      <c r="FPQ138" s="422"/>
      <c r="FPR138" s="422"/>
      <c r="FPS138" s="422"/>
      <c r="FPT138" s="422"/>
      <c r="FPU138" s="422"/>
      <c r="FPV138" s="422"/>
      <c r="FPW138" s="422"/>
      <c r="FPX138" s="422"/>
      <c r="FPY138" s="422"/>
      <c r="FPZ138" s="422"/>
      <c r="FQA138" s="422"/>
      <c r="FQB138" s="422"/>
      <c r="FQC138" s="422"/>
      <c r="FQD138" s="422"/>
      <c r="FQE138" s="422"/>
      <c r="FQF138" s="422"/>
      <c r="FQG138" s="422"/>
      <c r="FQH138" s="422"/>
      <c r="FQI138" s="422"/>
      <c r="FQJ138" s="422"/>
      <c r="FQK138" s="422"/>
      <c r="FQL138" s="422"/>
      <c r="FQM138" s="422"/>
      <c r="FQN138" s="422"/>
      <c r="FQO138" s="422"/>
      <c r="FQP138" s="422"/>
      <c r="FQQ138" s="422"/>
      <c r="FQR138" s="422"/>
      <c r="FQS138" s="422"/>
      <c r="FQT138" s="422"/>
      <c r="FQU138" s="422"/>
      <c r="FQV138" s="422"/>
      <c r="FQW138" s="422"/>
      <c r="FQX138" s="422"/>
      <c r="FQY138" s="422"/>
      <c r="FQZ138" s="422"/>
      <c r="FRA138" s="422"/>
      <c r="FRB138" s="422"/>
      <c r="FRC138" s="422"/>
      <c r="FRD138" s="422"/>
      <c r="FRE138" s="422"/>
      <c r="FRF138" s="422"/>
      <c r="FRG138" s="422"/>
      <c r="FRH138" s="422"/>
      <c r="FRI138" s="422"/>
      <c r="FRJ138" s="422"/>
      <c r="FRK138" s="422"/>
      <c r="FRL138" s="422"/>
      <c r="FRM138" s="422"/>
      <c r="FRN138" s="422"/>
      <c r="FRO138" s="422"/>
      <c r="FRP138" s="422"/>
      <c r="FRQ138" s="422"/>
      <c r="FRR138" s="422"/>
      <c r="FRS138" s="422"/>
      <c r="FRT138" s="422"/>
      <c r="FRU138" s="422"/>
      <c r="FRV138" s="422"/>
      <c r="FRW138" s="422"/>
      <c r="FRX138" s="422"/>
      <c r="FRY138" s="422"/>
      <c r="FRZ138" s="422"/>
      <c r="FSA138" s="422"/>
      <c r="FSB138" s="422"/>
      <c r="FSC138" s="422"/>
      <c r="FSD138" s="422"/>
      <c r="FSE138" s="422"/>
      <c r="FSF138" s="422"/>
      <c r="FSG138" s="422"/>
      <c r="FSH138" s="422"/>
      <c r="FSI138" s="422"/>
      <c r="FSJ138" s="422"/>
      <c r="FSK138" s="422"/>
      <c r="FSL138" s="422"/>
      <c r="FSM138" s="422"/>
      <c r="FSN138" s="422"/>
      <c r="FSO138" s="422"/>
      <c r="FSP138" s="422"/>
      <c r="FSQ138" s="422"/>
      <c r="FSR138" s="422"/>
      <c r="FSS138" s="422"/>
      <c r="FST138" s="422"/>
      <c r="FSU138" s="422"/>
      <c r="FSV138" s="422"/>
      <c r="FSW138" s="422"/>
      <c r="FSX138" s="422"/>
      <c r="FSY138" s="422"/>
      <c r="FSZ138" s="422"/>
      <c r="FTA138" s="422"/>
      <c r="FTB138" s="422"/>
      <c r="FTC138" s="422"/>
      <c r="FTD138" s="422"/>
      <c r="FTE138" s="422"/>
      <c r="FTF138" s="422"/>
      <c r="FTG138" s="422"/>
      <c r="FTH138" s="422"/>
      <c r="FTI138" s="422"/>
      <c r="FTJ138" s="422"/>
      <c r="FTK138" s="422"/>
      <c r="FTL138" s="422"/>
      <c r="FTM138" s="422"/>
      <c r="FTN138" s="422"/>
      <c r="FTO138" s="422"/>
      <c r="FTP138" s="422"/>
      <c r="FTQ138" s="422"/>
      <c r="FTR138" s="422"/>
      <c r="FTS138" s="422"/>
      <c r="FTT138" s="422"/>
      <c r="FTU138" s="422"/>
      <c r="FTV138" s="422"/>
      <c r="FTW138" s="422"/>
      <c r="FTX138" s="422"/>
      <c r="FTY138" s="422"/>
      <c r="FTZ138" s="422"/>
      <c r="FUA138" s="422"/>
      <c r="FUB138" s="422"/>
      <c r="FUC138" s="422"/>
      <c r="FUD138" s="422"/>
      <c r="FUE138" s="422"/>
      <c r="FUF138" s="422"/>
      <c r="FUG138" s="422"/>
      <c r="FUH138" s="422"/>
      <c r="FUI138" s="422"/>
      <c r="FUJ138" s="422"/>
      <c r="FUK138" s="422"/>
      <c r="FUL138" s="422"/>
      <c r="FUM138" s="422"/>
      <c r="FUN138" s="422"/>
      <c r="FUO138" s="422"/>
      <c r="FUP138" s="422"/>
      <c r="FUQ138" s="422"/>
      <c r="FUR138" s="422"/>
      <c r="FUS138" s="422"/>
      <c r="FUT138" s="422"/>
      <c r="FUU138" s="422"/>
      <c r="FUV138" s="422"/>
      <c r="FUW138" s="422"/>
      <c r="FUX138" s="422"/>
      <c r="FUY138" s="422"/>
      <c r="FUZ138" s="422"/>
      <c r="FVA138" s="422"/>
      <c r="FVB138" s="422"/>
      <c r="FVC138" s="422"/>
      <c r="FVD138" s="422"/>
      <c r="FVE138" s="422"/>
      <c r="FVF138" s="422"/>
      <c r="FVG138" s="422"/>
      <c r="FVH138" s="422"/>
      <c r="FVI138" s="422"/>
      <c r="FVJ138" s="422"/>
      <c r="FVK138" s="422"/>
      <c r="FVL138" s="422"/>
      <c r="FVM138" s="422"/>
      <c r="FVN138" s="422"/>
      <c r="FVO138" s="422"/>
      <c r="FVP138" s="422"/>
      <c r="FVQ138" s="422"/>
      <c r="FVR138" s="422"/>
      <c r="FVS138" s="422"/>
      <c r="FVT138" s="422"/>
      <c r="FVU138" s="422"/>
      <c r="FVV138" s="422"/>
      <c r="FVW138" s="422"/>
      <c r="FVX138" s="422"/>
      <c r="FVY138" s="422"/>
      <c r="FVZ138" s="422"/>
      <c r="FWA138" s="422"/>
      <c r="FWB138" s="422"/>
      <c r="FWC138" s="422"/>
      <c r="FWD138" s="422"/>
      <c r="FWE138" s="422"/>
      <c r="FWF138" s="422"/>
      <c r="FWG138" s="422"/>
      <c r="FWH138" s="422"/>
      <c r="FWI138" s="422"/>
      <c r="FWJ138" s="422"/>
      <c r="FWK138" s="422"/>
      <c r="FWL138" s="422"/>
      <c r="FWM138" s="422"/>
      <c r="FWN138" s="422"/>
      <c r="FWO138" s="422"/>
      <c r="FWP138" s="422"/>
      <c r="FWQ138" s="422"/>
      <c r="FWR138" s="422"/>
      <c r="FWS138" s="422"/>
      <c r="FWT138" s="422"/>
      <c r="FWU138" s="422"/>
      <c r="FWV138" s="422"/>
      <c r="FWW138" s="422"/>
      <c r="FWX138" s="422"/>
      <c r="FWY138" s="422"/>
      <c r="FWZ138" s="422"/>
      <c r="FXA138" s="422"/>
      <c r="FXB138" s="422"/>
      <c r="FXC138" s="422"/>
      <c r="FXD138" s="422"/>
      <c r="FXE138" s="422"/>
      <c r="FXF138" s="422"/>
      <c r="FXG138" s="422"/>
      <c r="FXH138" s="422"/>
      <c r="FXI138" s="422"/>
      <c r="FXJ138" s="422"/>
      <c r="FXK138" s="422"/>
      <c r="FXL138" s="422"/>
      <c r="FXM138" s="422"/>
      <c r="FXN138" s="422"/>
      <c r="FXO138" s="422"/>
      <c r="FXP138" s="422"/>
      <c r="FXQ138" s="422"/>
      <c r="FXR138" s="422"/>
      <c r="FXS138" s="422"/>
      <c r="FXT138" s="422"/>
      <c r="FXU138" s="422"/>
      <c r="FXV138" s="422"/>
      <c r="FXW138" s="422"/>
      <c r="FXX138" s="422"/>
      <c r="FXY138" s="422"/>
      <c r="FXZ138" s="422"/>
      <c r="FYA138" s="422"/>
      <c r="FYB138" s="422"/>
      <c r="FYC138" s="422"/>
      <c r="FYD138" s="422"/>
      <c r="FYE138" s="422"/>
      <c r="FYF138" s="422"/>
      <c r="FYG138" s="422"/>
      <c r="FYH138" s="422"/>
      <c r="FYI138" s="422"/>
      <c r="FYJ138" s="422"/>
      <c r="FYK138" s="422"/>
      <c r="FYL138" s="422"/>
      <c r="FYM138" s="422"/>
      <c r="FYN138" s="422"/>
      <c r="FYO138" s="422"/>
      <c r="FYP138" s="422"/>
      <c r="FYQ138" s="422"/>
      <c r="FYR138" s="422"/>
      <c r="FYS138" s="422"/>
      <c r="FYT138" s="422"/>
      <c r="FYU138" s="422"/>
      <c r="FYV138" s="422"/>
      <c r="FYW138" s="422"/>
      <c r="FYX138" s="422"/>
      <c r="FYY138" s="422"/>
      <c r="FYZ138" s="422"/>
      <c r="FZA138" s="422"/>
      <c r="FZB138" s="422"/>
      <c r="FZC138" s="422"/>
      <c r="FZD138" s="422"/>
      <c r="FZE138" s="422"/>
      <c r="FZF138" s="422"/>
      <c r="FZG138" s="422"/>
      <c r="FZH138" s="422"/>
      <c r="FZI138" s="422"/>
      <c r="FZJ138" s="422"/>
      <c r="FZK138" s="422"/>
      <c r="FZL138" s="422"/>
      <c r="FZM138" s="422"/>
      <c r="FZN138" s="422"/>
      <c r="FZO138" s="422"/>
      <c r="FZP138" s="422"/>
      <c r="FZQ138" s="422"/>
      <c r="FZR138" s="422"/>
      <c r="FZS138" s="422"/>
      <c r="FZT138" s="422"/>
      <c r="FZU138" s="422"/>
      <c r="FZV138" s="422"/>
      <c r="FZW138" s="422"/>
      <c r="FZX138" s="422"/>
      <c r="FZY138" s="422"/>
      <c r="FZZ138" s="422"/>
      <c r="GAA138" s="422"/>
      <c r="GAB138" s="422"/>
      <c r="GAC138" s="422"/>
      <c r="GAD138" s="422"/>
      <c r="GAE138" s="422"/>
      <c r="GAF138" s="422"/>
      <c r="GAG138" s="422"/>
      <c r="GAH138" s="422"/>
      <c r="GAI138" s="422"/>
      <c r="GAJ138" s="422"/>
      <c r="GAK138" s="422"/>
      <c r="GAL138" s="422"/>
      <c r="GAM138" s="422"/>
      <c r="GAN138" s="422"/>
      <c r="GAO138" s="422"/>
      <c r="GAP138" s="422"/>
      <c r="GAQ138" s="422"/>
      <c r="GAR138" s="422"/>
      <c r="GAS138" s="422"/>
      <c r="GAT138" s="422"/>
      <c r="GAU138" s="422"/>
      <c r="GAV138" s="422"/>
      <c r="GAW138" s="422"/>
      <c r="GAX138" s="422"/>
      <c r="GAY138" s="422"/>
      <c r="GAZ138" s="422"/>
      <c r="GBA138" s="422"/>
      <c r="GBB138" s="422"/>
      <c r="GBC138" s="422"/>
      <c r="GBD138" s="422"/>
      <c r="GBE138" s="422"/>
      <c r="GBF138" s="422"/>
      <c r="GBG138" s="422"/>
      <c r="GBH138" s="422"/>
      <c r="GBI138" s="422"/>
      <c r="GBJ138" s="422"/>
      <c r="GBK138" s="422"/>
      <c r="GBL138" s="422"/>
      <c r="GBM138" s="422"/>
      <c r="GBN138" s="422"/>
      <c r="GBO138" s="422"/>
      <c r="GBP138" s="422"/>
      <c r="GBQ138" s="422"/>
      <c r="GBR138" s="422"/>
      <c r="GBS138" s="422"/>
      <c r="GBT138" s="422"/>
      <c r="GBU138" s="422"/>
      <c r="GBV138" s="422"/>
      <c r="GBW138" s="422"/>
      <c r="GBX138" s="422"/>
      <c r="GBY138" s="422"/>
      <c r="GBZ138" s="422"/>
      <c r="GCA138" s="422"/>
      <c r="GCB138" s="422"/>
      <c r="GCC138" s="422"/>
      <c r="GCD138" s="422"/>
      <c r="GCE138" s="422"/>
      <c r="GCF138" s="422"/>
      <c r="GCG138" s="422"/>
      <c r="GCH138" s="422"/>
      <c r="GCI138" s="422"/>
      <c r="GCJ138" s="422"/>
      <c r="GCK138" s="422"/>
      <c r="GCL138" s="422"/>
      <c r="GCM138" s="422"/>
      <c r="GCN138" s="422"/>
      <c r="GCO138" s="422"/>
      <c r="GCP138" s="422"/>
      <c r="GCQ138" s="422"/>
      <c r="GCR138" s="422"/>
      <c r="GCS138" s="422"/>
      <c r="GCT138" s="422"/>
      <c r="GCU138" s="422"/>
      <c r="GCV138" s="422"/>
      <c r="GCW138" s="422"/>
      <c r="GCX138" s="422"/>
      <c r="GCY138" s="422"/>
      <c r="GCZ138" s="422"/>
      <c r="GDA138" s="422"/>
      <c r="GDB138" s="422"/>
      <c r="GDC138" s="422"/>
      <c r="GDD138" s="422"/>
      <c r="GDE138" s="422"/>
      <c r="GDF138" s="422"/>
      <c r="GDG138" s="422"/>
      <c r="GDH138" s="422"/>
      <c r="GDI138" s="422"/>
      <c r="GDJ138" s="422"/>
      <c r="GDK138" s="422"/>
      <c r="GDL138" s="422"/>
      <c r="GDM138" s="422"/>
      <c r="GDN138" s="422"/>
      <c r="GDO138" s="422"/>
      <c r="GDP138" s="422"/>
      <c r="GDQ138" s="422"/>
      <c r="GDR138" s="422"/>
      <c r="GDS138" s="422"/>
      <c r="GDT138" s="422"/>
      <c r="GDU138" s="422"/>
      <c r="GDV138" s="422"/>
      <c r="GDW138" s="422"/>
      <c r="GDX138" s="422"/>
      <c r="GDY138" s="422"/>
      <c r="GDZ138" s="422"/>
      <c r="GEA138" s="422"/>
      <c r="GEB138" s="422"/>
      <c r="GEC138" s="422"/>
      <c r="GED138" s="422"/>
      <c r="GEE138" s="422"/>
      <c r="GEF138" s="422"/>
      <c r="GEG138" s="422"/>
      <c r="GEH138" s="422"/>
      <c r="GEI138" s="422"/>
      <c r="GEJ138" s="422"/>
      <c r="GEK138" s="422"/>
      <c r="GEL138" s="422"/>
      <c r="GEM138" s="422"/>
      <c r="GEN138" s="422"/>
      <c r="GEO138" s="422"/>
      <c r="GEP138" s="422"/>
      <c r="GEQ138" s="422"/>
      <c r="GER138" s="422"/>
      <c r="GES138" s="422"/>
      <c r="GET138" s="422"/>
      <c r="GEU138" s="422"/>
      <c r="GEV138" s="422"/>
      <c r="GEW138" s="422"/>
      <c r="GEX138" s="422"/>
      <c r="GEY138" s="422"/>
      <c r="GEZ138" s="422"/>
      <c r="GFA138" s="422"/>
      <c r="GFB138" s="422"/>
      <c r="GFC138" s="422"/>
      <c r="GFD138" s="422"/>
      <c r="GFE138" s="422"/>
      <c r="GFF138" s="422"/>
      <c r="GFG138" s="422"/>
      <c r="GFH138" s="422"/>
      <c r="GFI138" s="422"/>
      <c r="GFJ138" s="422"/>
      <c r="GFK138" s="422"/>
      <c r="GFL138" s="422"/>
      <c r="GFM138" s="422"/>
      <c r="GFN138" s="422"/>
      <c r="GFO138" s="422"/>
      <c r="GFP138" s="422"/>
      <c r="GFQ138" s="422"/>
      <c r="GFR138" s="422"/>
      <c r="GFS138" s="422"/>
      <c r="GFT138" s="422"/>
      <c r="GFU138" s="422"/>
      <c r="GFV138" s="422"/>
      <c r="GFW138" s="422"/>
      <c r="GFX138" s="422"/>
      <c r="GFY138" s="422"/>
      <c r="GFZ138" s="422"/>
      <c r="GGA138" s="422"/>
      <c r="GGB138" s="422"/>
      <c r="GGC138" s="422"/>
      <c r="GGD138" s="422"/>
      <c r="GGE138" s="422"/>
      <c r="GGF138" s="422"/>
      <c r="GGG138" s="422"/>
      <c r="GGH138" s="422"/>
      <c r="GGI138" s="422"/>
      <c r="GGJ138" s="422"/>
      <c r="GGK138" s="422"/>
      <c r="GGL138" s="422"/>
      <c r="GGM138" s="422"/>
      <c r="GGN138" s="422"/>
      <c r="GGO138" s="422"/>
      <c r="GGP138" s="422"/>
      <c r="GGQ138" s="422"/>
      <c r="GGR138" s="422"/>
      <c r="GGS138" s="422"/>
      <c r="GGT138" s="422"/>
      <c r="GGU138" s="422"/>
      <c r="GGV138" s="422"/>
      <c r="GGW138" s="422"/>
      <c r="GGX138" s="422"/>
      <c r="GGY138" s="422"/>
      <c r="GGZ138" s="422"/>
      <c r="GHA138" s="422"/>
      <c r="GHB138" s="422"/>
      <c r="GHC138" s="422"/>
      <c r="GHD138" s="422"/>
      <c r="GHE138" s="422"/>
      <c r="GHF138" s="422"/>
      <c r="GHG138" s="422"/>
      <c r="GHH138" s="422"/>
      <c r="GHI138" s="422"/>
      <c r="GHJ138" s="422"/>
      <c r="GHK138" s="422"/>
      <c r="GHL138" s="422"/>
      <c r="GHM138" s="422"/>
      <c r="GHN138" s="422"/>
      <c r="GHO138" s="422"/>
      <c r="GHP138" s="422"/>
      <c r="GHQ138" s="422"/>
      <c r="GHR138" s="422"/>
      <c r="GHS138" s="422"/>
      <c r="GHT138" s="422"/>
      <c r="GHU138" s="422"/>
      <c r="GHV138" s="422"/>
      <c r="GHW138" s="422"/>
      <c r="GHX138" s="422"/>
      <c r="GHY138" s="422"/>
      <c r="GHZ138" s="422"/>
      <c r="GIA138" s="422"/>
      <c r="GIB138" s="422"/>
      <c r="GIC138" s="422"/>
      <c r="GID138" s="422"/>
      <c r="GIE138" s="422"/>
      <c r="GIF138" s="422"/>
      <c r="GIG138" s="422"/>
      <c r="GIH138" s="422"/>
      <c r="GII138" s="422"/>
      <c r="GIJ138" s="422"/>
      <c r="GIK138" s="422"/>
      <c r="GIL138" s="422"/>
      <c r="GIM138" s="422"/>
      <c r="GIN138" s="422"/>
      <c r="GIO138" s="422"/>
      <c r="GIP138" s="422"/>
      <c r="GIQ138" s="422"/>
      <c r="GIR138" s="422"/>
      <c r="GIS138" s="422"/>
      <c r="GIT138" s="422"/>
      <c r="GIU138" s="422"/>
      <c r="GIV138" s="422"/>
      <c r="GIW138" s="422"/>
      <c r="GIX138" s="422"/>
      <c r="GIY138" s="422"/>
      <c r="GIZ138" s="422"/>
      <c r="GJA138" s="422"/>
      <c r="GJB138" s="422"/>
      <c r="GJC138" s="422"/>
      <c r="GJD138" s="422"/>
      <c r="GJE138" s="422"/>
      <c r="GJF138" s="422"/>
      <c r="GJG138" s="422"/>
      <c r="GJH138" s="422"/>
      <c r="GJI138" s="422"/>
      <c r="GJJ138" s="422"/>
      <c r="GJK138" s="422"/>
      <c r="GJL138" s="422"/>
      <c r="GJM138" s="422"/>
      <c r="GJN138" s="422"/>
      <c r="GJO138" s="422"/>
      <c r="GJP138" s="422"/>
      <c r="GJQ138" s="422"/>
      <c r="GJR138" s="422"/>
      <c r="GJS138" s="422"/>
      <c r="GJT138" s="422"/>
      <c r="GJU138" s="422"/>
      <c r="GJV138" s="422"/>
      <c r="GJW138" s="422"/>
      <c r="GJX138" s="422"/>
      <c r="GJY138" s="422"/>
      <c r="GJZ138" s="422"/>
      <c r="GKA138" s="422"/>
      <c r="GKB138" s="422"/>
      <c r="GKC138" s="422"/>
      <c r="GKD138" s="422"/>
      <c r="GKE138" s="422"/>
      <c r="GKF138" s="422"/>
      <c r="GKG138" s="422"/>
      <c r="GKH138" s="422"/>
      <c r="GKI138" s="422"/>
      <c r="GKJ138" s="422"/>
      <c r="GKK138" s="422"/>
      <c r="GKL138" s="422"/>
      <c r="GKM138" s="422"/>
      <c r="GKN138" s="422"/>
      <c r="GKO138" s="422"/>
      <c r="GKP138" s="422"/>
      <c r="GKQ138" s="422"/>
      <c r="GKR138" s="422"/>
      <c r="GKS138" s="422"/>
      <c r="GKT138" s="422"/>
      <c r="GKU138" s="422"/>
      <c r="GKV138" s="422"/>
      <c r="GKW138" s="422"/>
      <c r="GKX138" s="422"/>
      <c r="GKY138" s="422"/>
      <c r="GKZ138" s="422"/>
      <c r="GLA138" s="422"/>
      <c r="GLB138" s="422"/>
      <c r="GLC138" s="422"/>
      <c r="GLD138" s="422"/>
      <c r="GLE138" s="422"/>
      <c r="GLF138" s="422"/>
      <c r="GLG138" s="422"/>
      <c r="GLH138" s="422"/>
      <c r="GLI138" s="422"/>
      <c r="GLJ138" s="422"/>
      <c r="GLK138" s="422"/>
      <c r="GLL138" s="422"/>
      <c r="GLM138" s="422"/>
      <c r="GLN138" s="422"/>
      <c r="GLO138" s="422"/>
      <c r="GLP138" s="422"/>
      <c r="GLQ138" s="422"/>
      <c r="GLR138" s="422"/>
      <c r="GLS138" s="422"/>
      <c r="GLT138" s="422"/>
      <c r="GLU138" s="422"/>
      <c r="GLV138" s="422"/>
      <c r="GLW138" s="422"/>
      <c r="GLX138" s="422"/>
      <c r="GLY138" s="422"/>
      <c r="GLZ138" s="422"/>
      <c r="GMA138" s="422"/>
      <c r="GMB138" s="422"/>
      <c r="GMC138" s="422"/>
      <c r="GMD138" s="422"/>
      <c r="GME138" s="422"/>
      <c r="GMF138" s="422"/>
      <c r="GMG138" s="422"/>
      <c r="GMH138" s="422"/>
      <c r="GMI138" s="422"/>
      <c r="GMJ138" s="422"/>
      <c r="GMK138" s="422"/>
      <c r="GML138" s="422"/>
      <c r="GMM138" s="422"/>
      <c r="GMN138" s="422"/>
      <c r="GMO138" s="422"/>
      <c r="GMP138" s="422"/>
      <c r="GMQ138" s="422"/>
      <c r="GMR138" s="422"/>
      <c r="GMS138" s="422"/>
      <c r="GMT138" s="422"/>
      <c r="GMU138" s="422"/>
      <c r="GMV138" s="422"/>
      <c r="GMW138" s="422"/>
      <c r="GMX138" s="422"/>
      <c r="GMY138" s="422"/>
      <c r="GMZ138" s="422"/>
      <c r="GNA138" s="422"/>
      <c r="GNB138" s="422"/>
      <c r="GNC138" s="422"/>
      <c r="GND138" s="422"/>
      <c r="GNE138" s="422"/>
      <c r="GNF138" s="422"/>
      <c r="GNG138" s="422"/>
      <c r="GNH138" s="422"/>
      <c r="GNI138" s="422"/>
      <c r="GNJ138" s="422"/>
      <c r="GNK138" s="422"/>
      <c r="GNL138" s="422"/>
      <c r="GNM138" s="422"/>
      <c r="GNN138" s="422"/>
      <c r="GNO138" s="422"/>
      <c r="GNP138" s="422"/>
      <c r="GNQ138" s="422"/>
      <c r="GNR138" s="422"/>
      <c r="GNS138" s="422"/>
      <c r="GNT138" s="422"/>
      <c r="GNU138" s="422"/>
      <c r="GNV138" s="422"/>
      <c r="GNW138" s="422"/>
      <c r="GNX138" s="422"/>
      <c r="GNY138" s="422"/>
      <c r="GNZ138" s="422"/>
      <c r="GOA138" s="422"/>
      <c r="GOB138" s="422"/>
      <c r="GOC138" s="422"/>
      <c r="GOD138" s="422"/>
      <c r="GOE138" s="422"/>
      <c r="GOF138" s="422"/>
      <c r="GOG138" s="422"/>
      <c r="GOH138" s="422"/>
      <c r="GOI138" s="422"/>
      <c r="GOJ138" s="422"/>
      <c r="GOK138" s="422"/>
      <c r="GOL138" s="422"/>
      <c r="GOM138" s="422"/>
      <c r="GON138" s="422"/>
      <c r="GOO138" s="422"/>
      <c r="GOP138" s="422"/>
      <c r="GOQ138" s="422"/>
      <c r="GOR138" s="422"/>
      <c r="GOS138" s="422"/>
      <c r="GOT138" s="422"/>
      <c r="GOU138" s="422"/>
      <c r="GOV138" s="422"/>
      <c r="GOW138" s="422"/>
      <c r="GOX138" s="422"/>
      <c r="GOY138" s="422"/>
      <c r="GOZ138" s="422"/>
      <c r="GPA138" s="422"/>
      <c r="GPB138" s="422"/>
      <c r="GPC138" s="422"/>
      <c r="GPD138" s="422"/>
      <c r="GPE138" s="422"/>
      <c r="GPF138" s="422"/>
      <c r="GPG138" s="422"/>
      <c r="GPH138" s="422"/>
      <c r="GPI138" s="422"/>
      <c r="GPJ138" s="422"/>
      <c r="GPK138" s="422"/>
      <c r="GPL138" s="422"/>
      <c r="GPM138" s="422"/>
      <c r="GPN138" s="422"/>
      <c r="GPO138" s="422"/>
      <c r="GPP138" s="422"/>
      <c r="GPQ138" s="422"/>
      <c r="GPR138" s="422"/>
      <c r="GPS138" s="422"/>
      <c r="GPT138" s="422"/>
      <c r="GPU138" s="422"/>
      <c r="GPV138" s="422"/>
      <c r="GPW138" s="422"/>
      <c r="GPX138" s="422"/>
      <c r="GPY138" s="422"/>
      <c r="GPZ138" s="422"/>
      <c r="GQA138" s="422"/>
      <c r="GQB138" s="422"/>
      <c r="GQC138" s="422"/>
      <c r="GQD138" s="422"/>
      <c r="GQE138" s="422"/>
      <c r="GQF138" s="422"/>
      <c r="GQG138" s="422"/>
      <c r="GQH138" s="422"/>
      <c r="GQI138" s="422"/>
      <c r="GQJ138" s="422"/>
      <c r="GQK138" s="422"/>
      <c r="GQL138" s="422"/>
      <c r="GQM138" s="422"/>
      <c r="GQN138" s="422"/>
      <c r="GQO138" s="422"/>
      <c r="GQP138" s="422"/>
      <c r="GQQ138" s="422"/>
      <c r="GQR138" s="422"/>
      <c r="GQS138" s="422"/>
      <c r="GQT138" s="422"/>
      <c r="GQU138" s="422"/>
      <c r="GQV138" s="422"/>
      <c r="GQW138" s="422"/>
      <c r="GQX138" s="422"/>
      <c r="GQY138" s="422"/>
      <c r="GQZ138" s="422"/>
      <c r="GRA138" s="422"/>
      <c r="GRB138" s="422"/>
      <c r="GRC138" s="422"/>
      <c r="GRD138" s="422"/>
      <c r="GRE138" s="422"/>
      <c r="GRF138" s="422"/>
      <c r="GRG138" s="422"/>
      <c r="GRH138" s="422"/>
      <c r="GRI138" s="422"/>
      <c r="GRJ138" s="422"/>
      <c r="GRK138" s="422"/>
      <c r="GRL138" s="422"/>
      <c r="GRM138" s="422"/>
      <c r="GRN138" s="422"/>
      <c r="GRO138" s="422"/>
      <c r="GRP138" s="422"/>
      <c r="GRQ138" s="422"/>
      <c r="GRR138" s="422"/>
      <c r="GRS138" s="422"/>
      <c r="GRT138" s="422"/>
      <c r="GRU138" s="422"/>
      <c r="GRV138" s="422"/>
      <c r="GRW138" s="422"/>
      <c r="GRX138" s="422"/>
      <c r="GRY138" s="422"/>
      <c r="GRZ138" s="422"/>
      <c r="GSA138" s="422"/>
      <c r="GSB138" s="422"/>
      <c r="GSC138" s="422"/>
      <c r="GSD138" s="422"/>
      <c r="GSE138" s="422"/>
      <c r="GSF138" s="422"/>
      <c r="GSG138" s="422"/>
      <c r="GSH138" s="422"/>
      <c r="GSI138" s="422"/>
      <c r="GSJ138" s="422"/>
      <c r="GSK138" s="422"/>
      <c r="GSL138" s="422"/>
      <c r="GSM138" s="422"/>
      <c r="GSN138" s="422"/>
      <c r="GSO138" s="422"/>
      <c r="GSP138" s="422"/>
      <c r="GSQ138" s="422"/>
      <c r="GSR138" s="422"/>
      <c r="GSS138" s="422"/>
      <c r="GST138" s="422"/>
      <c r="GSU138" s="422"/>
      <c r="GSV138" s="422"/>
      <c r="GSW138" s="422"/>
      <c r="GSX138" s="422"/>
      <c r="GSY138" s="422"/>
      <c r="GSZ138" s="422"/>
      <c r="GTA138" s="422"/>
      <c r="GTB138" s="422"/>
      <c r="GTC138" s="422"/>
      <c r="GTD138" s="422"/>
      <c r="GTE138" s="422"/>
      <c r="GTF138" s="422"/>
      <c r="GTG138" s="422"/>
      <c r="GTH138" s="422"/>
      <c r="GTI138" s="422"/>
      <c r="GTJ138" s="422"/>
      <c r="GTK138" s="422"/>
      <c r="GTL138" s="422"/>
      <c r="GTM138" s="422"/>
      <c r="GTN138" s="422"/>
      <c r="GTO138" s="422"/>
      <c r="GTP138" s="422"/>
      <c r="GTQ138" s="422"/>
      <c r="GTR138" s="422"/>
      <c r="GTS138" s="422"/>
      <c r="GTT138" s="422"/>
      <c r="GTU138" s="422"/>
      <c r="GTV138" s="422"/>
      <c r="GTW138" s="422"/>
      <c r="GTX138" s="422"/>
      <c r="GTY138" s="422"/>
      <c r="GTZ138" s="422"/>
      <c r="GUA138" s="422"/>
      <c r="GUB138" s="422"/>
      <c r="GUC138" s="422"/>
      <c r="GUD138" s="422"/>
      <c r="GUE138" s="422"/>
      <c r="GUF138" s="422"/>
      <c r="GUG138" s="422"/>
      <c r="GUH138" s="422"/>
      <c r="GUI138" s="422"/>
      <c r="GUJ138" s="422"/>
      <c r="GUK138" s="422"/>
      <c r="GUL138" s="422"/>
      <c r="GUM138" s="422"/>
      <c r="GUN138" s="422"/>
      <c r="GUO138" s="422"/>
      <c r="GUP138" s="422"/>
      <c r="GUQ138" s="422"/>
      <c r="GUR138" s="422"/>
      <c r="GUS138" s="422"/>
      <c r="GUT138" s="422"/>
      <c r="GUU138" s="422"/>
      <c r="GUV138" s="422"/>
      <c r="GUW138" s="422"/>
      <c r="GUX138" s="422"/>
      <c r="GUY138" s="422"/>
      <c r="GUZ138" s="422"/>
      <c r="GVA138" s="422"/>
      <c r="GVB138" s="422"/>
      <c r="GVC138" s="422"/>
      <c r="GVD138" s="422"/>
      <c r="GVE138" s="422"/>
      <c r="GVF138" s="422"/>
      <c r="GVG138" s="422"/>
      <c r="GVH138" s="422"/>
      <c r="GVI138" s="422"/>
      <c r="GVJ138" s="422"/>
      <c r="GVK138" s="422"/>
      <c r="GVL138" s="422"/>
      <c r="GVM138" s="422"/>
      <c r="GVN138" s="422"/>
      <c r="GVO138" s="422"/>
      <c r="GVP138" s="422"/>
      <c r="GVQ138" s="422"/>
      <c r="GVR138" s="422"/>
      <c r="GVS138" s="422"/>
      <c r="GVT138" s="422"/>
      <c r="GVU138" s="422"/>
      <c r="GVV138" s="422"/>
      <c r="GVW138" s="422"/>
      <c r="GVX138" s="422"/>
      <c r="GVY138" s="422"/>
      <c r="GVZ138" s="422"/>
      <c r="GWA138" s="422"/>
      <c r="GWB138" s="422"/>
      <c r="GWC138" s="422"/>
      <c r="GWD138" s="422"/>
      <c r="GWE138" s="422"/>
      <c r="GWF138" s="422"/>
      <c r="GWG138" s="422"/>
      <c r="GWH138" s="422"/>
      <c r="GWI138" s="422"/>
      <c r="GWJ138" s="422"/>
      <c r="GWK138" s="422"/>
      <c r="GWL138" s="422"/>
      <c r="GWM138" s="422"/>
      <c r="GWN138" s="422"/>
      <c r="GWO138" s="422"/>
      <c r="GWP138" s="422"/>
      <c r="GWQ138" s="422"/>
      <c r="GWR138" s="422"/>
      <c r="GWS138" s="422"/>
      <c r="GWT138" s="422"/>
      <c r="GWU138" s="422"/>
      <c r="GWV138" s="422"/>
      <c r="GWW138" s="422"/>
      <c r="GWX138" s="422"/>
      <c r="GWY138" s="422"/>
      <c r="GWZ138" s="422"/>
      <c r="GXA138" s="422"/>
      <c r="GXB138" s="422"/>
      <c r="GXC138" s="422"/>
      <c r="GXD138" s="422"/>
      <c r="GXE138" s="422"/>
      <c r="GXF138" s="422"/>
      <c r="GXG138" s="422"/>
      <c r="GXH138" s="422"/>
      <c r="GXI138" s="422"/>
      <c r="GXJ138" s="422"/>
      <c r="GXK138" s="422"/>
      <c r="GXL138" s="422"/>
      <c r="GXM138" s="422"/>
      <c r="GXN138" s="422"/>
      <c r="GXO138" s="422"/>
      <c r="GXP138" s="422"/>
      <c r="GXQ138" s="422"/>
      <c r="GXR138" s="422"/>
      <c r="GXS138" s="422"/>
      <c r="GXT138" s="422"/>
      <c r="GXU138" s="422"/>
      <c r="GXV138" s="422"/>
      <c r="GXW138" s="422"/>
      <c r="GXX138" s="422"/>
      <c r="GXY138" s="422"/>
      <c r="GXZ138" s="422"/>
      <c r="GYA138" s="422"/>
      <c r="GYB138" s="422"/>
      <c r="GYC138" s="422"/>
      <c r="GYD138" s="422"/>
      <c r="GYE138" s="422"/>
      <c r="GYF138" s="422"/>
      <c r="GYG138" s="422"/>
      <c r="GYH138" s="422"/>
      <c r="GYI138" s="422"/>
      <c r="GYJ138" s="422"/>
      <c r="GYK138" s="422"/>
      <c r="GYL138" s="422"/>
      <c r="GYM138" s="422"/>
      <c r="GYN138" s="422"/>
      <c r="GYO138" s="422"/>
      <c r="GYP138" s="422"/>
      <c r="GYQ138" s="422"/>
      <c r="GYR138" s="422"/>
      <c r="GYS138" s="422"/>
      <c r="GYT138" s="422"/>
      <c r="GYU138" s="422"/>
      <c r="GYV138" s="422"/>
      <c r="GYW138" s="422"/>
      <c r="GYX138" s="422"/>
      <c r="GYY138" s="422"/>
      <c r="GYZ138" s="422"/>
      <c r="GZA138" s="422"/>
      <c r="GZB138" s="422"/>
      <c r="GZC138" s="422"/>
      <c r="GZD138" s="422"/>
      <c r="GZE138" s="422"/>
      <c r="GZF138" s="422"/>
      <c r="GZG138" s="422"/>
      <c r="GZH138" s="422"/>
      <c r="GZI138" s="422"/>
      <c r="GZJ138" s="422"/>
      <c r="GZK138" s="422"/>
      <c r="GZL138" s="422"/>
      <c r="GZM138" s="422"/>
      <c r="GZN138" s="422"/>
      <c r="GZO138" s="422"/>
      <c r="GZP138" s="422"/>
      <c r="GZQ138" s="422"/>
      <c r="GZR138" s="422"/>
      <c r="GZS138" s="422"/>
      <c r="GZT138" s="422"/>
      <c r="GZU138" s="422"/>
      <c r="GZV138" s="422"/>
      <c r="GZW138" s="422"/>
      <c r="GZX138" s="422"/>
      <c r="GZY138" s="422"/>
      <c r="GZZ138" s="422"/>
      <c r="HAA138" s="422"/>
      <c r="HAB138" s="422"/>
      <c r="HAC138" s="422"/>
      <c r="HAD138" s="422"/>
      <c r="HAE138" s="422"/>
      <c r="HAF138" s="422"/>
      <c r="HAG138" s="422"/>
      <c r="HAH138" s="422"/>
      <c r="HAI138" s="422"/>
      <c r="HAJ138" s="422"/>
      <c r="HAK138" s="422"/>
      <c r="HAL138" s="422"/>
      <c r="HAM138" s="422"/>
      <c r="HAN138" s="422"/>
      <c r="HAO138" s="422"/>
      <c r="HAP138" s="422"/>
      <c r="HAQ138" s="422"/>
      <c r="HAR138" s="422"/>
      <c r="HAS138" s="422"/>
      <c r="HAT138" s="422"/>
      <c r="HAU138" s="422"/>
      <c r="HAV138" s="422"/>
      <c r="HAW138" s="422"/>
      <c r="HAX138" s="422"/>
      <c r="HAY138" s="422"/>
      <c r="HAZ138" s="422"/>
      <c r="HBA138" s="422"/>
      <c r="HBB138" s="422"/>
      <c r="HBC138" s="422"/>
      <c r="HBD138" s="422"/>
      <c r="HBE138" s="422"/>
      <c r="HBF138" s="422"/>
      <c r="HBG138" s="422"/>
      <c r="HBH138" s="422"/>
      <c r="HBI138" s="422"/>
      <c r="HBJ138" s="422"/>
      <c r="HBK138" s="422"/>
      <c r="HBL138" s="422"/>
      <c r="HBM138" s="422"/>
      <c r="HBN138" s="422"/>
      <c r="HBO138" s="422"/>
      <c r="HBP138" s="422"/>
      <c r="HBQ138" s="422"/>
      <c r="HBR138" s="422"/>
      <c r="HBS138" s="422"/>
      <c r="HBT138" s="422"/>
      <c r="HBU138" s="422"/>
      <c r="HBV138" s="422"/>
      <c r="HBW138" s="422"/>
      <c r="HBX138" s="422"/>
      <c r="HBY138" s="422"/>
      <c r="HBZ138" s="422"/>
      <c r="HCA138" s="422"/>
      <c r="HCB138" s="422"/>
      <c r="HCC138" s="422"/>
      <c r="HCD138" s="422"/>
      <c r="HCE138" s="422"/>
      <c r="HCF138" s="422"/>
      <c r="HCG138" s="422"/>
      <c r="HCH138" s="422"/>
      <c r="HCI138" s="422"/>
      <c r="HCJ138" s="422"/>
      <c r="HCK138" s="422"/>
      <c r="HCL138" s="422"/>
      <c r="HCM138" s="422"/>
      <c r="HCN138" s="422"/>
      <c r="HCO138" s="422"/>
      <c r="HCP138" s="422"/>
      <c r="HCQ138" s="422"/>
      <c r="HCR138" s="422"/>
      <c r="HCS138" s="422"/>
      <c r="HCT138" s="422"/>
      <c r="HCU138" s="422"/>
      <c r="HCV138" s="422"/>
      <c r="HCW138" s="422"/>
      <c r="HCX138" s="422"/>
      <c r="HCY138" s="422"/>
      <c r="HCZ138" s="422"/>
      <c r="HDA138" s="422"/>
      <c r="HDB138" s="422"/>
      <c r="HDC138" s="422"/>
      <c r="HDD138" s="422"/>
      <c r="HDE138" s="422"/>
      <c r="HDF138" s="422"/>
      <c r="HDG138" s="422"/>
      <c r="HDH138" s="422"/>
      <c r="HDI138" s="422"/>
      <c r="HDJ138" s="422"/>
      <c r="HDK138" s="422"/>
      <c r="HDL138" s="422"/>
      <c r="HDM138" s="422"/>
      <c r="HDN138" s="422"/>
      <c r="HDO138" s="422"/>
      <c r="HDP138" s="422"/>
      <c r="HDQ138" s="422"/>
      <c r="HDR138" s="422"/>
      <c r="HDS138" s="422"/>
      <c r="HDT138" s="422"/>
      <c r="HDU138" s="422"/>
      <c r="HDV138" s="422"/>
      <c r="HDW138" s="422"/>
      <c r="HDX138" s="422"/>
      <c r="HDY138" s="422"/>
      <c r="HDZ138" s="422"/>
      <c r="HEA138" s="422"/>
      <c r="HEB138" s="422"/>
      <c r="HEC138" s="422"/>
      <c r="HED138" s="422"/>
      <c r="HEE138" s="422"/>
      <c r="HEF138" s="422"/>
      <c r="HEG138" s="422"/>
      <c r="HEH138" s="422"/>
      <c r="HEI138" s="422"/>
      <c r="HEJ138" s="422"/>
      <c r="HEK138" s="422"/>
      <c r="HEL138" s="422"/>
      <c r="HEM138" s="422"/>
      <c r="HEN138" s="422"/>
      <c r="HEO138" s="422"/>
      <c r="HEP138" s="422"/>
      <c r="HEQ138" s="422"/>
      <c r="HER138" s="422"/>
      <c r="HES138" s="422"/>
      <c r="HET138" s="422"/>
      <c r="HEU138" s="422"/>
      <c r="HEV138" s="422"/>
      <c r="HEW138" s="422"/>
      <c r="HEX138" s="422"/>
      <c r="HEY138" s="422"/>
      <c r="HEZ138" s="422"/>
      <c r="HFA138" s="422"/>
      <c r="HFB138" s="422"/>
      <c r="HFC138" s="422"/>
      <c r="HFD138" s="422"/>
      <c r="HFE138" s="422"/>
      <c r="HFF138" s="422"/>
      <c r="HFG138" s="422"/>
      <c r="HFH138" s="422"/>
      <c r="HFI138" s="422"/>
      <c r="HFJ138" s="422"/>
      <c r="HFK138" s="422"/>
      <c r="HFL138" s="422"/>
      <c r="HFM138" s="422"/>
      <c r="HFN138" s="422"/>
      <c r="HFO138" s="422"/>
      <c r="HFP138" s="422"/>
      <c r="HFQ138" s="422"/>
      <c r="HFR138" s="422"/>
      <c r="HFS138" s="422"/>
      <c r="HFT138" s="422"/>
      <c r="HFU138" s="422"/>
      <c r="HFV138" s="422"/>
      <c r="HFW138" s="422"/>
      <c r="HFX138" s="422"/>
      <c r="HFY138" s="422"/>
      <c r="HFZ138" s="422"/>
      <c r="HGA138" s="422"/>
      <c r="HGB138" s="422"/>
      <c r="HGC138" s="422"/>
      <c r="HGD138" s="422"/>
      <c r="HGE138" s="422"/>
      <c r="HGF138" s="422"/>
      <c r="HGG138" s="422"/>
      <c r="HGH138" s="422"/>
      <c r="HGI138" s="422"/>
      <c r="HGJ138" s="422"/>
      <c r="HGK138" s="422"/>
      <c r="HGL138" s="422"/>
      <c r="HGM138" s="422"/>
      <c r="HGN138" s="422"/>
      <c r="HGO138" s="422"/>
      <c r="HGP138" s="422"/>
      <c r="HGQ138" s="422"/>
      <c r="HGR138" s="422"/>
      <c r="HGS138" s="422"/>
      <c r="HGT138" s="422"/>
      <c r="HGU138" s="422"/>
      <c r="HGV138" s="422"/>
      <c r="HGW138" s="422"/>
      <c r="HGX138" s="422"/>
      <c r="HGY138" s="422"/>
      <c r="HGZ138" s="422"/>
      <c r="HHA138" s="422"/>
      <c r="HHB138" s="422"/>
      <c r="HHC138" s="422"/>
      <c r="HHD138" s="422"/>
      <c r="HHE138" s="422"/>
      <c r="HHF138" s="422"/>
      <c r="HHG138" s="422"/>
      <c r="HHH138" s="422"/>
      <c r="HHI138" s="422"/>
      <c r="HHJ138" s="422"/>
      <c r="HHK138" s="422"/>
      <c r="HHL138" s="422"/>
      <c r="HHM138" s="422"/>
      <c r="HHN138" s="422"/>
      <c r="HHO138" s="422"/>
      <c r="HHP138" s="422"/>
      <c r="HHQ138" s="422"/>
      <c r="HHR138" s="422"/>
      <c r="HHS138" s="422"/>
      <c r="HHT138" s="422"/>
      <c r="HHU138" s="422"/>
      <c r="HHV138" s="422"/>
      <c r="HHW138" s="422"/>
      <c r="HHX138" s="422"/>
      <c r="HHY138" s="422"/>
      <c r="HHZ138" s="422"/>
      <c r="HIA138" s="422"/>
      <c r="HIB138" s="422"/>
      <c r="HIC138" s="422"/>
      <c r="HID138" s="422"/>
      <c r="HIE138" s="422"/>
      <c r="HIF138" s="422"/>
      <c r="HIG138" s="422"/>
      <c r="HIH138" s="422"/>
      <c r="HII138" s="422"/>
      <c r="HIJ138" s="422"/>
      <c r="HIK138" s="422"/>
      <c r="HIL138" s="422"/>
      <c r="HIM138" s="422"/>
      <c r="HIN138" s="422"/>
      <c r="HIO138" s="422"/>
      <c r="HIP138" s="422"/>
      <c r="HIQ138" s="422"/>
      <c r="HIR138" s="422"/>
      <c r="HIS138" s="422"/>
      <c r="HIT138" s="422"/>
      <c r="HIU138" s="422"/>
      <c r="HIV138" s="422"/>
      <c r="HIW138" s="422"/>
      <c r="HIX138" s="422"/>
      <c r="HIY138" s="422"/>
      <c r="HIZ138" s="422"/>
      <c r="HJA138" s="422"/>
      <c r="HJB138" s="422"/>
      <c r="HJC138" s="422"/>
      <c r="HJD138" s="422"/>
      <c r="HJE138" s="422"/>
      <c r="HJF138" s="422"/>
      <c r="HJG138" s="422"/>
      <c r="HJH138" s="422"/>
      <c r="HJI138" s="422"/>
      <c r="HJJ138" s="422"/>
      <c r="HJK138" s="422"/>
      <c r="HJL138" s="422"/>
      <c r="HJM138" s="422"/>
      <c r="HJN138" s="422"/>
      <c r="HJO138" s="422"/>
      <c r="HJP138" s="422"/>
      <c r="HJQ138" s="422"/>
      <c r="HJR138" s="422"/>
      <c r="HJS138" s="422"/>
      <c r="HJT138" s="422"/>
      <c r="HJU138" s="422"/>
      <c r="HJV138" s="422"/>
      <c r="HJW138" s="422"/>
      <c r="HJX138" s="422"/>
      <c r="HJY138" s="422"/>
      <c r="HJZ138" s="422"/>
      <c r="HKA138" s="422"/>
      <c r="HKB138" s="422"/>
      <c r="HKC138" s="422"/>
      <c r="HKD138" s="422"/>
      <c r="HKE138" s="422"/>
      <c r="HKF138" s="422"/>
      <c r="HKG138" s="422"/>
      <c r="HKH138" s="422"/>
      <c r="HKI138" s="422"/>
      <c r="HKJ138" s="422"/>
      <c r="HKK138" s="422"/>
      <c r="HKL138" s="422"/>
      <c r="HKM138" s="422"/>
      <c r="HKN138" s="422"/>
      <c r="HKO138" s="422"/>
      <c r="HKP138" s="422"/>
      <c r="HKQ138" s="422"/>
      <c r="HKR138" s="422"/>
      <c r="HKS138" s="422"/>
      <c r="HKT138" s="422"/>
      <c r="HKU138" s="422"/>
      <c r="HKV138" s="422"/>
      <c r="HKW138" s="422"/>
      <c r="HKX138" s="422"/>
      <c r="HKY138" s="422"/>
      <c r="HKZ138" s="422"/>
      <c r="HLA138" s="422"/>
      <c r="HLB138" s="422"/>
      <c r="HLC138" s="422"/>
      <c r="HLD138" s="422"/>
      <c r="HLE138" s="422"/>
      <c r="HLF138" s="422"/>
      <c r="HLG138" s="422"/>
      <c r="HLH138" s="422"/>
      <c r="HLI138" s="422"/>
      <c r="HLJ138" s="422"/>
      <c r="HLK138" s="422"/>
      <c r="HLL138" s="422"/>
      <c r="HLM138" s="422"/>
      <c r="HLN138" s="422"/>
      <c r="HLO138" s="422"/>
      <c r="HLP138" s="422"/>
      <c r="HLQ138" s="422"/>
      <c r="HLR138" s="422"/>
      <c r="HLS138" s="422"/>
      <c r="HLT138" s="422"/>
      <c r="HLU138" s="422"/>
      <c r="HLV138" s="422"/>
      <c r="HLW138" s="422"/>
      <c r="HLX138" s="422"/>
      <c r="HLY138" s="422"/>
      <c r="HLZ138" s="422"/>
      <c r="HMA138" s="422"/>
      <c r="HMB138" s="422"/>
      <c r="HMC138" s="422"/>
      <c r="HMD138" s="422"/>
      <c r="HME138" s="422"/>
      <c r="HMF138" s="422"/>
      <c r="HMG138" s="422"/>
      <c r="HMH138" s="422"/>
      <c r="HMI138" s="422"/>
      <c r="HMJ138" s="422"/>
      <c r="HMK138" s="422"/>
      <c r="HML138" s="422"/>
      <c r="HMM138" s="422"/>
      <c r="HMN138" s="422"/>
      <c r="HMO138" s="422"/>
      <c r="HMP138" s="422"/>
      <c r="HMQ138" s="422"/>
      <c r="HMR138" s="422"/>
      <c r="HMS138" s="422"/>
      <c r="HMT138" s="422"/>
      <c r="HMU138" s="422"/>
      <c r="HMV138" s="422"/>
      <c r="HMW138" s="422"/>
      <c r="HMX138" s="422"/>
      <c r="HMY138" s="422"/>
      <c r="HMZ138" s="422"/>
      <c r="HNA138" s="422"/>
      <c r="HNB138" s="422"/>
      <c r="HNC138" s="422"/>
      <c r="HND138" s="422"/>
      <c r="HNE138" s="422"/>
      <c r="HNF138" s="422"/>
      <c r="HNG138" s="422"/>
      <c r="HNH138" s="422"/>
      <c r="HNI138" s="422"/>
      <c r="HNJ138" s="422"/>
      <c r="HNK138" s="422"/>
      <c r="HNL138" s="422"/>
      <c r="HNM138" s="422"/>
      <c r="HNN138" s="422"/>
      <c r="HNO138" s="422"/>
      <c r="HNP138" s="422"/>
      <c r="HNQ138" s="422"/>
      <c r="HNR138" s="422"/>
      <c r="HNS138" s="422"/>
      <c r="HNT138" s="422"/>
      <c r="HNU138" s="422"/>
      <c r="HNV138" s="422"/>
      <c r="HNW138" s="422"/>
      <c r="HNX138" s="422"/>
      <c r="HNY138" s="422"/>
      <c r="HNZ138" s="422"/>
      <c r="HOA138" s="422"/>
      <c r="HOB138" s="422"/>
      <c r="HOC138" s="422"/>
      <c r="HOD138" s="422"/>
      <c r="HOE138" s="422"/>
      <c r="HOF138" s="422"/>
      <c r="HOG138" s="422"/>
      <c r="HOH138" s="422"/>
      <c r="HOI138" s="422"/>
      <c r="HOJ138" s="422"/>
      <c r="HOK138" s="422"/>
      <c r="HOL138" s="422"/>
      <c r="HOM138" s="422"/>
      <c r="HON138" s="422"/>
      <c r="HOO138" s="422"/>
      <c r="HOP138" s="422"/>
      <c r="HOQ138" s="422"/>
      <c r="HOR138" s="422"/>
      <c r="HOS138" s="422"/>
      <c r="HOT138" s="422"/>
      <c r="HOU138" s="422"/>
      <c r="HOV138" s="422"/>
      <c r="HOW138" s="422"/>
      <c r="HOX138" s="422"/>
      <c r="HOY138" s="422"/>
      <c r="HOZ138" s="422"/>
      <c r="HPA138" s="422"/>
      <c r="HPB138" s="422"/>
      <c r="HPC138" s="422"/>
      <c r="HPD138" s="422"/>
      <c r="HPE138" s="422"/>
      <c r="HPF138" s="422"/>
      <c r="HPG138" s="422"/>
      <c r="HPH138" s="422"/>
      <c r="HPI138" s="422"/>
      <c r="HPJ138" s="422"/>
      <c r="HPK138" s="422"/>
      <c r="HPL138" s="422"/>
      <c r="HPM138" s="422"/>
      <c r="HPN138" s="422"/>
      <c r="HPO138" s="422"/>
      <c r="HPP138" s="422"/>
      <c r="HPQ138" s="422"/>
      <c r="HPR138" s="422"/>
      <c r="HPS138" s="422"/>
      <c r="HPT138" s="422"/>
      <c r="HPU138" s="422"/>
      <c r="HPV138" s="422"/>
      <c r="HPW138" s="422"/>
      <c r="HPX138" s="422"/>
      <c r="HPY138" s="422"/>
      <c r="HPZ138" s="422"/>
      <c r="HQA138" s="422"/>
      <c r="HQB138" s="422"/>
      <c r="HQC138" s="422"/>
      <c r="HQD138" s="422"/>
      <c r="HQE138" s="422"/>
      <c r="HQF138" s="422"/>
      <c r="HQG138" s="422"/>
      <c r="HQH138" s="422"/>
      <c r="HQI138" s="422"/>
      <c r="HQJ138" s="422"/>
      <c r="HQK138" s="422"/>
      <c r="HQL138" s="422"/>
      <c r="HQM138" s="422"/>
      <c r="HQN138" s="422"/>
      <c r="HQO138" s="422"/>
      <c r="HQP138" s="422"/>
      <c r="HQQ138" s="422"/>
      <c r="HQR138" s="422"/>
      <c r="HQS138" s="422"/>
      <c r="HQT138" s="422"/>
      <c r="HQU138" s="422"/>
      <c r="HQV138" s="422"/>
      <c r="HQW138" s="422"/>
      <c r="HQX138" s="422"/>
      <c r="HQY138" s="422"/>
      <c r="HQZ138" s="422"/>
      <c r="HRA138" s="422"/>
      <c r="HRB138" s="422"/>
      <c r="HRC138" s="422"/>
      <c r="HRD138" s="422"/>
      <c r="HRE138" s="422"/>
      <c r="HRF138" s="422"/>
      <c r="HRG138" s="422"/>
      <c r="HRH138" s="422"/>
      <c r="HRI138" s="422"/>
      <c r="HRJ138" s="422"/>
      <c r="HRK138" s="422"/>
      <c r="HRL138" s="422"/>
      <c r="HRM138" s="422"/>
      <c r="HRN138" s="422"/>
      <c r="HRO138" s="422"/>
      <c r="HRP138" s="422"/>
      <c r="HRQ138" s="422"/>
      <c r="HRR138" s="422"/>
      <c r="HRS138" s="422"/>
      <c r="HRT138" s="422"/>
      <c r="HRU138" s="422"/>
      <c r="HRV138" s="422"/>
      <c r="HRW138" s="422"/>
      <c r="HRX138" s="422"/>
      <c r="HRY138" s="422"/>
      <c r="HRZ138" s="422"/>
      <c r="HSA138" s="422"/>
      <c r="HSB138" s="422"/>
      <c r="HSC138" s="422"/>
      <c r="HSD138" s="422"/>
      <c r="HSE138" s="422"/>
      <c r="HSF138" s="422"/>
      <c r="HSG138" s="422"/>
      <c r="HSH138" s="422"/>
      <c r="HSI138" s="422"/>
      <c r="HSJ138" s="422"/>
      <c r="HSK138" s="422"/>
      <c r="HSL138" s="422"/>
      <c r="HSM138" s="422"/>
      <c r="HSN138" s="422"/>
      <c r="HSO138" s="422"/>
      <c r="HSP138" s="422"/>
      <c r="HSQ138" s="422"/>
      <c r="HSR138" s="422"/>
      <c r="HSS138" s="422"/>
      <c r="HST138" s="422"/>
      <c r="HSU138" s="422"/>
      <c r="HSV138" s="422"/>
      <c r="HSW138" s="422"/>
      <c r="HSX138" s="422"/>
      <c r="HSY138" s="422"/>
      <c r="HSZ138" s="422"/>
      <c r="HTA138" s="422"/>
      <c r="HTB138" s="422"/>
      <c r="HTC138" s="422"/>
      <c r="HTD138" s="422"/>
      <c r="HTE138" s="422"/>
      <c r="HTF138" s="422"/>
      <c r="HTG138" s="422"/>
      <c r="HTH138" s="422"/>
      <c r="HTI138" s="422"/>
      <c r="HTJ138" s="422"/>
      <c r="HTK138" s="422"/>
      <c r="HTL138" s="422"/>
      <c r="HTM138" s="422"/>
      <c r="HTN138" s="422"/>
      <c r="HTO138" s="422"/>
      <c r="HTP138" s="422"/>
      <c r="HTQ138" s="422"/>
      <c r="HTR138" s="422"/>
      <c r="HTS138" s="422"/>
      <c r="HTT138" s="422"/>
      <c r="HTU138" s="422"/>
      <c r="HTV138" s="422"/>
      <c r="HTW138" s="422"/>
      <c r="HTX138" s="422"/>
      <c r="HTY138" s="422"/>
      <c r="HTZ138" s="422"/>
      <c r="HUA138" s="422"/>
      <c r="HUB138" s="422"/>
      <c r="HUC138" s="422"/>
      <c r="HUD138" s="422"/>
      <c r="HUE138" s="422"/>
      <c r="HUF138" s="422"/>
      <c r="HUG138" s="422"/>
      <c r="HUH138" s="422"/>
      <c r="HUI138" s="422"/>
      <c r="HUJ138" s="422"/>
      <c r="HUK138" s="422"/>
      <c r="HUL138" s="422"/>
      <c r="HUM138" s="422"/>
      <c r="HUN138" s="422"/>
      <c r="HUO138" s="422"/>
      <c r="HUP138" s="422"/>
      <c r="HUQ138" s="422"/>
      <c r="HUR138" s="422"/>
      <c r="HUS138" s="422"/>
      <c r="HUT138" s="422"/>
      <c r="HUU138" s="422"/>
      <c r="HUV138" s="422"/>
      <c r="HUW138" s="422"/>
      <c r="HUX138" s="422"/>
      <c r="HUY138" s="422"/>
      <c r="HUZ138" s="422"/>
      <c r="HVA138" s="422"/>
      <c r="HVB138" s="422"/>
      <c r="HVC138" s="422"/>
      <c r="HVD138" s="422"/>
      <c r="HVE138" s="422"/>
      <c r="HVF138" s="422"/>
      <c r="HVG138" s="422"/>
      <c r="HVH138" s="422"/>
      <c r="HVI138" s="422"/>
      <c r="HVJ138" s="422"/>
      <c r="HVK138" s="422"/>
      <c r="HVL138" s="422"/>
      <c r="HVM138" s="422"/>
      <c r="HVN138" s="422"/>
      <c r="HVO138" s="422"/>
      <c r="HVP138" s="422"/>
      <c r="HVQ138" s="422"/>
      <c r="HVR138" s="422"/>
      <c r="HVS138" s="422"/>
      <c r="HVT138" s="422"/>
      <c r="HVU138" s="422"/>
      <c r="HVV138" s="422"/>
      <c r="HVW138" s="422"/>
      <c r="HVX138" s="422"/>
      <c r="HVY138" s="422"/>
      <c r="HVZ138" s="422"/>
      <c r="HWA138" s="422"/>
      <c r="HWB138" s="422"/>
      <c r="HWC138" s="422"/>
      <c r="HWD138" s="422"/>
      <c r="HWE138" s="422"/>
      <c r="HWF138" s="422"/>
      <c r="HWG138" s="422"/>
      <c r="HWH138" s="422"/>
      <c r="HWI138" s="422"/>
      <c r="HWJ138" s="422"/>
      <c r="HWK138" s="422"/>
      <c r="HWL138" s="422"/>
      <c r="HWM138" s="422"/>
      <c r="HWN138" s="422"/>
      <c r="HWO138" s="422"/>
      <c r="HWP138" s="422"/>
      <c r="HWQ138" s="422"/>
      <c r="HWR138" s="422"/>
      <c r="HWS138" s="422"/>
      <c r="HWT138" s="422"/>
      <c r="HWU138" s="422"/>
      <c r="HWV138" s="422"/>
      <c r="HWW138" s="422"/>
      <c r="HWX138" s="422"/>
      <c r="HWY138" s="422"/>
      <c r="HWZ138" s="422"/>
      <c r="HXA138" s="422"/>
      <c r="HXB138" s="422"/>
      <c r="HXC138" s="422"/>
      <c r="HXD138" s="422"/>
      <c r="HXE138" s="422"/>
      <c r="HXF138" s="422"/>
      <c r="HXG138" s="422"/>
      <c r="HXH138" s="422"/>
      <c r="HXI138" s="422"/>
      <c r="HXJ138" s="422"/>
      <c r="HXK138" s="422"/>
      <c r="HXL138" s="422"/>
      <c r="HXM138" s="422"/>
      <c r="HXN138" s="422"/>
      <c r="HXO138" s="422"/>
      <c r="HXP138" s="422"/>
      <c r="HXQ138" s="422"/>
      <c r="HXR138" s="422"/>
      <c r="HXS138" s="422"/>
      <c r="HXT138" s="422"/>
      <c r="HXU138" s="422"/>
      <c r="HXV138" s="422"/>
      <c r="HXW138" s="422"/>
      <c r="HXX138" s="422"/>
      <c r="HXY138" s="422"/>
      <c r="HXZ138" s="422"/>
      <c r="HYA138" s="422"/>
      <c r="HYB138" s="422"/>
      <c r="HYC138" s="422"/>
      <c r="HYD138" s="422"/>
      <c r="HYE138" s="422"/>
      <c r="HYF138" s="422"/>
      <c r="HYG138" s="422"/>
      <c r="HYH138" s="422"/>
      <c r="HYI138" s="422"/>
      <c r="HYJ138" s="422"/>
      <c r="HYK138" s="422"/>
      <c r="HYL138" s="422"/>
      <c r="HYM138" s="422"/>
      <c r="HYN138" s="422"/>
      <c r="HYO138" s="422"/>
      <c r="HYP138" s="422"/>
      <c r="HYQ138" s="422"/>
      <c r="HYR138" s="422"/>
      <c r="HYS138" s="422"/>
      <c r="HYT138" s="422"/>
      <c r="HYU138" s="422"/>
      <c r="HYV138" s="422"/>
      <c r="HYW138" s="422"/>
      <c r="HYX138" s="422"/>
      <c r="HYY138" s="422"/>
      <c r="HYZ138" s="422"/>
      <c r="HZA138" s="422"/>
      <c r="HZB138" s="422"/>
      <c r="HZC138" s="422"/>
      <c r="HZD138" s="422"/>
      <c r="HZE138" s="422"/>
      <c r="HZF138" s="422"/>
      <c r="HZG138" s="422"/>
      <c r="HZH138" s="422"/>
      <c r="HZI138" s="422"/>
      <c r="HZJ138" s="422"/>
      <c r="HZK138" s="422"/>
      <c r="HZL138" s="422"/>
      <c r="HZM138" s="422"/>
      <c r="HZN138" s="422"/>
      <c r="HZO138" s="422"/>
      <c r="HZP138" s="422"/>
      <c r="HZQ138" s="422"/>
      <c r="HZR138" s="422"/>
      <c r="HZS138" s="422"/>
      <c r="HZT138" s="422"/>
      <c r="HZU138" s="422"/>
      <c r="HZV138" s="422"/>
      <c r="HZW138" s="422"/>
      <c r="HZX138" s="422"/>
      <c r="HZY138" s="422"/>
      <c r="HZZ138" s="422"/>
      <c r="IAA138" s="422"/>
      <c r="IAB138" s="422"/>
      <c r="IAC138" s="422"/>
      <c r="IAD138" s="422"/>
      <c r="IAE138" s="422"/>
      <c r="IAF138" s="422"/>
      <c r="IAG138" s="422"/>
      <c r="IAH138" s="422"/>
      <c r="IAI138" s="422"/>
      <c r="IAJ138" s="422"/>
      <c r="IAK138" s="422"/>
      <c r="IAL138" s="422"/>
      <c r="IAM138" s="422"/>
      <c r="IAN138" s="422"/>
      <c r="IAO138" s="422"/>
      <c r="IAP138" s="422"/>
      <c r="IAQ138" s="422"/>
      <c r="IAR138" s="422"/>
      <c r="IAS138" s="422"/>
      <c r="IAT138" s="422"/>
      <c r="IAU138" s="422"/>
      <c r="IAV138" s="422"/>
      <c r="IAW138" s="422"/>
      <c r="IAX138" s="422"/>
      <c r="IAY138" s="422"/>
      <c r="IAZ138" s="422"/>
      <c r="IBA138" s="422"/>
      <c r="IBB138" s="422"/>
      <c r="IBC138" s="422"/>
      <c r="IBD138" s="422"/>
      <c r="IBE138" s="422"/>
      <c r="IBF138" s="422"/>
      <c r="IBG138" s="422"/>
      <c r="IBH138" s="422"/>
      <c r="IBI138" s="422"/>
      <c r="IBJ138" s="422"/>
      <c r="IBK138" s="422"/>
      <c r="IBL138" s="422"/>
      <c r="IBM138" s="422"/>
      <c r="IBN138" s="422"/>
      <c r="IBO138" s="422"/>
      <c r="IBP138" s="422"/>
      <c r="IBQ138" s="422"/>
      <c r="IBR138" s="422"/>
      <c r="IBS138" s="422"/>
      <c r="IBT138" s="422"/>
      <c r="IBU138" s="422"/>
      <c r="IBV138" s="422"/>
      <c r="IBW138" s="422"/>
      <c r="IBX138" s="422"/>
      <c r="IBY138" s="422"/>
      <c r="IBZ138" s="422"/>
      <c r="ICA138" s="422"/>
      <c r="ICB138" s="422"/>
      <c r="ICC138" s="422"/>
      <c r="ICD138" s="422"/>
      <c r="ICE138" s="422"/>
      <c r="ICF138" s="422"/>
      <c r="ICG138" s="422"/>
      <c r="ICH138" s="422"/>
      <c r="ICI138" s="422"/>
      <c r="ICJ138" s="422"/>
      <c r="ICK138" s="422"/>
      <c r="ICL138" s="422"/>
      <c r="ICM138" s="422"/>
      <c r="ICN138" s="422"/>
      <c r="ICO138" s="422"/>
      <c r="ICP138" s="422"/>
      <c r="ICQ138" s="422"/>
      <c r="ICR138" s="422"/>
      <c r="ICS138" s="422"/>
      <c r="ICT138" s="422"/>
      <c r="ICU138" s="422"/>
      <c r="ICV138" s="422"/>
      <c r="ICW138" s="422"/>
      <c r="ICX138" s="422"/>
      <c r="ICY138" s="422"/>
      <c r="ICZ138" s="422"/>
      <c r="IDA138" s="422"/>
      <c r="IDB138" s="422"/>
      <c r="IDC138" s="422"/>
      <c r="IDD138" s="422"/>
      <c r="IDE138" s="422"/>
      <c r="IDF138" s="422"/>
      <c r="IDG138" s="422"/>
      <c r="IDH138" s="422"/>
      <c r="IDI138" s="422"/>
      <c r="IDJ138" s="422"/>
      <c r="IDK138" s="422"/>
      <c r="IDL138" s="422"/>
      <c r="IDM138" s="422"/>
      <c r="IDN138" s="422"/>
      <c r="IDO138" s="422"/>
      <c r="IDP138" s="422"/>
      <c r="IDQ138" s="422"/>
      <c r="IDR138" s="422"/>
      <c r="IDS138" s="422"/>
      <c r="IDT138" s="422"/>
      <c r="IDU138" s="422"/>
      <c r="IDV138" s="422"/>
      <c r="IDW138" s="422"/>
      <c r="IDX138" s="422"/>
      <c r="IDY138" s="422"/>
      <c r="IDZ138" s="422"/>
      <c r="IEA138" s="422"/>
      <c r="IEB138" s="422"/>
      <c r="IEC138" s="422"/>
      <c r="IED138" s="422"/>
      <c r="IEE138" s="422"/>
      <c r="IEF138" s="422"/>
      <c r="IEG138" s="422"/>
      <c r="IEH138" s="422"/>
      <c r="IEI138" s="422"/>
      <c r="IEJ138" s="422"/>
      <c r="IEK138" s="422"/>
      <c r="IEL138" s="422"/>
      <c r="IEM138" s="422"/>
      <c r="IEN138" s="422"/>
      <c r="IEO138" s="422"/>
      <c r="IEP138" s="422"/>
      <c r="IEQ138" s="422"/>
      <c r="IER138" s="422"/>
      <c r="IES138" s="422"/>
      <c r="IET138" s="422"/>
      <c r="IEU138" s="422"/>
      <c r="IEV138" s="422"/>
      <c r="IEW138" s="422"/>
      <c r="IEX138" s="422"/>
      <c r="IEY138" s="422"/>
      <c r="IEZ138" s="422"/>
      <c r="IFA138" s="422"/>
      <c r="IFB138" s="422"/>
      <c r="IFC138" s="422"/>
      <c r="IFD138" s="422"/>
      <c r="IFE138" s="422"/>
      <c r="IFF138" s="422"/>
      <c r="IFG138" s="422"/>
      <c r="IFH138" s="422"/>
      <c r="IFI138" s="422"/>
      <c r="IFJ138" s="422"/>
      <c r="IFK138" s="422"/>
      <c r="IFL138" s="422"/>
      <c r="IFM138" s="422"/>
      <c r="IFN138" s="422"/>
      <c r="IFO138" s="422"/>
      <c r="IFP138" s="422"/>
      <c r="IFQ138" s="422"/>
      <c r="IFR138" s="422"/>
      <c r="IFS138" s="422"/>
      <c r="IFT138" s="422"/>
      <c r="IFU138" s="422"/>
      <c r="IFV138" s="422"/>
      <c r="IFW138" s="422"/>
      <c r="IFX138" s="422"/>
      <c r="IFY138" s="422"/>
      <c r="IFZ138" s="422"/>
      <c r="IGA138" s="422"/>
      <c r="IGB138" s="422"/>
      <c r="IGC138" s="422"/>
      <c r="IGD138" s="422"/>
      <c r="IGE138" s="422"/>
      <c r="IGF138" s="422"/>
      <c r="IGG138" s="422"/>
      <c r="IGH138" s="422"/>
      <c r="IGI138" s="422"/>
      <c r="IGJ138" s="422"/>
      <c r="IGK138" s="422"/>
      <c r="IGL138" s="422"/>
      <c r="IGM138" s="422"/>
      <c r="IGN138" s="422"/>
      <c r="IGO138" s="422"/>
      <c r="IGP138" s="422"/>
      <c r="IGQ138" s="422"/>
      <c r="IGR138" s="422"/>
      <c r="IGS138" s="422"/>
      <c r="IGT138" s="422"/>
      <c r="IGU138" s="422"/>
      <c r="IGV138" s="422"/>
      <c r="IGW138" s="422"/>
      <c r="IGX138" s="422"/>
      <c r="IGY138" s="422"/>
      <c r="IGZ138" s="422"/>
      <c r="IHA138" s="422"/>
      <c r="IHB138" s="422"/>
      <c r="IHC138" s="422"/>
      <c r="IHD138" s="422"/>
      <c r="IHE138" s="422"/>
      <c r="IHF138" s="422"/>
      <c r="IHG138" s="422"/>
      <c r="IHH138" s="422"/>
      <c r="IHI138" s="422"/>
      <c r="IHJ138" s="422"/>
      <c r="IHK138" s="422"/>
      <c r="IHL138" s="422"/>
      <c r="IHM138" s="422"/>
      <c r="IHN138" s="422"/>
      <c r="IHO138" s="422"/>
      <c r="IHP138" s="422"/>
      <c r="IHQ138" s="422"/>
      <c r="IHR138" s="422"/>
      <c r="IHS138" s="422"/>
      <c r="IHT138" s="422"/>
      <c r="IHU138" s="422"/>
      <c r="IHV138" s="422"/>
      <c r="IHW138" s="422"/>
      <c r="IHX138" s="422"/>
      <c r="IHY138" s="422"/>
      <c r="IHZ138" s="422"/>
      <c r="IIA138" s="422"/>
      <c r="IIB138" s="422"/>
      <c r="IIC138" s="422"/>
      <c r="IID138" s="422"/>
      <c r="IIE138" s="422"/>
      <c r="IIF138" s="422"/>
      <c r="IIG138" s="422"/>
      <c r="IIH138" s="422"/>
      <c r="III138" s="422"/>
      <c r="IIJ138" s="422"/>
      <c r="IIK138" s="422"/>
      <c r="IIL138" s="422"/>
      <c r="IIM138" s="422"/>
      <c r="IIN138" s="422"/>
      <c r="IIO138" s="422"/>
      <c r="IIP138" s="422"/>
      <c r="IIQ138" s="422"/>
      <c r="IIR138" s="422"/>
      <c r="IIS138" s="422"/>
      <c r="IIT138" s="422"/>
      <c r="IIU138" s="422"/>
      <c r="IIV138" s="422"/>
      <c r="IIW138" s="422"/>
      <c r="IIX138" s="422"/>
      <c r="IIY138" s="422"/>
      <c r="IIZ138" s="422"/>
      <c r="IJA138" s="422"/>
      <c r="IJB138" s="422"/>
      <c r="IJC138" s="422"/>
      <c r="IJD138" s="422"/>
      <c r="IJE138" s="422"/>
      <c r="IJF138" s="422"/>
      <c r="IJG138" s="422"/>
      <c r="IJH138" s="422"/>
      <c r="IJI138" s="422"/>
      <c r="IJJ138" s="422"/>
      <c r="IJK138" s="422"/>
      <c r="IJL138" s="422"/>
      <c r="IJM138" s="422"/>
      <c r="IJN138" s="422"/>
      <c r="IJO138" s="422"/>
      <c r="IJP138" s="422"/>
      <c r="IJQ138" s="422"/>
      <c r="IJR138" s="422"/>
      <c r="IJS138" s="422"/>
      <c r="IJT138" s="422"/>
      <c r="IJU138" s="422"/>
      <c r="IJV138" s="422"/>
      <c r="IJW138" s="422"/>
      <c r="IJX138" s="422"/>
      <c r="IJY138" s="422"/>
      <c r="IJZ138" s="422"/>
      <c r="IKA138" s="422"/>
      <c r="IKB138" s="422"/>
      <c r="IKC138" s="422"/>
      <c r="IKD138" s="422"/>
      <c r="IKE138" s="422"/>
      <c r="IKF138" s="422"/>
      <c r="IKG138" s="422"/>
      <c r="IKH138" s="422"/>
      <c r="IKI138" s="422"/>
      <c r="IKJ138" s="422"/>
      <c r="IKK138" s="422"/>
      <c r="IKL138" s="422"/>
      <c r="IKM138" s="422"/>
      <c r="IKN138" s="422"/>
      <c r="IKO138" s="422"/>
      <c r="IKP138" s="422"/>
      <c r="IKQ138" s="422"/>
      <c r="IKR138" s="422"/>
      <c r="IKS138" s="422"/>
      <c r="IKT138" s="422"/>
      <c r="IKU138" s="422"/>
      <c r="IKV138" s="422"/>
      <c r="IKW138" s="422"/>
      <c r="IKX138" s="422"/>
      <c r="IKY138" s="422"/>
      <c r="IKZ138" s="422"/>
      <c r="ILA138" s="422"/>
      <c r="ILB138" s="422"/>
      <c r="ILC138" s="422"/>
      <c r="ILD138" s="422"/>
      <c r="ILE138" s="422"/>
      <c r="ILF138" s="422"/>
      <c r="ILG138" s="422"/>
      <c r="ILH138" s="422"/>
      <c r="ILI138" s="422"/>
      <c r="ILJ138" s="422"/>
      <c r="ILK138" s="422"/>
      <c r="ILL138" s="422"/>
      <c r="ILM138" s="422"/>
      <c r="ILN138" s="422"/>
      <c r="ILO138" s="422"/>
      <c r="ILP138" s="422"/>
      <c r="ILQ138" s="422"/>
      <c r="ILR138" s="422"/>
      <c r="ILS138" s="422"/>
      <c r="ILT138" s="422"/>
      <c r="ILU138" s="422"/>
      <c r="ILV138" s="422"/>
      <c r="ILW138" s="422"/>
      <c r="ILX138" s="422"/>
      <c r="ILY138" s="422"/>
      <c r="ILZ138" s="422"/>
      <c r="IMA138" s="422"/>
      <c r="IMB138" s="422"/>
      <c r="IMC138" s="422"/>
      <c r="IMD138" s="422"/>
      <c r="IME138" s="422"/>
      <c r="IMF138" s="422"/>
      <c r="IMG138" s="422"/>
      <c r="IMH138" s="422"/>
      <c r="IMI138" s="422"/>
      <c r="IMJ138" s="422"/>
      <c r="IMK138" s="422"/>
      <c r="IML138" s="422"/>
      <c r="IMM138" s="422"/>
      <c r="IMN138" s="422"/>
      <c r="IMO138" s="422"/>
      <c r="IMP138" s="422"/>
      <c r="IMQ138" s="422"/>
      <c r="IMR138" s="422"/>
      <c r="IMS138" s="422"/>
      <c r="IMT138" s="422"/>
      <c r="IMU138" s="422"/>
      <c r="IMV138" s="422"/>
      <c r="IMW138" s="422"/>
      <c r="IMX138" s="422"/>
      <c r="IMY138" s="422"/>
      <c r="IMZ138" s="422"/>
      <c r="INA138" s="422"/>
      <c r="INB138" s="422"/>
      <c r="INC138" s="422"/>
      <c r="IND138" s="422"/>
      <c r="INE138" s="422"/>
      <c r="INF138" s="422"/>
      <c r="ING138" s="422"/>
      <c r="INH138" s="422"/>
      <c r="INI138" s="422"/>
      <c r="INJ138" s="422"/>
      <c r="INK138" s="422"/>
      <c r="INL138" s="422"/>
      <c r="INM138" s="422"/>
      <c r="INN138" s="422"/>
      <c r="INO138" s="422"/>
      <c r="INP138" s="422"/>
      <c r="INQ138" s="422"/>
      <c r="INR138" s="422"/>
      <c r="INS138" s="422"/>
      <c r="INT138" s="422"/>
      <c r="INU138" s="422"/>
      <c r="INV138" s="422"/>
      <c r="INW138" s="422"/>
      <c r="INX138" s="422"/>
      <c r="INY138" s="422"/>
      <c r="INZ138" s="422"/>
      <c r="IOA138" s="422"/>
      <c r="IOB138" s="422"/>
      <c r="IOC138" s="422"/>
      <c r="IOD138" s="422"/>
      <c r="IOE138" s="422"/>
      <c r="IOF138" s="422"/>
      <c r="IOG138" s="422"/>
      <c r="IOH138" s="422"/>
      <c r="IOI138" s="422"/>
      <c r="IOJ138" s="422"/>
      <c r="IOK138" s="422"/>
      <c r="IOL138" s="422"/>
      <c r="IOM138" s="422"/>
      <c r="ION138" s="422"/>
      <c r="IOO138" s="422"/>
      <c r="IOP138" s="422"/>
      <c r="IOQ138" s="422"/>
      <c r="IOR138" s="422"/>
      <c r="IOS138" s="422"/>
      <c r="IOT138" s="422"/>
      <c r="IOU138" s="422"/>
      <c r="IOV138" s="422"/>
      <c r="IOW138" s="422"/>
      <c r="IOX138" s="422"/>
      <c r="IOY138" s="422"/>
      <c r="IOZ138" s="422"/>
      <c r="IPA138" s="422"/>
      <c r="IPB138" s="422"/>
      <c r="IPC138" s="422"/>
      <c r="IPD138" s="422"/>
      <c r="IPE138" s="422"/>
      <c r="IPF138" s="422"/>
      <c r="IPG138" s="422"/>
      <c r="IPH138" s="422"/>
      <c r="IPI138" s="422"/>
      <c r="IPJ138" s="422"/>
      <c r="IPK138" s="422"/>
      <c r="IPL138" s="422"/>
      <c r="IPM138" s="422"/>
      <c r="IPN138" s="422"/>
      <c r="IPO138" s="422"/>
      <c r="IPP138" s="422"/>
      <c r="IPQ138" s="422"/>
      <c r="IPR138" s="422"/>
      <c r="IPS138" s="422"/>
      <c r="IPT138" s="422"/>
      <c r="IPU138" s="422"/>
      <c r="IPV138" s="422"/>
      <c r="IPW138" s="422"/>
      <c r="IPX138" s="422"/>
      <c r="IPY138" s="422"/>
      <c r="IPZ138" s="422"/>
      <c r="IQA138" s="422"/>
      <c r="IQB138" s="422"/>
      <c r="IQC138" s="422"/>
      <c r="IQD138" s="422"/>
      <c r="IQE138" s="422"/>
      <c r="IQF138" s="422"/>
      <c r="IQG138" s="422"/>
      <c r="IQH138" s="422"/>
      <c r="IQI138" s="422"/>
      <c r="IQJ138" s="422"/>
      <c r="IQK138" s="422"/>
      <c r="IQL138" s="422"/>
      <c r="IQM138" s="422"/>
      <c r="IQN138" s="422"/>
      <c r="IQO138" s="422"/>
      <c r="IQP138" s="422"/>
      <c r="IQQ138" s="422"/>
      <c r="IQR138" s="422"/>
      <c r="IQS138" s="422"/>
      <c r="IQT138" s="422"/>
      <c r="IQU138" s="422"/>
      <c r="IQV138" s="422"/>
      <c r="IQW138" s="422"/>
      <c r="IQX138" s="422"/>
      <c r="IQY138" s="422"/>
      <c r="IQZ138" s="422"/>
      <c r="IRA138" s="422"/>
      <c r="IRB138" s="422"/>
      <c r="IRC138" s="422"/>
      <c r="IRD138" s="422"/>
      <c r="IRE138" s="422"/>
      <c r="IRF138" s="422"/>
      <c r="IRG138" s="422"/>
      <c r="IRH138" s="422"/>
      <c r="IRI138" s="422"/>
      <c r="IRJ138" s="422"/>
      <c r="IRK138" s="422"/>
      <c r="IRL138" s="422"/>
      <c r="IRM138" s="422"/>
      <c r="IRN138" s="422"/>
      <c r="IRO138" s="422"/>
      <c r="IRP138" s="422"/>
      <c r="IRQ138" s="422"/>
      <c r="IRR138" s="422"/>
      <c r="IRS138" s="422"/>
      <c r="IRT138" s="422"/>
      <c r="IRU138" s="422"/>
      <c r="IRV138" s="422"/>
      <c r="IRW138" s="422"/>
      <c r="IRX138" s="422"/>
      <c r="IRY138" s="422"/>
      <c r="IRZ138" s="422"/>
      <c r="ISA138" s="422"/>
      <c r="ISB138" s="422"/>
      <c r="ISC138" s="422"/>
      <c r="ISD138" s="422"/>
      <c r="ISE138" s="422"/>
      <c r="ISF138" s="422"/>
      <c r="ISG138" s="422"/>
      <c r="ISH138" s="422"/>
      <c r="ISI138" s="422"/>
      <c r="ISJ138" s="422"/>
      <c r="ISK138" s="422"/>
      <c r="ISL138" s="422"/>
      <c r="ISM138" s="422"/>
      <c r="ISN138" s="422"/>
      <c r="ISO138" s="422"/>
      <c r="ISP138" s="422"/>
      <c r="ISQ138" s="422"/>
      <c r="ISR138" s="422"/>
      <c r="ISS138" s="422"/>
      <c r="IST138" s="422"/>
      <c r="ISU138" s="422"/>
      <c r="ISV138" s="422"/>
      <c r="ISW138" s="422"/>
      <c r="ISX138" s="422"/>
      <c r="ISY138" s="422"/>
      <c r="ISZ138" s="422"/>
      <c r="ITA138" s="422"/>
      <c r="ITB138" s="422"/>
      <c r="ITC138" s="422"/>
      <c r="ITD138" s="422"/>
      <c r="ITE138" s="422"/>
      <c r="ITF138" s="422"/>
      <c r="ITG138" s="422"/>
      <c r="ITH138" s="422"/>
      <c r="ITI138" s="422"/>
      <c r="ITJ138" s="422"/>
      <c r="ITK138" s="422"/>
      <c r="ITL138" s="422"/>
      <c r="ITM138" s="422"/>
      <c r="ITN138" s="422"/>
      <c r="ITO138" s="422"/>
      <c r="ITP138" s="422"/>
      <c r="ITQ138" s="422"/>
      <c r="ITR138" s="422"/>
      <c r="ITS138" s="422"/>
      <c r="ITT138" s="422"/>
      <c r="ITU138" s="422"/>
      <c r="ITV138" s="422"/>
      <c r="ITW138" s="422"/>
      <c r="ITX138" s="422"/>
      <c r="ITY138" s="422"/>
      <c r="ITZ138" s="422"/>
      <c r="IUA138" s="422"/>
      <c r="IUB138" s="422"/>
      <c r="IUC138" s="422"/>
      <c r="IUD138" s="422"/>
      <c r="IUE138" s="422"/>
      <c r="IUF138" s="422"/>
      <c r="IUG138" s="422"/>
      <c r="IUH138" s="422"/>
      <c r="IUI138" s="422"/>
      <c r="IUJ138" s="422"/>
      <c r="IUK138" s="422"/>
      <c r="IUL138" s="422"/>
      <c r="IUM138" s="422"/>
      <c r="IUN138" s="422"/>
      <c r="IUO138" s="422"/>
      <c r="IUP138" s="422"/>
      <c r="IUQ138" s="422"/>
      <c r="IUR138" s="422"/>
      <c r="IUS138" s="422"/>
      <c r="IUT138" s="422"/>
      <c r="IUU138" s="422"/>
      <c r="IUV138" s="422"/>
      <c r="IUW138" s="422"/>
      <c r="IUX138" s="422"/>
      <c r="IUY138" s="422"/>
      <c r="IUZ138" s="422"/>
      <c r="IVA138" s="422"/>
      <c r="IVB138" s="422"/>
      <c r="IVC138" s="422"/>
      <c r="IVD138" s="422"/>
      <c r="IVE138" s="422"/>
      <c r="IVF138" s="422"/>
      <c r="IVG138" s="422"/>
      <c r="IVH138" s="422"/>
      <c r="IVI138" s="422"/>
      <c r="IVJ138" s="422"/>
      <c r="IVK138" s="422"/>
      <c r="IVL138" s="422"/>
      <c r="IVM138" s="422"/>
      <c r="IVN138" s="422"/>
      <c r="IVO138" s="422"/>
      <c r="IVP138" s="422"/>
      <c r="IVQ138" s="422"/>
      <c r="IVR138" s="422"/>
      <c r="IVS138" s="422"/>
      <c r="IVT138" s="422"/>
      <c r="IVU138" s="422"/>
      <c r="IVV138" s="422"/>
      <c r="IVW138" s="422"/>
      <c r="IVX138" s="422"/>
      <c r="IVY138" s="422"/>
      <c r="IVZ138" s="422"/>
      <c r="IWA138" s="422"/>
      <c r="IWB138" s="422"/>
      <c r="IWC138" s="422"/>
      <c r="IWD138" s="422"/>
      <c r="IWE138" s="422"/>
      <c r="IWF138" s="422"/>
      <c r="IWG138" s="422"/>
      <c r="IWH138" s="422"/>
      <c r="IWI138" s="422"/>
      <c r="IWJ138" s="422"/>
      <c r="IWK138" s="422"/>
      <c r="IWL138" s="422"/>
      <c r="IWM138" s="422"/>
      <c r="IWN138" s="422"/>
      <c r="IWO138" s="422"/>
      <c r="IWP138" s="422"/>
      <c r="IWQ138" s="422"/>
      <c r="IWR138" s="422"/>
      <c r="IWS138" s="422"/>
      <c r="IWT138" s="422"/>
      <c r="IWU138" s="422"/>
      <c r="IWV138" s="422"/>
      <c r="IWW138" s="422"/>
      <c r="IWX138" s="422"/>
      <c r="IWY138" s="422"/>
      <c r="IWZ138" s="422"/>
      <c r="IXA138" s="422"/>
      <c r="IXB138" s="422"/>
      <c r="IXC138" s="422"/>
      <c r="IXD138" s="422"/>
      <c r="IXE138" s="422"/>
      <c r="IXF138" s="422"/>
      <c r="IXG138" s="422"/>
      <c r="IXH138" s="422"/>
      <c r="IXI138" s="422"/>
      <c r="IXJ138" s="422"/>
      <c r="IXK138" s="422"/>
      <c r="IXL138" s="422"/>
      <c r="IXM138" s="422"/>
      <c r="IXN138" s="422"/>
      <c r="IXO138" s="422"/>
      <c r="IXP138" s="422"/>
      <c r="IXQ138" s="422"/>
      <c r="IXR138" s="422"/>
      <c r="IXS138" s="422"/>
      <c r="IXT138" s="422"/>
      <c r="IXU138" s="422"/>
      <c r="IXV138" s="422"/>
      <c r="IXW138" s="422"/>
      <c r="IXX138" s="422"/>
      <c r="IXY138" s="422"/>
      <c r="IXZ138" s="422"/>
      <c r="IYA138" s="422"/>
      <c r="IYB138" s="422"/>
      <c r="IYC138" s="422"/>
      <c r="IYD138" s="422"/>
      <c r="IYE138" s="422"/>
      <c r="IYF138" s="422"/>
      <c r="IYG138" s="422"/>
      <c r="IYH138" s="422"/>
      <c r="IYI138" s="422"/>
      <c r="IYJ138" s="422"/>
      <c r="IYK138" s="422"/>
      <c r="IYL138" s="422"/>
      <c r="IYM138" s="422"/>
      <c r="IYN138" s="422"/>
      <c r="IYO138" s="422"/>
      <c r="IYP138" s="422"/>
      <c r="IYQ138" s="422"/>
      <c r="IYR138" s="422"/>
      <c r="IYS138" s="422"/>
      <c r="IYT138" s="422"/>
      <c r="IYU138" s="422"/>
      <c r="IYV138" s="422"/>
      <c r="IYW138" s="422"/>
      <c r="IYX138" s="422"/>
      <c r="IYY138" s="422"/>
      <c r="IYZ138" s="422"/>
      <c r="IZA138" s="422"/>
      <c r="IZB138" s="422"/>
      <c r="IZC138" s="422"/>
      <c r="IZD138" s="422"/>
      <c r="IZE138" s="422"/>
      <c r="IZF138" s="422"/>
      <c r="IZG138" s="422"/>
      <c r="IZH138" s="422"/>
      <c r="IZI138" s="422"/>
      <c r="IZJ138" s="422"/>
      <c r="IZK138" s="422"/>
      <c r="IZL138" s="422"/>
      <c r="IZM138" s="422"/>
      <c r="IZN138" s="422"/>
      <c r="IZO138" s="422"/>
      <c r="IZP138" s="422"/>
      <c r="IZQ138" s="422"/>
      <c r="IZR138" s="422"/>
      <c r="IZS138" s="422"/>
      <c r="IZT138" s="422"/>
      <c r="IZU138" s="422"/>
      <c r="IZV138" s="422"/>
      <c r="IZW138" s="422"/>
      <c r="IZX138" s="422"/>
      <c r="IZY138" s="422"/>
      <c r="IZZ138" s="422"/>
      <c r="JAA138" s="422"/>
      <c r="JAB138" s="422"/>
      <c r="JAC138" s="422"/>
      <c r="JAD138" s="422"/>
      <c r="JAE138" s="422"/>
      <c r="JAF138" s="422"/>
      <c r="JAG138" s="422"/>
      <c r="JAH138" s="422"/>
      <c r="JAI138" s="422"/>
      <c r="JAJ138" s="422"/>
      <c r="JAK138" s="422"/>
      <c r="JAL138" s="422"/>
      <c r="JAM138" s="422"/>
      <c r="JAN138" s="422"/>
      <c r="JAO138" s="422"/>
      <c r="JAP138" s="422"/>
      <c r="JAQ138" s="422"/>
      <c r="JAR138" s="422"/>
      <c r="JAS138" s="422"/>
      <c r="JAT138" s="422"/>
      <c r="JAU138" s="422"/>
      <c r="JAV138" s="422"/>
      <c r="JAW138" s="422"/>
      <c r="JAX138" s="422"/>
      <c r="JAY138" s="422"/>
      <c r="JAZ138" s="422"/>
      <c r="JBA138" s="422"/>
      <c r="JBB138" s="422"/>
      <c r="JBC138" s="422"/>
      <c r="JBD138" s="422"/>
      <c r="JBE138" s="422"/>
      <c r="JBF138" s="422"/>
      <c r="JBG138" s="422"/>
      <c r="JBH138" s="422"/>
      <c r="JBI138" s="422"/>
      <c r="JBJ138" s="422"/>
      <c r="JBK138" s="422"/>
      <c r="JBL138" s="422"/>
      <c r="JBM138" s="422"/>
      <c r="JBN138" s="422"/>
      <c r="JBO138" s="422"/>
      <c r="JBP138" s="422"/>
      <c r="JBQ138" s="422"/>
      <c r="JBR138" s="422"/>
      <c r="JBS138" s="422"/>
      <c r="JBT138" s="422"/>
      <c r="JBU138" s="422"/>
      <c r="JBV138" s="422"/>
      <c r="JBW138" s="422"/>
      <c r="JBX138" s="422"/>
      <c r="JBY138" s="422"/>
      <c r="JBZ138" s="422"/>
      <c r="JCA138" s="422"/>
      <c r="JCB138" s="422"/>
      <c r="JCC138" s="422"/>
      <c r="JCD138" s="422"/>
      <c r="JCE138" s="422"/>
      <c r="JCF138" s="422"/>
      <c r="JCG138" s="422"/>
      <c r="JCH138" s="422"/>
      <c r="JCI138" s="422"/>
      <c r="JCJ138" s="422"/>
      <c r="JCK138" s="422"/>
      <c r="JCL138" s="422"/>
      <c r="JCM138" s="422"/>
      <c r="JCN138" s="422"/>
      <c r="JCO138" s="422"/>
      <c r="JCP138" s="422"/>
      <c r="JCQ138" s="422"/>
      <c r="JCR138" s="422"/>
      <c r="JCS138" s="422"/>
      <c r="JCT138" s="422"/>
      <c r="JCU138" s="422"/>
      <c r="JCV138" s="422"/>
      <c r="JCW138" s="422"/>
      <c r="JCX138" s="422"/>
      <c r="JCY138" s="422"/>
      <c r="JCZ138" s="422"/>
      <c r="JDA138" s="422"/>
      <c r="JDB138" s="422"/>
      <c r="JDC138" s="422"/>
      <c r="JDD138" s="422"/>
      <c r="JDE138" s="422"/>
      <c r="JDF138" s="422"/>
      <c r="JDG138" s="422"/>
      <c r="JDH138" s="422"/>
      <c r="JDI138" s="422"/>
      <c r="JDJ138" s="422"/>
      <c r="JDK138" s="422"/>
      <c r="JDL138" s="422"/>
      <c r="JDM138" s="422"/>
      <c r="JDN138" s="422"/>
      <c r="JDO138" s="422"/>
      <c r="JDP138" s="422"/>
      <c r="JDQ138" s="422"/>
      <c r="JDR138" s="422"/>
      <c r="JDS138" s="422"/>
      <c r="JDT138" s="422"/>
      <c r="JDU138" s="422"/>
      <c r="JDV138" s="422"/>
      <c r="JDW138" s="422"/>
      <c r="JDX138" s="422"/>
      <c r="JDY138" s="422"/>
      <c r="JDZ138" s="422"/>
      <c r="JEA138" s="422"/>
      <c r="JEB138" s="422"/>
      <c r="JEC138" s="422"/>
      <c r="JED138" s="422"/>
      <c r="JEE138" s="422"/>
      <c r="JEF138" s="422"/>
      <c r="JEG138" s="422"/>
      <c r="JEH138" s="422"/>
      <c r="JEI138" s="422"/>
      <c r="JEJ138" s="422"/>
      <c r="JEK138" s="422"/>
      <c r="JEL138" s="422"/>
      <c r="JEM138" s="422"/>
      <c r="JEN138" s="422"/>
      <c r="JEO138" s="422"/>
      <c r="JEP138" s="422"/>
      <c r="JEQ138" s="422"/>
      <c r="JER138" s="422"/>
      <c r="JES138" s="422"/>
      <c r="JET138" s="422"/>
      <c r="JEU138" s="422"/>
      <c r="JEV138" s="422"/>
      <c r="JEW138" s="422"/>
      <c r="JEX138" s="422"/>
      <c r="JEY138" s="422"/>
      <c r="JEZ138" s="422"/>
      <c r="JFA138" s="422"/>
      <c r="JFB138" s="422"/>
      <c r="JFC138" s="422"/>
      <c r="JFD138" s="422"/>
      <c r="JFE138" s="422"/>
      <c r="JFF138" s="422"/>
      <c r="JFG138" s="422"/>
      <c r="JFH138" s="422"/>
      <c r="JFI138" s="422"/>
      <c r="JFJ138" s="422"/>
      <c r="JFK138" s="422"/>
      <c r="JFL138" s="422"/>
      <c r="JFM138" s="422"/>
      <c r="JFN138" s="422"/>
      <c r="JFO138" s="422"/>
      <c r="JFP138" s="422"/>
      <c r="JFQ138" s="422"/>
      <c r="JFR138" s="422"/>
      <c r="JFS138" s="422"/>
      <c r="JFT138" s="422"/>
      <c r="JFU138" s="422"/>
      <c r="JFV138" s="422"/>
      <c r="JFW138" s="422"/>
      <c r="JFX138" s="422"/>
      <c r="JFY138" s="422"/>
      <c r="JFZ138" s="422"/>
      <c r="JGA138" s="422"/>
      <c r="JGB138" s="422"/>
      <c r="JGC138" s="422"/>
      <c r="JGD138" s="422"/>
      <c r="JGE138" s="422"/>
      <c r="JGF138" s="422"/>
      <c r="JGG138" s="422"/>
      <c r="JGH138" s="422"/>
      <c r="JGI138" s="422"/>
      <c r="JGJ138" s="422"/>
      <c r="JGK138" s="422"/>
      <c r="JGL138" s="422"/>
      <c r="JGM138" s="422"/>
      <c r="JGN138" s="422"/>
      <c r="JGO138" s="422"/>
      <c r="JGP138" s="422"/>
      <c r="JGQ138" s="422"/>
      <c r="JGR138" s="422"/>
      <c r="JGS138" s="422"/>
      <c r="JGT138" s="422"/>
      <c r="JGU138" s="422"/>
      <c r="JGV138" s="422"/>
      <c r="JGW138" s="422"/>
      <c r="JGX138" s="422"/>
      <c r="JGY138" s="422"/>
      <c r="JGZ138" s="422"/>
      <c r="JHA138" s="422"/>
      <c r="JHB138" s="422"/>
      <c r="JHC138" s="422"/>
      <c r="JHD138" s="422"/>
      <c r="JHE138" s="422"/>
      <c r="JHF138" s="422"/>
      <c r="JHG138" s="422"/>
      <c r="JHH138" s="422"/>
      <c r="JHI138" s="422"/>
      <c r="JHJ138" s="422"/>
      <c r="JHK138" s="422"/>
      <c r="JHL138" s="422"/>
      <c r="JHM138" s="422"/>
      <c r="JHN138" s="422"/>
      <c r="JHO138" s="422"/>
      <c r="JHP138" s="422"/>
      <c r="JHQ138" s="422"/>
      <c r="JHR138" s="422"/>
      <c r="JHS138" s="422"/>
      <c r="JHT138" s="422"/>
      <c r="JHU138" s="422"/>
      <c r="JHV138" s="422"/>
      <c r="JHW138" s="422"/>
      <c r="JHX138" s="422"/>
      <c r="JHY138" s="422"/>
      <c r="JHZ138" s="422"/>
      <c r="JIA138" s="422"/>
      <c r="JIB138" s="422"/>
      <c r="JIC138" s="422"/>
      <c r="JID138" s="422"/>
      <c r="JIE138" s="422"/>
      <c r="JIF138" s="422"/>
      <c r="JIG138" s="422"/>
      <c r="JIH138" s="422"/>
      <c r="JII138" s="422"/>
      <c r="JIJ138" s="422"/>
      <c r="JIK138" s="422"/>
      <c r="JIL138" s="422"/>
      <c r="JIM138" s="422"/>
      <c r="JIN138" s="422"/>
      <c r="JIO138" s="422"/>
      <c r="JIP138" s="422"/>
      <c r="JIQ138" s="422"/>
      <c r="JIR138" s="422"/>
      <c r="JIS138" s="422"/>
      <c r="JIT138" s="422"/>
      <c r="JIU138" s="422"/>
      <c r="JIV138" s="422"/>
      <c r="JIW138" s="422"/>
      <c r="JIX138" s="422"/>
      <c r="JIY138" s="422"/>
      <c r="JIZ138" s="422"/>
      <c r="JJA138" s="422"/>
      <c r="JJB138" s="422"/>
      <c r="JJC138" s="422"/>
      <c r="JJD138" s="422"/>
      <c r="JJE138" s="422"/>
      <c r="JJF138" s="422"/>
      <c r="JJG138" s="422"/>
      <c r="JJH138" s="422"/>
      <c r="JJI138" s="422"/>
      <c r="JJJ138" s="422"/>
      <c r="JJK138" s="422"/>
      <c r="JJL138" s="422"/>
      <c r="JJM138" s="422"/>
      <c r="JJN138" s="422"/>
      <c r="JJO138" s="422"/>
      <c r="JJP138" s="422"/>
      <c r="JJQ138" s="422"/>
      <c r="JJR138" s="422"/>
      <c r="JJS138" s="422"/>
      <c r="JJT138" s="422"/>
      <c r="JJU138" s="422"/>
      <c r="JJV138" s="422"/>
      <c r="JJW138" s="422"/>
      <c r="JJX138" s="422"/>
      <c r="JJY138" s="422"/>
      <c r="JJZ138" s="422"/>
      <c r="JKA138" s="422"/>
      <c r="JKB138" s="422"/>
      <c r="JKC138" s="422"/>
      <c r="JKD138" s="422"/>
      <c r="JKE138" s="422"/>
      <c r="JKF138" s="422"/>
      <c r="JKG138" s="422"/>
      <c r="JKH138" s="422"/>
      <c r="JKI138" s="422"/>
      <c r="JKJ138" s="422"/>
      <c r="JKK138" s="422"/>
      <c r="JKL138" s="422"/>
      <c r="JKM138" s="422"/>
      <c r="JKN138" s="422"/>
      <c r="JKO138" s="422"/>
      <c r="JKP138" s="422"/>
      <c r="JKQ138" s="422"/>
      <c r="JKR138" s="422"/>
      <c r="JKS138" s="422"/>
      <c r="JKT138" s="422"/>
      <c r="JKU138" s="422"/>
      <c r="JKV138" s="422"/>
      <c r="JKW138" s="422"/>
      <c r="JKX138" s="422"/>
      <c r="JKY138" s="422"/>
      <c r="JKZ138" s="422"/>
      <c r="JLA138" s="422"/>
      <c r="JLB138" s="422"/>
      <c r="JLC138" s="422"/>
      <c r="JLD138" s="422"/>
      <c r="JLE138" s="422"/>
      <c r="JLF138" s="422"/>
      <c r="JLG138" s="422"/>
      <c r="JLH138" s="422"/>
      <c r="JLI138" s="422"/>
      <c r="JLJ138" s="422"/>
      <c r="JLK138" s="422"/>
      <c r="JLL138" s="422"/>
      <c r="JLM138" s="422"/>
      <c r="JLN138" s="422"/>
      <c r="JLO138" s="422"/>
      <c r="JLP138" s="422"/>
      <c r="JLQ138" s="422"/>
      <c r="JLR138" s="422"/>
      <c r="JLS138" s="422"/>
      <c r="JLT138" s="422"/>
      <c r="JLU138" s="422"/>
      <c r="JLV138" s="422"/>
      <c r="JLW138" s="422"/>
      <c r="JLX138" s="422"/>
      <c r="JLY138" s="422"/>
      <c r="JLZ138" s="422"/>
      <c r="JMA138" s="422"/>
      <c r="JMB138" s="422"/>
      <c r="JMC138" s="422"/>
      <c r="JMD138" s="422"/>
      <c r="JME138" s="422"/>
      <c r="JMF138" s="422"/>
      <c r="JMG138" s="422"/>
      <c r="JMH138" s="422"/>
      <c r="JMI138" s="422"/>
      <c r="JMJ138" s="422"/>
      <c r="JMK138" s="422"/>
      <c r="JML138" s="422"/>
      <c r="JMM138" s="422"/>
      <c r="JMN138" s="422"/>
      <c r="JMO138" s="422"/>
      <c r="JMP138" s="422"/>
      <c r="JMQ138" s="422"/>
      <c r="JMR138" s="422"/>
      <c r="JMS138" s="422"/>
      <c r="JMT138" s="422"/>
      <c r="JMU138" s="422"/>
      <c r="JMV138" s="422"/>
      <c r="JMW138" s="422"/>
      <c r="JMX138" s="422"/>
      <c r="JMY138" s="422"/>
      <c r="JMZ138" s="422"/>
      <c r="JNA138" s="422"/>
      <c r="JNB138" s="422"/>
      <c r="JNC138" s="422"/>
      <c r="JND138" s="422"/>
      <c r="JNE138" s="422"/>
      <c r="JNF138" s="422"/>
      <c r="JNG138" s="422"/>
      <c r="JNH138" s="422"/>
      <c r="JNI138" s="422"/>
      <c r="JNJ138" s="422"/>
      <c r="JNK138" s="422"/>
      <c r="JNL138" s="422"/>
      <c r="JNM138" s="422"/>
      <c r="JNN138" s="422"/>
      <c r="JNO138" s="422"/>
      <c r="JNP138" s="422"/>
      <c r="JNQ138" s="422"/>
      <c r="JNR138" s="422"/>
      <c r="JNS138" s="422"/>
      <c r="JNT138" s="422"/>
      <c r="JNU138" s="422"/>
      <c r="JNV138" s="422"/>
      <c r="JNW138" s="422"/>
      <c r="JNX138" s="422"/>
      <c r="JNY138" s="422"/>
      <c r="JNZ138" s="422"/>
      <c r="JOA138" s="422"/>
      <c r="JOB138" s="422"/>
      <c r="JOC138" s="422"/>
      <c r="JOD138" s="422"/>
      <c r="JOE138" s="422"/>
      <c r="JOF138" s="422"/>
      <c r="JOG138" s="422"/>
      <c r="JOH138" s="422"/>
      <c r="JOI138" s="422"/>
      <c r="JOJ138" s="422"/>
      <c r="JOK138" s="422"/>
      <c r="JOL138" s="422"/>
      <c r="JOM138" s="422"/>
      <c r="JON138" s="422"/>
      <c r="JOO138" s="422"/>
      <c r="JOP138" s="422"/>
      <c r="JOQ138" s="422"/>
      <c r="JOR138" s="422"/>
      <c r="JOS138" s="422"/>
      <c r="JOT138" s="422"/>
      <c r="JOU138" s="422"/>
      <c r="JOV138" s="422"/>
      <c r="JOW138" s="422"/>
      <c r="JOX138" s="422"/>
      <c r="JOY138" s="422"/>
      <c r="JOZ138" s="422"/>
      <c r="JPA138" s="422"/>
      <c r="JPB138" s="422"/>
      <c r="JPC138" s="422"/>
      <c r="JPD138" s="422"/>
      <c r="JPE138" s="422"/>
      <c r="JPF138" s="422"/>
      <c r="JPG138" s="422"/>
      <c r="JPH138" s="422"/>
      <c r="JPI138" s="422"/>
      <c r="JPJ138" s="422"/>
      <c r="JPK138" s="422"/>
      <c r="JPL138" s="422"/>
      <c r="JPM138" s="422"/>
      <c r="JPN138" s="422"/>
      <c r="JPO138" s="422"/>
      <c r="JPP138" s="422"/>
      <c r="JPQ138" s="422"/>
      <c r="JPR138" s="422"/>
      <c r="JPS138" s="422"/>
      <c r="JPT138" s="422"/>
      <c r="JPU138" s="422"/>
      <c r="JPV138" s="422"/>
      <c r="JPW138" s="422"/>
      <c r="JPX138" s="422"/>
      <c r="JPY138" s="422"/>
      <c r="JPZ138" s="422"/>
      <c r="JQA138" s="422"/>
      <c r="JQB138" s="422"/>
      <c r="JQC138" s="422"/>
      <c r="JQD138" s="422"/>
      <c r="JQE138" s="422"/>
      <c r="JQF138" s="422"/>
      <c r="JQG138" s="422"/>
      <c r="JQH138" s="422"/>
      <c r="JQI138" s="422"/>
      <c r="JQJ138" s="422"/>
      <c r="JQK138" s="422"/>
      <c r="JQL138" s="422"/>
      <c r="JQM138" s="422"/>
      <c r="JQN138" s="422"/>
      <c r="JQO138" s="422"/>
      <c r="JQP138" s="422"/>
      <c r="JQQ138" s="422"/>
      <c r="JQR138" s="422"/>
      <c r="JQS138" s="422"/>
      <c r="JQT138" s="422"/>
      <c r="JQU138" s="422"/>
      <c r="JQV138" s="422"/>
      <c r="JQW138" s="422"/>
      <c r="JQX138" s="422"/>
      <c r="JQY138" s="422"/>
      <c r="JQZ138" s="422"/>
      <c r="JRA138" s="422"/>
      <c r="JRB138" s="422"/>
      <c r="JRC138" s="422"/>
      <c r="JRD138" s="422"/>
      <c r="JRE138" s="422"/>
      <c r="JRF138" s="422"/>
      <c r="JRG138" s="422"/>
      <c r="JRH138" s="422"/>
      <c r="JRI138" s="422"/>
      <c r="JRJ138" s="422"/>
      <c r="JRK138" s="422"/>
      <c r="JRL138" s="422"/>
      <c r="JRM138" s="422"/>
      <c r="JRN138" s="422"/>
      <c r="JRO138" s="422"/>
      <c r="JRP138" s="422"/>
      <c r="JRQ138" s="422"/>
      <c r="JRR138" s="422"/>
      <c r="JRS138" s="422"/>
      <c r="JRT138" s="422"/>
      <c r="JRU138" s="422"/>
      <c r="JRV138" s="422"/>
      <c r="JRW138" s="422"/>
      <c r="JRX138" s="422"/>
      <c r="JRY138" s="422"/>
      <c r="JRZ138" s="422"/>
      <c r="JSA138" s="422"/>
      <c r="JSB138" s="422"/>
      <c r="JSC138" s="422"/>
      <c r="JSD138" s="422"/>
      <c r="JSE138" s="422"/>
      <c r="JSF138" s="422"/>
      <c r="JSG138" s="422"/>
      <c r="JSH138" s="422"/>
      <c r="JSI138" s="422"/>
      <c r="JSJ138" s="422"/>
      <c r="JSK138" s="422"/>
      <c r="JSL138" s="422"/>
      <c r="JSM138" s="422"/>
      <c r="JSN138" s="422"/>
      <c r="JSO138" s="422"/>
      <c r="JSP138" s="422"/>
      <c r="JSQ138" s="422"/>
      <c r="JSR138" s="422"/>
      <c r="JSS138" s="422"/>
      <c r="JST138" s="422"/>
      <c r="JSU138" s="422"/>
      <c r="JSV138" s="422"/>
      <c r="JSW138" s="422"/>
      <c r="JSX138" s="422"/>
      <c r="JSY138" s="422"/>
      <c r="JSZ138" s="422"/>
      <c r="JTA138" s="422"/>
      <c r="JTB138" s="422"/>
      <c r="JTC138" s="422"/>
      <c r="JTD138" s="422"/>
      <c r="JTE138" s="422"/>
      <c r="JTF138" s="422"/>
      <c r="JTG138" s="422"/>
      <c r="JTH138" s="422"/>
      <c r="JTI138" s="422"/>
      <c r="JTJ138" s="422"/>
      <c r="JTK138" s="422"/>
      <c r="JTL138" s="422"/>
      <c r="JTM138" s="422"/>
      <c r="JTN138" s="422"/>
      <c r="JTO138" s="422"/>
      <c r="JTP138" s="422"/>
      <c r="JTQ138" s="422"/>
      <c r="JTR138" s="422"/>
      <c r="JTS138" s="422"/>
      <c r="JTT138" s="422"/>
      <c r="JTU138" s="422"/>
      <c r="JTV138" s="422"/>
      <c r="JTW138" s="422"/>
      <c r="JTX138" s="422"/>
      <c r="JTY138" s="422"/>
      <c r="JTZ138" s="422"/>
      <c r="JUA138" s="422"/>
      <c r="JUB138" s="422"/>
      <c r="JUC138" s="422"/>
      <c r="JUD138" s="422"/>
      <c r="JUE138" s="422"/>
      <c r="JUF138" s="422"/>
      <c r="JUG138" s="422"/>
      <c r="JUH138" s="422"/>
      <c r="JUI138" s="422"/>
      <c r="JUJ138" s="422"/>
      <c r="JUK138" s="422"/>
      <c r="JUL138" s="422"/>
      <c r="JUM138" s="422"/>
      <c r="JUN138" s="422"/>
      <c r="JUO138" s="422"/>
      <c r="JUP138" s="422"/>
      <c r="JUQ138" s="422"/>
      <c r="JUR138" s="422"/>
      <c r="JUS138" s="422"/>
      <c r="JUT138" s="422"/>
      <c r="JUU138" s="422"/>
      <c r="JUV138" s="422"/>
      <c r="JUW138" s="422"/>
      <c r="JUX138" s="422"/>
      <c r="JUY138" s="422"/>
      <c r="JUZ138" s="422"/>
      <c r="JVA138" s="422"/>
      <c r="JVB138" s="422"/>
      <c r="JVC138" s="422"/>
      <c r="JVD138" s="422"/>
      <c r="JVE138" s="422"/>
      <c r="JVF138" s="422"/>
      <c r="JVG138" s="422"/>
      <c r="JVH138" s="422"/>
      <c r="JVI138" s="422"/>
      <c r="JVJ138" s="422"/>
      <c r="JVK138" s="422"/>
      <c r="JVL138" s="422"/>
      <c r="JVM138" s="422"/>
      <c r="JVN138" s="422"/>
      <c r="JVO138" s="422"/>
      <c r="JVP138" s="422"/>
      <c r="JVQ138" s="422"/>
      <c r="JVR138" s="422"/>
      <c r="JVS138" s="422"/>
      <c r="JVT138" s="422"/>
      <c r="JVU138" s="422"/>
      <c r="JVV138" s="422"/>
      <c r="JVW138" s="422"/>
      <c r="JVX138" s="422"/>
      <c r="JVY138" s="422"/>
      <c r="JVZ138" s="422"/>
      <c r="JWA138" s="422"/>
      <c r="JWB138" s="422"/>
      <c r="JWC138" s="422"/>
      <c r="JWD138" s="422"/>
      <c r="JWE138" s="422"/>
      <c r="JWF138" s="422"/>
      <c r="JWG138" s="422"/>
      <c r="JWH138" s="422"/>
      <c r="JWI138" s="422"/>
      <c r="JWJ138" s="422"/>
      <c r="JWK138" s="422"/>
      <c r="JWL138" s="422"/>
      <c r="JWM138" s="422"/>
      <c r="JWN138" s="422"/>
      <c r="JWO138" s="422"/>
      <c r="JWP138" s="422"/>
      <c r="JWQ138" s="422"/>
      <c r="JWR138" s="422"/>
      <c r="JWS138" s="422"/>
      <c r="JWT138" s="422"/>
      <c r="JWU138" s="422"/>
      <c r="JWV138" s="422"/>
      <c r="JWW138" s="422"/>
      <c r="JWX138" s="422"/>
      <c r="JWY138" s="422"/>
      <c r="JWZ138" s="422"/>
      <c r="JXA138" s="422"/>
      <c r="JXB138" s="422"/>
      <c r="JXC138" s="422"/>
      <c r="JXD138" s="422"/>
      <c r="JXE138" s="422"/>
      <c r="JXF138" s="422"/>
      <c r="JXG138" s="422"/>
      <c r="JXH138" s="422"/>
      <c r="JXI138" s="422"/>
      <c r="JXJ138" s="422"/>
      <c r="JXK138" s="422"/>
      <c r="JXL138" s="422"/>
      <c r="JXM138" s="422"/>
      <c r="JXN138" s="422"/>
      <c r="JXO138" s="422"/>
      <c r="JXP138" s="422"/>
      <c r="JXQ138" s="422"/>
      <c r="JXR138" s="422"/>
      <c r="JXS138" s="422"/>
      <c r="JXT138" s="422"/>
      <c r="JXU138" s="422"/>
      <c r="JXV138" s="422"/>
      <c r="JXW138" s="422"/>
      <c r="JXX138" s="422"/>
      <c r="JXY138" s="422"/>
      <c r="JXZ138" s="422"/>
      <c r="JYA138" s="422"/>
      <c r="JYB138" s="422"/>
      <c r="JYC138" s="422"/>
      <c r="JYD138" s="422"/>
      <c r="JYE138" s="422"/>
      <c r="JYF138" s="422"/>
      <c r="JYG138" s="422"/>
      <c r="JYH138" s="422"/>
      <c r="JYI138" s="422"/>
      <c r="JYJ138" s="422"/>
      <c r="JYK138" s="422"/>
      <c r="JYL138" s="422"/>
      <c r="JYM138" s="422"/>
      <c r="JYN138" s="422"/>
      <c r="JYO138" s="422"/>
      <c r="JYP138" s="422"/>
      <c r="JYQ138" s="422"/>
      <c r="JYR138" s="422"/>
      <c r="JYS138" s="422"/>
      <c r="JYT138" s="422"/>
      <c r="JYU138" s="422"/>
      <c r="JYV138" s="422"/>
      <c r="JYW138" s="422"/>
      <c r="JYX138" s="422"/>
      <c r="JYY138" s="422"/>
      <c r="JYZ138" s="422"/>
      <c r="JZA138" s="422"/>
      <c r="JZB138" s="422"/>
      <c r="JZC138" s="422"/>
      <c r="JZD138" s="422"/>
      <c r="JZE138" s="422"/>
      <c r="JZF138" s="422"/>
      <c r="JZG138" s="422"/>
      <c r="JZH138" s="422"/>
      <c r="JZI138" s="422"/>
      <c r="JZJ138" s="422"/>
      <c r="JZK138" s="422"/>
      <c r="JZL138" s="422"/>
      <c r="JZM138" s="422"/>
      <c r="JZN138" s="422"/>
      <c r="JZO138" s="422"/>
      <c r="JZP138" s="422"/>
      <c r="JZQ138" s="422"/>
      <c r="JZR138" s="422"/>
      <c r="JZS138" s="422"/>
      <c r="JZT138" s="422"/>
      <c r="JZU138" s="422"/>
      <c r="JZV138" s="422"/>
      <c r="JZW138" s="422"/>
      <c r="JZX138" s="422"/>
      <c r="JZY138" s="422"/>
      <c r="JZZ138" s="422"/>
      <c r="KAA138" s="422"/>
      <c r="KAB138" s="422"/>
      <c r="KAC138" s="422"/>
      <c r="KAD138" s="422"/>
      <c r="KAE138" s="422"/>
      <c r="KAF138" s="422"/>
      <c r="KAG138" s="422"/>
      <c r="KAH138" s="422"/>
      <c r="KAI138" s="422"/>
      <c r="KAJ138" s="422"/>
      <c r="KAK138" s="422"/>
      <c r="KAL138" s="422"/>
      <c r="KAM138" s="422"/>
      <c r="KAN138" s="422"/>
      <c r="KAO138" s="422"/>
      <c r="KAP138" s="422"/>
      <c r="KAQ138" s="422"/>
      <c r="KAR138" s="422"/>
      <c r="KAS138" s="422"/>
      <c r="KAT138" s="422"/>
      <c r="KAU138" s="422"/>
      <c r="KAV138" s="422"/>
      <c r="KAW138" s="422"/>
      <c r="KAX138" s="422"/>
      <c r="KAY138" s="422"/>
      <c r="KAZ138" s="422"/>
      <c r="KBA138" s="422"/>
      <c r="KBB138" s="422"/>
      <c r="KBC138" s="422"/>
      <c r="KBD138" s="422"/>
      <c r="KBE138" s="422"/>
      <c r="KBF138" s="422"/>
      <c r="KBG138" s="422"/>
      <c r="KBH138" s="422"/>
      <c r="KBI138" s="422"/>
      <c r="KBJ138" s="422"/>
      <c r="KBK138" s="422"/>
      <c r="KBL138" s="422"/>
      <c r="KBM138" s="422"/>
      <c r="KBN138" s="422"/>
      <c r="KBO138" s="422"/>
      <c r="KBP138" s="422"/>
      <c r="KBQ138" s="422"/>
      <c r="KBR138" s="422"/>
      <c r="KBS138" s="422"/>
      <c r="KBT138" s="422"/>
      <c r="KBU138" s="422"/>
      <c r="KBV138" s="422"/>
      <c r="KBW138" s="422"/>
      <c r="KBX138" s="422"/>
      <c r="KBY138" s="422"/>
      <c r="KBZ138" s="422"/>
      <c r="KCA138" s="422"/>
      <c r="KCB138" s="422"/>
      <c r="KCC138" s="422"/>
      <c r="KCD138" s="422"/>
      <c r="KCE138" s="422"/>
      <c r="KCF138" s="422"/>
      <c r="KCG138" s="422"/>
      <c r="KCH138" s="422"/>
      <c r="KCI138" s="422"/>
      <c r="KCJ138" s="422"/>
      <c r="KCK138" s="422"/>
      <c r="KCL138" s="422"/>
      <c r="KCM138" s="422"/>
      <c r="KCN138" s="422"/>
      <c r="KCO138" s="422"/>
      <c r="KCP138" s="422"/>
      <c r="KCQ138" s="422"/>
      <c r="KCR138" s="422"/>
      <c r="KCS138" s="422"/>
      <c r="KCT138" s="422"/>
      <c r="KCU138" s="422"/>
      <c r="KCV138" s="422"/>
      <c r="KCW138" s="422"/>
      <c r="KCX138" s="422"/>
      <c r="KCY138" s="422"/>
      <c r="KCZ138" s="422"/>
      <c r="KDA138" s="422"/>
      <c r="KDB138" s="422"/>
      <c r="KDC138" s="422"/>
      <c r="KDD138" s="422"/>
      <c r="KDE138" s="422"/>
      <c r="KDF138" s="422"/>
      <c r="KDG138" s="422"/>
      <c r="KDH138" s="422"/>
      <c r="KDI138" s="422"/>
      <c r="KDJ138" s="422"/>
      <c r="KDK138" s="422"/>
      <c r="KDL138" s="422"/>
      <c r="KDM138" s="422"/>
      <c r="KDN138" s="422"/>
      <c r="KDO138" s="422"/>
      <c r="KDP138" s="422"/>
      <c r="KDQ138" s="422"/>
      <c r="KDR138" s="422"/>
      <c r="KDS138" s="422"/>
      <c r="KDT138" s="422"/>
      <c r="KDU138" s="422"/>
      <c r="KDV138" s="422"/>
      <c r="KDW138" s="422"/>
      <c r="KDX138" s="422"/>
      <c r="KDY138" s="422"/>
      <c r="KDZ138" s="422"/>
      <c r="KEA138" s="422"/>
      <c r="KEB138" s="422"/>
      <c r="KEC138" s="422"/>
      <c r="KED138" s="422"/>
      <c r="KEE138" s="422"/>
      <c r="KEF138" s="422"/>
      <c r="KEG138" s="422"/>
      <c r="KEH138" s="422"/>
      <c r="KEI138" s="422"/>
      <c r="KEJ138" s="422"/>
      <c r="KEK138" s="422"/>
      <c r="KEL138" s="422"/>
      <c r="KEM138" s="422"/>
      <c r="KEN138" s="422"/>
      <c r="KEO138" s="422"/>
      <c r="KEP138" s="422"/>
      <c r="KEQ138" s="422"/>
      <c r="KER138" s="422"/>
      <c r="KES138" s="422"/>
      <c r="KET138" s="422"/>
      <c r="KEU138" s="422"/>
      <c r="KEV138" s="422"/>
      <c r="KEW138" s="422"/>
      <c r="KEX138" s="422"/>
      <c r="KEY138" s="422"/>
      <c r="KEZ138" s="422"/>
      <c r="KFA138" s="422"/>
      <c r="KFB138" s="422"/>
      <c r="KFC138" s="422"/>
      <c r="KFD138" s="422"/>
      <c r="KFE138" s="422"/>
      <c r="KFF138" s="422"/>
      <c r="KFG138" s="422"/>
      <c r="KFH138" s="422"/>
      <c r="KFI138" s="422"/>
      <c r="KFJ138" s="422"/>
      <c r="KFK138" s="422"/>
      <c r="KFL138" s="422"/>
      <c r="KFM138" s="422"/>
      <c r="KFN138" s="422"/>
      <c r="KFO138" s="422"/>
      <c r="KFP138" s="422"/>
      <c r="KFQ138" s="422"/>
      <c r="KFR138" s="422"/>
      <c r="KFS138" s="422"/>
      <c r="KFT138" s="422"/>
      <c r="KFU138" s="422"/>
      <c r="KFV138" s="422"/>
      <c r="KFW138" s="422"/>
      <c r="KFX138" s="422"/>
      <c r="KFY138" s="422"/>
      <c r="KFZ138" s="422"/>
      <c r="KGA138" s="422"/>
      <c r="KGB138" s="422"/>
      <c r="KGC138" s="422"/>
      <c r="KGD138" s="422"/>
      <c r="KGE138" s="422"/>
      <c r="KGF138" s="422"/>
      <c r="KGG138" s="422"/>
      <c r="KGH138" s="422"/>
      <c r="KGI138" s="422"/>
      <c r="KGJ138" s="422"/>
      <c r="KGK138" s="422"/>
      <c r="KGL138" s="422"/>
      <c r="KGM138" s="422"/>
      <c r="KGN138" s="422"/>
      <c r="KGO138" s="422"/>
      <c r="KGP138" s="422"/>
      <c r="KGQ138" s="422"/>
      <c r="KGR138" s="422"/>
      <c r="KGS138" s="422"/>
      <c r="KGT138" s="422"/>
      <c r="KGU138" s="422"/>
      <c r="KGV138" s="422"/>
      <c r="KGW138" s="422"/>
      <c r="KGX138" s="422"/>
      <c r="KGY138" s="422"/>
      <c r="KGZ138" s="422"/>
      <c r="KHA138" s="422"/>
      <c r="KHB138" s="422"/>
      <c r="KHC138" s="422"/>
      <c r="KHD138" s="422"/>
      <c r="KHE138" s="422"/>
      <c r="KHF138" s="422"/>
      <c r="KHG138" s="422"/>
      <c r="KHH138" s="422"/>
      <c r="KHI138" s="422"/>
      <c r="KHJ138" s="422"/>
      <c r="KHK138" s="422"/>
      <c r="KHL138" s="422"/>
      <c r="KHM138" s="422"/>
      <c r="KHN138" s="422"/>
      <c r="KHO138" s="422"/>
      <c r="KHP138" s="422"/>
      <c r="KHQ138" s="422"/>
      <c r="KHR138" s="422"/>
      <c r="KHS138" s="422"/>
      <c r="KHT138" s="422"/>
      <c r="KHU138" s="422"/>
      <c r="KHV138" s="422"/>
      <c r="KHW138" s="422"/>
      <c r="KHX138" s="422"/>
      <c r="KHY138" s="422"/>
      <c r="KHZ138" s="422"/>
      <c r="KIA138" s="422"/>
      <c r="KIB138" s="422"/>
      <c r="KIC138" s="422"/>
      <c r="KID138" s="422"/>
      <c r="KIE138" s="422"/>
      <c r="KIF138" s="422"/>
      <c r="KIG138" s="422"/>
      <c r="KIH138" s="422"/>
      <c r="KII138" s="422"/>
      <c r="KIJ138" s="422"/>
      <c r="KIK138" s="422"/>
      <c r="KIL138" s="422"/>
      <c r="KIM138" s="422"/>
      <c r="KIN138" s="422"/>
      <c r="KIO138" s="422"/>
      <c r="KIP138" s="422"/>
      <c r="KIQ138" s="422"/>
      <c r="KIR138" s="422"/>
      <c r="KIS138" s="422"/>
      <c r="KIT138" s="422"/>
      <c r="KIU138" s="422"/>
      <c r="KIV138" s="422"/>
      <c r="KIW138" s="422"/>
      <c r="KIX138" s="422"/>
      <c r="KIY138" s="422"/>
      <c r="KIZ138" s="422"/>
      <c r="KJA138" s="422"/>
      <c r="KJB138" s="422"/>
      <c r="KJC138" s="422"/>
      <c r="KJD138" s="422"/>
      <c r="KJE138" s="422"/>
      <c r="KJF138" s="422"/>
      <c r="KJG138" s="422"/>
      <c r="KJH138" s="422"/>
      <c r="KJI138" s="422"/>
      <c r="KJJ138" s="422"/>
      <c r="KJK138" s="422"/>
      <c r="KJL138" s="422"/>
      <c r="KJM138" s="422"/>
      <c r="KJN138" s="422"/>
      <c r="KJO138" s="422"/>
      <c r="KJP138" s="422"/>
      <c r="KJQ138" s="422"/>
      <c r="KJR138" s="422"/>
      <c r="KJS138" s="422"/>
      <c r="KJT138" s="422"/>
      <c r="KJU138" s="422"/>
      <c r="KJV138" s="422"/>
      <c r="KJW138" s="422"/>
      <c r="KJX138" s="422"/>
      <c r="KJY138" s="422"/>
      <c r="KJZ138" s="422"/>
      <c r="KKA138" s="422"/>
      <c r="KKB138" s="422"/>
      <c r="KKC138" s="422"/>
      <c r="KKD138" s="422"/>
      <c r="KKE138" s="422"/>
      <c r="KKF138" s="422"/>
      <c r="KKG138" s="422"/>
      <c r="KKH138" s="422"/>
      <c r="KKI138" s="422"/>
      <c r="KKJ138" s="422"/>
      <c r="KKK138" s="422"/>
      <c r="KKL138" s="422"/>
      <c r="KKM138" s="422"/>
      <c r="KKN138" s="422"/>
      <c r="KKO138" s="422"/>
      <c r="KKP138" s="422"/>
      <c r="KKQ138" s="422"/>
      <c r="KKR138" s="422"/>
      <c r="KKS138" s="422"/>
      <c r="KKT138" s="422"/>
      <c r="KKU138" s="422"/>
      <c r="KKV138" s="422"/>
      <c r="KKW138" s="422"/>
      <c r="KKX138" s="422"/>
      <c r="KKY138" s="422"/>
      <c r="KKZ138" s="422"/>
      <c r="KLA138" s="422"/>
      <c r="KLB138" s="422"/>
      <c r="KLC138" s="422"/>
      <c r="KLD138" s="422"/>
      <c r="KLE138" s="422"/>
      <c r="KLF138" s="422"/>
      <c r="KLG138" s="422"/>
      <c r="KLH138" s="422"/>
      <c r="KLI138" s="422"/>
      <c r="KLJ138" s="422"/>
      <c r="KLK138" s="422"/>
      <c r="KLL138" s="422"/>
      <c r="KLM138" s="422"/>
      <c r="KLN138" s="422"/>
      <c r="KLO138" s="422"/>
      <c r="KLP138" s="422"/>
      <c r="KLQ138" s="422"/>
      <c r="KLR138" s="422"/>
      <c r="KLS138" s="422"/>
      <c r="KLT138" s="422"/>
      <c r="KLU138" s="422"/>
      <c r="KLV138" s="422"/>
      <c r="KLW138" s="422"/>
      <c r="KLX138" s="422"/>
      <c r="KLY138" s="422"/>
      <c r="KLZ138" s="422"/>
      <c r="KMA138" s="422"/>
      <c r="KMB138" s="422"/>
      <c r="KMC138" s="422"/>
      <c r="KMD138" s="422"/>
      <c r="KME138" s="422"/>
      <c r="KMF138" s="422"/>
      <c r="KMG138" s="422"/>
      <c r="KMH138" s="422"/>
      <c r="KMI138" s="422"/>
      <c r="KMJ138" s="422"/>
      <c r="KMK138" s="422"/>
      <c r="KML138" s="422"/>
      <c r="KMM138" s="422"/>
      <c r="KMN138" s="422"/>
      <c r="KMO138" s="422"/>
      <c r="KMP138" s="422"/>
      <c r="KMQ138" s="422"/>
      <c r="KMR138" s="422"/>
      <c r="KMS138" s="422"/>
      <c r="KMT138" s="422"/>
      <c r="KMU138" s="422"/>
      <c r="KMV138" s="422"/>
      <c r="KMW138" s="422"/>
      <c r="KMX138" s="422"/>
      <c r="KMY138" s="422"/>
      <c r="KMZ138" s="422"/>
      <c r="KNA138" s="422"/>
      <c r="KNB138" s="422"/>
      <c r="KNC138" s="422"/>
      <c r="KND138" s="422"/>
      <c r="KNE138" s="422"/>
      <c r="KNF138" s="422"/>
      <c r="KNG138" s="422"/>
      <c r="KNH138" s="422"/>
      <c r="KNI138" s="422"/>
      <c r="KNJ138" s="422"/>
      <c r="KNK138" s="422"/>
      <c r="KNL138" s="422"/>
      <c r="KNM138" s="422"/>
      <c r="KNN138" s="422"/>
      <c r="KNO138" s="422"/>
      <c r="KNP138" s="422"/>
      <c r="KNQ138" s="422"/>
      <c r="KNR138" s="422"/>
      <c r="KNS138" s="422"/>
      <c r="KNT138" s="422"/>
      <c r="KNU138" s="422"/>
      <c r="KNV138" s="422"/>
      <c r="KNW138" s="422"/>
      <c r="KNX138" s="422"/>
      <c r="KNY138" s="422"/>
      <c r="KNZ138" s="422"/>
      <c r="KOA138" s="422"/>
      <c r="KOB138" s="422"/>
      <c r="KOC138" s="422"/>
      <c r="KOD138" s="422"/>
      <c r="KOE138" s="422"/>
      <c r="KOF138" s="422"/>
      <c r="KOG138" s="422"/>
      <c r="KOH138" s="422"/>
      <c r="KOI138" s="422"/>
      <c r="KOJ138" s="422"/>
      <c r="KOK138" s="422"/>
      <c r="KOL138" s="422"/>
      <c r="KOM138" s="422"/>
      <c r="KON138" s="422"/>
      <c r="KOO138" s="422"/>
      <c r="KOP138" s="422"/>
      <c r="KOQ138" s="422"/>
      <c r="KOR138" s="422"/>
      <c r="KOS138" s="422"/>
      <c r="KOT138" s="422"/>
      <c r="KOU138" s="422"/>
      <c r="KOV138" s="422"/>
      <c r="KOW138" s="422"/>
      <c r="KOX138" s="422"/>
      <c r="KOY138" s="422"/>
      <c r="KOZ138" s="422"/>
      <c r="KPA138" s="422"/>
      <c r="KPB138" s="422"/>
      <c r="KPC138" s="422"/>
      <c r="KPD138" s="422"/>
      <c r="KPE138" s="422"/>
      <c r="KPF138" s="422"/>
      <c r="KPG138" s="422"/>
      <c r="KPH138" s="422"/>
      <c r="KPI138" s="422"/>
      <c r="KPJ138" s="422"/>
      <c r="KPK138" s="422"/>
      <c r="KPL138" s="422"/>
      <c r="KPM138" s="422"/>
      <c r="KPN138" s="422"/>
      <c r="KPO138" s="422"/>
      <c r="KPP138" s="422"/>
      <c r="KPQ138" s="422"/>
      <c r="KPR138" s="422"/>
      <c r="KPS138" s="422"/>
      <c r="KPT138" s="422"/>
      <c r="KPU138" s="422"/>
      <c r="KPV138" s="422"/>
      <c r="KPW138" s="422"/>
      <c r="KPX138" s="422"/>
      <c r="KPY138" s="422"/>
      <c r="KPZ138" s="422"/>
      <c r="KQA138" s="422"/>
      <c r="KQB138" s="422"/>
      <c r="KQC138" s="422"/>
      <c r="KQD138" s="422"/>
      <c r="KQE138" s="422"/>
      <c r="KQF138" s="422"/>
      <c r="KQG138" s="422"/>
      <c r="KQH138" s="422"/>
      <c r="KQI138" s="422"/>
      <c r="KQJ138" s="422"/>
      <c r="KQK138" s="422"/>
      <c r="KQL138" s="422"/>
      <c r="KQM138" s="422"/>
      <c r="KQN138" s="422"/>
      <c r="KQO138" s="422"/>
      <c r="KQP138" s="422"/>
      <c r="KQQ138" s="422"/>
      <c r="KQR138" s="422"/>
      <c r="KQS138" s="422"/>
      <c r="KQT138" s="422"/>
      <c r="KQU138" s="422"/>
      <c r="KQV138" s="422"/>
      <c r="KQW138" s="422"/>
      <c r="KQX138" s="422"/>
      <c r="KQY138" s="422"/>
      <c r="KQZ138" s="422"/>
      <c r="KRA138" s="422"/>
      <c r="KRB138" s="422"/>
      <c r="KRC138" s="422"/>
      <c r="KRD138" s="422"/>
      <c r="KRE138" s="422"/>
      <c r="KRF138" s="422"/>
      <c r="KRG138" s="422"/>
      <c r="KRH138" s="422"/>
      <c r="KRI138" s="422"/>
      <c r="KRJ138" s="422"/>
      <c r="KRK138" s="422"/>
      <c r="KRL138" s="422"/>
      <c r="KRM138" s="422"/>
      <c r="KRN138" s="422"/>
      <c r="KRO138" s="422"/>
      <c r="KRP138" s="422"/>
      <c r="KRQ138" s="422"/>
      <c r="KRR138" s="422"/>
      <c r="KRS138" s="422"/>
      <c r="KRT138" s="422"/>
      <c r="KRU138" s="422"/>
      <c r="KRV138" s="422"/>
      <c r="KRW138" s="422"/>
      <c r="KRX138" s="422"/>
      <c r="KRY138" s="422"/>
      <c r="KRZ138" s="422"/>
      <c r="KSA138" s="422"/>
      <c r="KSB138" s="422"/>
      <c r="KSC138" s="422"/>
      <c r="KSD138" s="422"/>
      <c r="KSE138" s="422"/>
      <c r="KSF138" s="422"/>
      <c r="KSG138" s="422"/>
      <c r="KSH138" s="422"/>
      <c r="KSI138" s="422"/>
      <c r="KSJ138" s="422"/>
      <c r="KSK138" s="422"/>
      <c r="KSL138" s="422"/>
      <c r="KSM138" s="422"/>
      <c r="KSN138" s="422"/>
      <c r="KSO138" s="422"/>
      <c r="KSP138" s="422"/>
      <c r="KSQ138" s="422"/>
      <c r="KSR138" s="422"/>
      <c r="KSS138" s="422"/>
      <c r="KST138" s="422"/>
      <c r="KSU138" s="422"/>
      <c r="KSV138" s="422"/>
      <c r="KSW138" s="422"/>
      <c r="KSX138" s="422"/>
      <c r="KSY138" s="422"/>
      <c r="KSZ138" s="422"/>
      <c r="KTA138" s="422"/>
      <c r="KTB138" s="422"/>
      <c r="KTC138" s="422"/>
      <c r="KTD138" s="422"/>
      <c r="KTE138" s="422"/>
      <c r="KTF138" s="422"/>
      <c r="KTG138" s="422"/>
      <c r="KTH138" s="422"/>
      <c r="KTI138" s="422"/>
      <c r="KTJ138" s="422"/>
      <c r="KTK138" s="422"/>
      <c r="KTL138" s="422"/>
      <c r="KTM138" s="422"/>
      <c r="KTN138" s="422"/>
      <c r="KTO138" s="422"/>
      <c r="KTP138" s="422"/>
      <c r="KTQ138" s="422"/>
      <c r="KTR138" s="422"/>
      <c r="KTS138" s="422"/>
      <c r="KTT138" s="422"/>
      <c r="KTU138" s="422"/>
      <c r="KTV138" s="422"/>
      <c r="KTW138" s="422"/>
      <c r="KTX138" s="422"/>
      <c r="KTY138" s="422"/>
      <c r="KTZ138" s="422"/>
      <c r="KUA138" s="422"/>
      <c r="KUB138" s="422"/>
      <c r="KUC138" s="422"/>
      <c r="KUD138" s="422"/>
      <c r="KUE138" s="422"/>
      <c r="KUF138" s="422"/>
      <c r="KUG138" s="422"/>
      <c r="KUH138" s="422"/>
      <c r="KUI138" s="422"/>
      <c r="KUJ138" s="422"/>
      <c r="KUK138" s="422"/>
      <c r="KUL138" s="422"/>
      <c r="KUM138" s="422"/>
      <c r="KUN138" s="422"/>
      <c r="KUO138" s="422"/>
      <c r="KUP138" s="422"/>
      <c r="KUQ138" s="422"/>
      <c r="KUR138" s="422"/>
      <c r="KUS138" s="422"/>
      <c r="KUT138" s="422"/>
      <c r="KUU138" s="422"/>
      <c r="KUV138" s="422"/>
      <c r="KUW138" s="422"/>
      <c r="KUX138" s="422"/>
      <c r="KUY138" s="422"/>
      <c r="KUZ138" s="422"/>
      <c r="KVA138" s="422"/>
      <c r="KVB138" s="422"/>
      <c r="KVC138" s="422"/>
      <c r="KVD138" s="422"/>
      <c r="KVE138" s="422"/>
      <c r="KVF138" s="422"/>
      <c r="KVG138" s="422"/>
      <c r="KVH138" s="422"/>
      <c r="KVI138" s="422"/>
      <c r="KVJ138" s="422"/>
      <c r="KVK138" s="422"/>
      <c r="KVL138" s="422"/>
      <c r="KVM138" s="422"/>
      <c r="KVN138" s="422"/>
      <c r="KVO138" s="422"/>
      <c r="KVP138" s="422"/>
      <c r="KVQ138" s="422"/>
      <c r="KVR138" s="422"/>
      <c r="KVS138" s="422"/>
      <c r="KVT138" s="422"/>
      <c r="KVU138" s="422"/>
      <c r="KVV138" s="422"/>
      <c r="KVW138" s="422"/>
      <c r="KVX138" s="422"/>
      <c r="KVY138" s="422"/>
      <c r="KVZ138" s="422"/>
      <c r="KWA138" s="422"/>
      <c r="KWB138" s="422"/>
      <c r="KWC138" s="422"/>
      <c r="KWD138" s="422"/>
      <c r="KWE138" s="422"/>
      <c r="KWF138" s="422"/>
      <c r="KWG138" s="422"/>
      <c r="KWH138" s="422"/>
      <c r="KWI138" s="422"/>
      <c r="KWJ138" s="422"/>
      <c r="KWK138" s="422"/>
      <c r="KWL138" s="422"/>
      <c r="KWM138" s="422"/>
      <c r="KWN138" s="422"/>
      <c r="KWO138" s="422"/>
      <c r="KWP138" s="422"/>
      <c r="KWQ138" s="422"/>
      <c r="KWR138" s="422"/>
      <c r="KWS138" s="422"/>
      <c r="KWT138" s="422"/>
      <c r="KWU138" s="422"/>
      <c r="KWV138" s="422"/>
      <c r="KWW138" s="422"/>
      <c r="KWX138" s="422"/>
      <c r="KWY138" s="422"/>
      <c r="KWZ138" s="422"/>
      <c r="KXA138" s="422"/>
      <c r="KXB138" s="422"/>
      <c r="KXC138" s="422"/>
      <c r="KXD138" s="422"/>
      <c r="KXE138" s="422"/>
      <c r="KXF138" s="422"/>
      <c r="KXG138" s="422"/>
      <c r="KXH138" s="422"/>
      <c r="KXI138" s="422"/>
      <c r="KXJ138" s="422"/>
      <c r="KXK138" s="422"/>
      <c r="KXL138" s="422"/>
      <c r="KXM138" s="422"/>
      <c r="KXN138" s="422"/>
      <c r="KXO138" s="422"/>
      <c r="KXP138" s="422"/>
      <c r="KXQ138" s="422"/>
      <c r="KXR138" s="422"/>
      <c r="KXS138" s="422"/>
      <c r="KXT138" s="422"/>
      <c r="KXU138" s="422"/>
      <c r="KXV138" s="422"/>
      <c r="KXW138" s="422"/>
      <c r="KXX138" s="422"/>
      <c r="KXY138" s="422"/>
      <c r="KXZ138" s="422"/>
      <c r="KYA138" s="422"/>
      <c r="KYB138" s="422"/>
      <c r="KYC138" s="422"/>
      <c r="KYD138" s="422"/>
      <c r="KYE138" s="422"/>
      <c r="KYF138" s="422"/>
      <c r="KYG138" s="422"/>
      <c r="KYH138" s="422"/>
      <c r="KYI138" s="422"/>
      <c r="KYJ138" s="422"/>
      <c r="KYK138" s="422"/>
      <c r="KYL138" s="422"/>
      <c r="KYM138" s="422"/>
      <c r="KYN138" s="422"/>
      <c r="KYO138" s="422"/>
      <c r="KYP138" s="422"/>
      <c r="KYQ138" s="422"/>
      <c r="KYR138" s="422"/>
      <c r="KYS138" s="422"/>
      <c r="KYT138" s="422"/>
      <c r="KYU138" s="422"/>
      <c r="KYV138" s="422"/>
      <c r="KYW138" s="422"/>
      <c r="KYX138" s="422"/>
      <c r="KYY138" s="422"/>
      <c r="KYZ138" s="422"/>
      <c r="KZA138" s="422"/>
      <c r="KZB138" s="422"/>
      <c r="KZC138" s="422"/>
      <c r="KZD138" s="422"/>
      <c r="KZE138" s="422"/>
      <c r="KZF138" s="422"/>
      <c r="KZG138" s="422"/>
      <c r="KZH138" s="422"/>
      <c r="KZI138" s="422"/>
      <c r="KZJ138" s="422"/>
      <c r="KZK138" s="422"/>
      <c r="KZL138" s="422"/>
      <c r="KZM138" s="422"/>
      <c r="KZN138" s="422"/>
      <c r="KZO138" s="422"/>
      <c r="KZP138" s="422"/>
      <c r="KZQ138" s="422"/>
      <c r="KZR138" s="422"/>
      <c r="KZS138" s="422"/>
      <c r="KZT138" s="422"/>
      <c r="KZU138" s="422"/>
      <c r="KZV138" s="422"/>
      <c r="KZW138" s="422"/>
      <c r="KZX138" s="422"/>
      <c r="KZY138" s="422"/>
      <c r="KZZ138" s="422"/>
      <c r="LAA138" s="422"/>
      <c r="LAB138" s="422"/>
      <c r="LAC138" s="422"/>
      <c r="LAD138" s="422"/>
      <c r="LAE138" s="422"/>
      <c r="LAF138" s="422"/>
      <c r="LAG138" s="422"/>
      <c r="LAH138" s="422"/>
      <c r="LAI138" s="422"/>
      <c r="LAJ138" s="422"/>
      <c r="LAK138" s="422"/>
      <c r="LAL138" s="422"/>
      <c r="LAM138" s="422"/>
      <c r="LAN138" s="422"/>
      <c r="LAO138" s="422"/>
      <c r="LAP138" s="422"/>
      <c r="LAQ138" s="422"/>
      <c r="LAR138" s="422"/>
      <c r="LAS138" s="422"/>
      <c r="LAT138" s="422"/>
      <c r="LAU138" s="422"/>
      <c r="LAV138" s="422"/>
      <c r="LAW138" s="422"/>
      <c r="LAX138" s="422"/>
      <c r="LAY138" s="422"/>
      <c r="LAZ138" s="422"/>
      <c r="LBA138" s="422"/>
      <c r="LBB138" s="422"/>
      <c r="LBC138" s="422"/>
      <c r="LBD138" s="422"/>
      <c r="LBE138" s="422"/>
      <c r="LBF138" s="422"/>
      <c r="LBG138" s="422"/>
      <c r="LBH138" s="422"/>
      <c r="LBI138" s="422"/>
      <c r="LBJ138" s="422"/>
      <c r="LBK138" s="422"/>
      <c r="LBL138" s="422"/>
      <c r="LBM138" s="422"/>
      <c r="LBN138" s="422"/>
      <c r="LBO138" s="422"/>
      <c r="LBP138" s="422"/>
      <c r="LBQ138" s="422"/>
      <c r="LBR138" s="422"/>
      <c r="LBS138" s="422"/>
      <c r="LBT138" s="422"/>
      <c r="LBU138" s="422"/>
      <c r="LBV138" s="422"/>
      <c r="LBW138" s="422"/>
      <c r="LBX138" s="422"/>
      <c r="LBY138" s="422"/>
      <c r="LBZ138" s="422"/>
      <c r="LCA138" s="422"/>
      <c r="LCB138" s="422"/>
      <c r="LCC138" s="422"/>
      <c r="LCD138" s="422"/>
      <c r="LCE138" s="422"/>
      <c r="LCF138" s="422"/>
      <c r="LCG138" s="422"/>
      <c r="LCH138" s="422"/>
      <c r="LCI138" s="422"/>
      <c r="LCJ138" s="422"/>
      <c r="LCK138" s="422"/>
      <c r="LCL138" s="422"/>
      <c r="LCM138" s="422"/>
      <c r="LCN138" s="422"/>
      <c r="LCO138" s="422"/>
      <c r="LCP138" s="422"/>
      <c r="LCQ138" s="422"/>
      <c r="LCR138" s="422"/>
      <c r="LCS138" s="422"/>
      <c r="LCT138" s="422"/>
      <c r="LCU138" s="422"/>
      <c r="LCV138" s="422"/>
      <c r="LCW138" s="422"/>
      <c r="LCX138" s="422"/>
      <c r="LCY138" s="422"/>
      <c r="LCZ138" s="422"/>
      <c r="LDA138" s="422"/>
      <c r="LDB138" s="422"/>
      <c r="LDC138" s="422"/>
      <c r="LDD138" s="422"/>
      <c r="LDE138" s="422"/>
      <c r="LDF138" s="422"/>
      <c r="LDG138" s="422"/>
      <c r="LDH138" s="422"/>
      <c r="LDI138" s="422"/>
      <c r="LDJ138" s="422"/>
      <c r="LDK138" s="422"/>
      <c r="LDL138" s="422"/>
      <c r="LDM138" s="422"/>
      <c r="LDN138" s="422"/>
      <c r="LDO138" s="422"/>
      <c r="LDP138" s="422"/>
      <c r="LDQ138" s="422"/>
      <c r="LDR138" s="422"/>
      <c r="LDS138" s="422"/>
      <c r="LDT138" s="422"/>
      <c r="LDU138" s="422"/>
      <c r="LDV138" s="422"/>
      <c r="LDW138" s="422"/>
      <c r="LDX138" s="422"/>
      <c r="LDY138" s="422"/>
      <c r="LDZ138" s="422"/>
      <c r="LEA138" s="422"/>
      <c r="LEB138" s="422"/>
      <c r="LEC138" s="422"/>
      <c r="LED138" s="422"/>
      <c r="LEE138" s="422"/>
      <c r="LEF138" s="422"/>
      <c r="LEG138" s="422"/>
      <c r="LEH138" s="422"/>
      <c r="LEI138" s="422"/>
      <c r="LEJ138" s="422"/>
      <c r="LEK138" s="422"/>
      <c r="LEL138" s="422"/>
      <c r="LEM138" s="422"/>
      <c r="LEN138" s="422"/>
      <c r="LEO138" s="422"/>
      <c r="LEP138" s="422"/>
      <c r="LEQ138" s="422"/>
      <c r="LER138" s="422"/>
      <c r="LES138" s="422"/>
      <c r="LET138" s="422"/>
      <c r="LEU138" s="422"/>
      <c r="LEV138" s="422"/>
      <c r="LEW138" s="422"/>
      <c r="LEX138" s="422"/>
      <c r="LEY138" s="422"/>
      <c r="LEZ138" s="422"/>
      <c r="LFA138" s="422"/>
      <c r="LFB138" s="422"/>
      <c r="LFC138" s="422"/>
      <c r="LFD138" s="422"/>
      <c r="LFE138" s="422"/>
      <c r="LFF138" s="422"/>
      <c r="LFG138" s="422"/>
      <c r="LFH138" s="422"/>
      <c r="LFI138" s="422"/>
      <c r="LFJ138" s="422"/>
      <c r="LFK138" s="422"/>
      <c r="LFL138" s="422"/>
      <c r="LFM138" s="422"/>
      <c r="LFN138" s="422"/>
      <c r="LFO138" s="422"/>
      <c r="LFP138" s="422"/>
      <c r="LFQ138" s="422"/>
      <c r="LFR138" s="422"/>
      <c r="LFS138" s="422"/>
      <c r="LFT138" s="422"/>
      <c r="LFU138" s="422"/>
      <c r="LFV138" s="422"/>
      <c r="LFW138" s="422"/>
      <c r="LFX138" s="422"/>
      <c r="LFY138" s="422"/>
      <c r="LFZ138" s="422"/>
      <c r="LGA138" s="422"/>
      <c r="LGB138" s="422"/>
      <c r="LGC138" s="422"/>
      <c r="LGD138" s="422"/>
      <c r="LGE138" s="422"/>
      <c r="LGF138" s="422"/>
      <c r="LGG138" s="422"/>
      <c r="LGH138" s="422"/>
      <c r="LGI138" s="422"/>
      <c r="LGJ138" s="422"/>
      <c r="LGK138" s="422"/>
      <c r="LGL138" s="422"/>
      <c r="LGM138" s="422"/>
      <c r="LGN138" s="422"/>
      <c r="LGO138" s="422"/>
      <c r="LGP138" s="422"/>
      <c r="LGQ138" s="422"/>
      <c r="LGR138" s="422"/>
      <c r="LGS138" s="422"/>
      <c r="LGT138" s="422"/>
      <c r="LGU138" s="422"/>
      <c r="LGV138" s="422"/>
      <c r="LGW138" s="422"/>
      <c r="LGX138" s="422"/>
      <c r="LGY138" s="422"/>
      <c r="LGZ138" s="422"/>
      <c r="LHA138" s="422"/>
      <c r="LHB138" s="422"/>
      <c r="LHC138" s="422"/>
      <c r="LHD138" s="422"/>
      <c r="LHE138" s="422"/>
      <c r="LHF138" s="422"/>
      <c r="LHG138" s="422"/>
      <c r="LHH138" s="422"/>
      <c r="LHI138" s="422"/>
      <c r="LHJ138" s="422"/>
      <c r="LHK138" s="422"/>
      <c r="LHL138" s="422"/>
      <c r="LHM138" s="422"/>
      <c r="LHN138" s="422"/>
      <c r="LHO138" s="422"/>
      <c r="LHP138" s="422"/>
      <c r="LHQ138" s="422"/>
      <c r="LHR138" s="422"/>
      <c r="LHS138" s="422"/>
      <c r="LHT138" s="422"/>
      <c r="LHU138" s="422"/>
      <c r="LHV138" s="422"/>
      <c r="LHW138" s="422"/>
      <c r="LHX138" s="422"/>
      <c r="LHY138" s="422"/>
      <c r="LHZ138" s="422"/>
      <c r="LIA138" s="422"/>
      <c r="LIB138" s="422"/>
      <c r="LIC138" s="422"/>
      <c r="LID138" s="422"/>
      <c r="LIE138" s="422"/>
      <c r="LIF138" s="422"/>
      <c r="LIG138" s="422"/>
      <c r="LIH138" s="422"/>
      <c r="LII138" s="422"/>
      <c r="LIJ138" s="422"/>
      <c r="LIK138" s="422"/>
      <c r="LIL138" s="422"/>
      <c r="LIM138" s="422"/>
      <c r="LIN138" s="422"/>
      <c r="LIO138" s="422"/>
      <c r="LIP138" s="422"/>
      <c r="LIQ138" s="422"/>
      <c r="LIR138" s="422"/>
      <c r="LIS138" s="422"/>
      <c r="LIT138" s="422"/>
      <c r="LIU138" s="422"/>
      <c r="LIV138" s="422"/>
      <c r="LIW138" s="422"/>
      <c r="LIX138" s="422"/>
      <c r="LIY138" s="422"/>
      <c r="LIZ138" s="422"/>
      <c r="LJA138" s="422"/>
      <c r="LJB138" s="422"/>
      <c r="LJC138" s="422"/>
      <c r="LJD138" s="422"/>
      <c r="LJE138" s="422"/>
      <c r="LJF138" s="422"/>
      <c r="LJG138" s="422"/>
      <c r="LJH138" s="422"/>
      <c r="LJI138" s="422"/>
      <c r="LJJ138" s="422"/>
      <c r="LJK138" s="422"/>
      <c r="LJL138" s="422"/>
      <c r="LJM138" s="422"/>
      <c r="LJN138" s="422"/>
      <c r="LJO138" s="422"/>
      <c r="LJP138" s="422"/>
      <c r="LJQ138" s="422"/>
      <c r="LJR138" s="422"/>
      <c r="LJS138" s="422"/>
      <c r="LJT138" s="422"/>
      <c r="LJU138" s="422"/>
      <c r="LJV138" s="422"/>
      <c r="LJW138" s="422"/>
      <c r="LJX138" s="422"/>
      <c r="LJY138" s="422"/>
      <c r="LJZ138" s="422"/>
      <c r="LKA138" s="422"/>
      <c r="LKB138" s="422"/>
      <c r="LKC138" s="422"/>
      <c r="LKD138" s="422"/>
      <c r="LKE138" s="422"/>
      <c r="LKF138" s="422"/>
      <c r="LKG138" s="422"/>
      <c r="LKH138" s="422"/>
      <c r="LKI138" s="422"/>
      <c r="LKJ138" s="422"/>
      <c r="LKK138" s="422"/>
      <c r="LKL138" s="422"/>
      <c r="LKM138" s="422"/>
      <c r="LKN138" s="422"/>
      <c r="LKO138" s="422"/>
      <c r="LKP138" s="422"/>
      <c r="LKQ138" s="422"/>
      <c r="LKR138" s="422"/>
      <c r="LKS138" s="422"/>
      <c r="LKT138" s="422"/>
      <c r="LKU138" s="422"/>
      <c r="LKV138" s="422"/>
      <c r="LKW138" s="422"/>
      <c r="LKX138" s="422"/>
      <c r="LKY138" s="422"/>
      <c r="LKZ138" s="422"/>
      <c r="LLA138" s="422"/>
      <c r="LLB138" s="422"/>
      <c r="LLC138" s="422"/>
      <c r="LLD138" s="422"/>
      <c r="LLE138" s="422"/>
      <c r="LLF138" s="422"/>
      <c r="LLG138" s="422"/>
      <c r="LLH138" s="422"/>
      <c r="LLI138" s="422"/>
      <c r="LLJ138" s="422"/>
      <c r="LLK138" s="422"/>
      <c r="LLL138" s="422"/>
      <c r="LLM138" s="422"/>
      <c r="LLN138" s="422"/>
      <c r="LLO138" s="422"/>
      <c r="LLP138" s="422"/>
      <c r="LLQ138" s="422"/>
      <c r="LLR138" s="422"/>
      <c r="LLS138" s="422"/>
      <c r="LLT138" s="422"/>
      <c r="LLU138" s="422"/>
      <c r="LLV138" s="422"/>
      <c r="LLW138" s="422"/>
      <c r="LLX138" s="422"/>
      <c r="LLY138" s="422"/>
      <c r="LLZ138" s="422"/>
      <c r="LMA138" s="422"/>
      <c r="LMB138" s="422"/>
      <c r="LMC138" s="422"/>
      <c r="LMD138" s="422"/>
      <c r="LME138" s="422"/>
      <c r="LMF138" s="422"/>
      <c r="LMG138" s="422"/>
      <c r="LMH138" s="422"/>
      <c r="LMI138" s="422"/>
      <c r="LMJ138" s="422"/>
      <c r="LMK138" s="422"/>
      <c r="LML138" s="422"/>
      <c r="LMM138" s="422"/>
      <c r="LMN138" s="422"/>
      <c r="LMO138" s="422"/>
      <c r="LMP138" s="422"/>
      <c r="LMQ138" s="422"/>
      <c r="LMR138" s="422"/>
      <c r="LMS138" s="422"/>
      <c r="LMT138" s="422"/>
      <c r="LMU138" s="422"/>
      <c r="LMV138" s="422"/>
      <c r="LMW138" s="422"/>
      <c r="LMX138" s="422"/>
      <c r="LMY138" s="422"/>
      <c r="LMZ138" s="422"/>
      <c r="LNA138" s="422"/>
      <c r="LNB138" s="422"/>
      <c r="LNC138" s="422"/>
      <c r="LND138" s="422"/>
      <c r="LNE138" s="422"/>
      <c r="LNF138" s="422"/>
      <c r="LNG138" s="422"/>
      <c r="LNH138" s="422"/>
      <c r="LNI138" s="422"/>
      <c r="LNJ138" s="422"/>
      <c r="LNK138" s="422"/>
      <c r="LNL138" s="422"/>
      <c r="LNM138" s="422"/>
      <c r="LNN138" s="422"/>
      <c r="LNO138" s="422"/>
      <c r="LNP138" s="422"/>
      <c r="LNQ138" s="422"/>
      <c r="LNR138" s="422"/>
      <c r="LNS138" s="422"/>
      <c r="LNT138" s="422"/>
      <c r="LNU138" s="422"/>
      <c r="LNV138" s="422"/>
      <c r="LNW138" s="422"/>
      <c r="LNX138" s="422"/>
      <c r="LNY138" s="422"/>
      <c r="LNZ138" s="422"/>
      <c r="LOA138" s="422"/>
      <c r="LOB138" s="422"/>
      <c r="LOC138" s="422"/>
      <c r="LOD138" s="422"/>
      <c r="LOE138" s="422"/>
      <c r="LOF138" s="422"/>
      <c r="LOG138" s="422"/>
      <c r="LOH138" s="422"/>
      <c r="LOI138" s="422"/>
      <c r="LOJ138" s="422"/>
      <c r="LOK138" s="422"/>
      <c r="LOL138" s="422"/>
      <c r="LOM138" s="422"/>
      <c r="LON138" s="422"/>
      <c r="LOO138" s="422"/>
      <c r="LOP138" s="422"/>
      <c r="LOQ138" s="422"/>
      <c r="LOR138" s="422"/>
      <c r="LOS138" s="422"/>
      <c r="LOT138" s="422"/>
      <c r="LOU138" s="422"/>
      <c r="LOV138" s="422"/>
      <c r="LOW138" s="422"/>
      <c r="LOX138" s="422"/>
      <c r="LOY138" s="422"/>
      <c r="LOZ138" s="422"/>
      <c r="LPA138" s="422"/>
      <c r="LPB138" s="422"/>
      <c r="LPC138" s="422"/>
      <c r="LPD138" s="422"/>
      <c r="LPE138" s="422"/>
      <c r="LPF138" s="422"/>
      <c r="LPG138" s="422"/>
      <c r="LPH138" s="422"/>
      <c r="LPI138" s="422"/>
      <c r="LPJ138" s="422"/>
      <c r="LPK138" s="422"/>
      <c r="LPL138" s="422"/>
      <c r="LPM138" s="422"/>
      <c r="LPN138" s="422"/>
      <c r="LPO138" s="422"/>
      <c r="LPP138" s="422"/>
      <c r="LPQ138" s="422"/>
      <c r="LPR138" s="422"/>
      <c r="LPS138" s="422"/>
      <c r="LPT138" s="422"/>
      <c r="LPU138" s="422"/>
      <c r="LPV138" s="422"/>
      <c r="LPW138" s="422"/>
      <c r="LPX138" s="422"/>
      <c r="LPY138" s="422"/>
      <c r="LPZ138" s="422"/>
      <c r="LQA138" s="422"/>
      <c r="LQB138" s="422"/>
      <c r="LQC138" s="422"/>
      <c r="LQD138" s="422"/>
      <c r="LQE138" s="422"/>
      <c r="LQF138" s="422"/>
      <c r="LQG138" s="422"/>
      <c r="LQH138" s="422"/>
      <c r="LQI138" s="422"/>
      <c r="LQJ138" s="422"/>
      <c r="LQK138" s="422"/>
      <c r="LQL138" s="422"/>
      <c r="LQM138" s="422"/>
      <c r="LQN138" s="422"/>
      <c r="LQO138" s="422"/>
      <c r="LQP138" s="422"/>
      <c r="LQQ138" s="422"/>
      <c r="LQR138" s="422"/>
      <c r="LQS138" s="422"/>
      <c r="LQT138" s="422"/>
      <c r="LQU138" s="422"/>
      <c r="LQV138" s="422"/>
      <c r="LQW138" s="422"/>
      <c r="LQX138" s="422"/>
      <c r="LQY138" s="422"/>
      <c r="LQZ138" s="422"/>
      <c r="LRA138" s="422"/>
      <c r="LRB138" s="422"/>
      <c r="LRC138" s="422"/>
      <c r="LRD138" s="422"/>
      <c r="LRE138" s="422"/>
      <c r="LRF138" s="422"/>
      <c r="LRG138" s="422"/>
      <c r="LRH138" s="422"/>
      <c r="LRI138" s="422"/>
      <c r="LRJ138" s="422"/>
      <c r="LRK138" s="422"/>
      <c r="LRL138" s="422"/>
      <c r="LRM138" s="422"/>
      <c r="LRN138" s="422"/>
      <c r="LRO138" s="422"/>
      <c r="LRP138" s="422"/>
      <c r="LRQ138" s="422"/>
      <c r="LRR138" s="422"/>
      <c r="LRS138" s="422"/>
      <c r="LRT138" s="422"/>
      <c r="LRU138" s="422"/>
      <c r="LRV138" s="422"/>
      <c r="LRW138" s="422"/>
      <c r="LRX138" s="422"/>
      <c r="LRY138" s="422"/>
      <c r="LRZ138" s="422"/>
      <c r="LSA138" s="422"/>
      <c r="LSB138" s="422"/>
      <c r="LSC138" s="422"/>
      <c r="LSD138" s="422"/>
      <c r="LSE138" s="422"/>
      <c r="LSF138" s="422"/>
      <c r="LSG138" s="422"/>
      <c r="LSH138" s="422"/>
      <c r="LSI138" s="422"/>
      <c r="LSJ138" s="422"/>
      <c r="LSK138" s="422"/>
      <c r="LSL138" s="422"/>
      <c r="LSM138" s="422"/>
      <c r="LSN138" s="422"/>
      <c r="LSO138" s="422"/>
      <c r="LSP138" s="422"/>
      <c r="LSQ138" s="422"/>
      <c r="LSR138" s="422"/>
      <c r="LSS138" s="422"/>
      <c r="LST138" s="422"/>
      <c r="LSU138" s="422"/>
      <c r="LSV138" s="422"/>
      <c r="LSW138" s="422"/>
      <c r="LSX138" s="422"/>
      <c r="LSY138" s="422"/>
      <c r="LSZ138" s="422"/>
      <c r="LTA138" s="422"/>
      <c r="LTB138" s="422"/>
      <c r="LTC138" s="422"/>
      <c r="LTD138" s="422"/>
      <c r="LTE138" s="422"/>
      <c r="LTF138" s="422"/>
      <c r="LTG138" s="422"/>
      <c r="LTH138" s="422"/>
      <c r="LTI138" s="422"/>
      <c r="LTJ138" s="422"/>
      <c r="LTK138" s="422"/>
      <c r="LTL138" s="422"/>
      <c r="LTM138" s="422"/>
      <c r="LTN138" s="422"/>
      <c r="LTO138" s="422"/>
      <c r="LTP138" s="422"/>
      <c r="LTQ138" s="422"/>
      <c r="LTR138" s="422"/>
      <c r="LTS138" s="422"/>
      <c r="LTT138" s="422"/>
      <c r="LTU138" s="422"/>
      <c r="LTV138" s="422"/>
      <c r="LTW138" s="422"/>
      <c r="LTX138" s="422"/>
      <c r="LTY138" s="422"/>
      <c r="LTZ138" s="422"/>
      <c r="LUA138" s="422"/>
      <c r="LUB138" s="422"/>
      <c r="LUC138" s="422"/>
      <c r="LUD138" s="422"/>
      <c r="LUE138" s="422"/>
      <c r="LUF138" s="422"/>
      <c r="LUG138" s="422"/>
      <c r="LUH138" s="422"/>
      <c r="LUI138" s="422"/>
      <c r="LUJ138" s="422"/>
      <c r="LUK138" s="422"/>
      <c r="LUL138" s="422"/>
      <c r="LUM138" s="422"/>
      <c r="LUN138" s="422"/>
      <c r="LUO138" s="422"/>
      <c r="LUP138" s="422"/>
      <c r="LUQ138" s="422"/>
      <c r="LUR138" s="422"/>
      <c r="LUS138" s="422"/>
      <c r="LUT138" s="422"/>
      <c r="LUU138" s="422"/>
      <c r="LUV138" s="422"/>
      <c r="LUW138" s="422"/>
      <c r="LUX138" s="422"/>
      <c r="LUY138" s="422"/>
      <c r="LUZ138" s="422"/>
      <c r="LVA138" s="422"/>
      <c r="LVB138" s="422"/>
      <c r="LVC138" s="422"/>
      <c r="LVD138" s="422"/>
      <c r="LVE138" s="422"/>
      <c r="LVF138" s="422"/>
      <c r="LVG138" s="422"/>
      <c r="LVH138" s="422"/>
      <c r="LVI138" s="422"/>
      <c r="LVJ138" s="422"/>
      <c r="LVK138" s="422"/>
      <c r="LVL138" s="422"/>
      <c r="LVM138" s="422"/>
      <c r="LVN138" s="422"/>
      <c r="LVO138" s="422"/>
      <c r="LVP138" s="422"/>
      <c r="LVQ138" s="422"/>
      <c r="LVR138" s="422"/>
      <c r="LVS138" s="422"/>
      <c r="LVT138" s="422"/>
      <c r="LVU138" s="422"/>
      <c r="LVV138" s="422"/>
      <c r="LVW138" s="422"/>
      <c r="LVX138" s="422"/>
      <c r="LVY138" s="422"/>
      <c r="LVZ138" s="422"/>
      <c r="LWA138" s="422"/>
      <c r="LWB138" s="422"/>
      <c r="LWC138" s="422"/>
      <c r="LWD138" s="422"/>
      <c r="LWE138" s="422"/>
      <c r="LWF138" s="422"/>
      <c r="LWG138" s="422"/>
      <c r="LWH138" s="422"/>
      <c r="LWI138" s="422"/>
      <c r="LWJ138" s="422"/>
      <c r="LWK138" s="422"/>
      <c r="LWL138" s="422"/>
      <c r="LWM138" s="422"/>
      <c r="LWN138" s="422"/>
      <c r="LWO138" s="422"/>
      <c r="LWP138" s="422"/>
      <c r="LWQ138" s="422"/>
      <c r="LWR138" s="422"/>
      <c r="LWS138" s="422"/>
      <c r="LWT138" s="422"/>
      <c r="LWU138" s="422"/>
      <c r="LWV138" s="422"/>
      <c r="LWW138" s="422"/>
      <c r="LWX138" s="422"/>
      <c r="LWY138" s="422"/>
      <c r="LWZ138" s="422"/>
      <c r="LXA138" s="422"/>
      <c r="LXB138" s="422"/>
      <c r="LXC138" s="422"/>
      <c r="LXD138" s="422"/>
      <c r="LXE138" s="422"/>
      <c r="LXF138" s="422"/>
      <c r="LXG138" s="422"/>
      <c r="LXH138" s="422"/>
      <c r="LXI138" s="422"/>
      <c r="LXJ138" s="422"/>
      <c r="LXK138" s="422"/>
      <c r="LXL138" s="422"/>
      <c r="LXM138" s="422"/>
      <c r="LXN138" s="422"/>
      <c r="LXO138" s="422"/>
      <c r="LXP138" s="422"/>
      <c r="LXQ138" s="422"/>
      <c r="LXR138" s="422"/>
      <c r="LXS138" s="422"/>
      <c r="LXT138" s="422"/>
      <c r="LXU138" s="422"/>
      <c r="LXV138" s="422"/>
      <c r="LXW138" s="422"/>
      <c r="LXX138" s="422"/>
      <c r="LXY138" s="422"/>
      <c r="LXZ138" s="422"/>
      <c r="LYA138" s="422"/>
      <c r="LYB138" s="422"/>
      <c r="LYC138" s="422"/>
      <c r="LYD138" s="422"/>
      <c r="LYE138" s="422"/>
      <c r="LYF138" s="422"/>
      <c r="LYG138" s="422"/>
      <c r="LYH138" s="422"/>
      <c r="LYI138" s="422"/>
      <c r="LYJ138" s="422"/>
      <c r="LYK138" s="422"/>
      <c r="LYL138" s="422"/>
      <c r="LYM138" s="422"/>
      <c r="LYN138" s="422"/>
      <c r="LYO138" s="422"/>
      <c r="LYP138" s="422"/>
      <c r="LYQ138" s="422"/>
      <c r="LYR138" s="422"/>
      <c r="LYS138" s="422"/>
      <c r="LYT138" s="422"/>
      <c r="LYU138" s="422"/>
      <c r="LYV138" s="422"/>
      <c r="LYW138" s="422"/>
      <c r="LYX138" s="422"/>
      <c r="LYY138" s="422"/>
      <c r="LYZ138" s="422"/>
      <c r="LZA138" s="422"/>
      <c r="LZB138" s="422"/>
      <c r="LZC138" s="422"/>
      <c r="LZD138" s="422"/>
      <c r="LZE138" s="422"/>
      <c r="LZF138" s="422"/>
      <c r="LZG138" s="422"/>
      <c r="LZH138" s="422"/>
      <c r="LZI138" s="422"/>
      <c r="LZJ138" s="422"/>
      <c r="LZK138" s="422"/>
      <c r="LZL138" s="422"/>
      <c r="LZM138" s="422"/>
      <c r="LZN138" s="422"/>
      <c r="LZO138" s="422"/>
      <c r="LZP138" s="422"/>
      <c r="LZQ138" s="422"/>
      <c r="LZR138" s="422"/>
      <c r="LZS138" s="422"/>
      <c r="LZT138" s="422"/>
      <c r="LZU138" s="422"/>
      <c r="LZV138" s="422"/>
      <c r="LZW138" s="422"/>
      <c r="LZX138" s="422"/>
      <c r="LZY138" s="422"/>
      <c r="LZZ138" s="422"/>
      <c r="MAA138" s="422"/>
      <c r="MAB138" s="422"/>
      <c r="MAC138" s="422"/>
      <c r="MAD138" s="422"/>
      <c r="MAE138" s="422"/>
      <c r="MAF138" s="422"/>
      <c r="MAG138" s="422"/>
      <c r="MAH138" s="422"/>
      <c r="MAI138" s="422"/>
      <c r="MAJ138" s="422"/>
      <c r="MAK138" s="422"/>
      <c r="MAL138" s="422"/>
      <c r="MAM138" s="422"/>
      <c r="MAN138" s="422"/>
      <c r="MAO138" s="422"/>
      <c r="MAP138" s="422"/>
      <c r="MAQ138" s="422"/>
      <c r="MAR138" s="422"/>
      <c r="MAS138" s="422"/>
      <c r="MAT138" s="422"/>
      <c r="MAU138" s="422"/>
      <c r="MAV138" s="422"/>
      <c r="MAW138" s="422"/>
      <c r="MAX138" s="422"/>
      <c r="MAY138" s="422"/>
      <c r="MAZ138" s="422"/>
      <c r="MBA138" s="422"/>
      <c r="MBB138" s="422"/>
      <c r="MBC138" s="422"/>
      <c r="MBD138" s="422"/>
      <c r="MBE138" s="422"/>
      <c r="MBF138" s="422"/>
      <c r="MBG138" s="422"/>
      <c r="MBH138" s="422"/>
      <c r="MBI138" s="422"/>
      <c r="MBJ138" s="422"/>
      <c r="MBK138" s="422"/>
      <c r="MBL138" s="422"/>
      <c r="MBM138" s="422"/>
      <c r="MBN138" s="422"/>
      <c r="MBO138" s="422"/>
      <c r="MBP138" s="422"/>
      <c r="MBQ138" s="422"/>
      <c r="MBR138" s="422"/>
      <c r="MBS138" s="422"/>
      <c r="MBT138" s="422"/>
      <c r="MBU138" s="422"/>
      <c r="MBV138" s="422"/>
      <c r="MBW138" s="422"/>
      <c r="MBX138" s="422"/>
      <c r="MBY138" s="422"/>
      <c r="MBZ138" s="422"/>
      <c r="MCA138" s="422"/>
      <c r="MCB138" s="422"/>
      <c r="MCC138" s="422"/>
      <c r="MCD138" s="422"/>
      <c r="MCE138" s="422"/>
      <c r="MCF138" s="422"/>
      <c r="MCG138" s="422"/>
      <c r="MCH138" s="422"/>
      <c r="MCI138" s="422"/>
      <c r="MCJ138" s="422"/>
      <c r="MCK138" s="422"/>
      <c r="MCL138" s="422"/>
      <c r="MCM138" s="422"/>
      <c r="MCN138" s="422"/>
      <c r="MCO138" s="422"/>
      <c r="MCP138" s="422"/>
      <c r="MCQ138" s="422"/>
      <c r="MCR138" s="422"/>
      <c r="MCS138" s="422"/>
      <c r="MCT138" s="422"/>
      <c r="MCU138" s="422"/>
      <c r="MCV138" s="422"/>
      <c r="MCW138" s="422"/>
      <c r="MCX138" s="422"/>
      <c r="MCY138" s="422"/>
      <c r="MCZ138" s="422"/>
      <c r="MDA138" s="422"/>
      <c r="MDB138" s="422"/>
      <c r="MDC138" s="422"/>
      <c r="MDD138" s="422"/>
      <c r="MDE138" s="422"/>
      <c r="MDF138" s="422"/>
      <c r="MDG138" s="422"/>
      <c r="MDH138" s="422"/>
      <c r="MDI138" s="422"/>
      <c r="MDJ138" s="422"/>
      <c r="MDK138" s="422"/>
      <c r="MDL138" s="422"/>
      <c r="MDM138" s="422"/>
      <c r="MDN138" s="422"/>
      <c r="MDO138" s="422"/>
      <c r="MDP138" s="422"/>
      <c r="MDQ138" s="422"/>
      <c r="MDR138" s="422"/>
      <c r="MDS138" s="422"/>
      <c r="MDT138" s="422"/>
      <c r="MDU138" s="422"/>
      <c r="MDV138" s="422"/>
      <c r="MDW138" s="422"/>
      <c r="MDX138" s="422"/>
      <c r="MDY138" s="422"/>
      <c r="MDZ138" s="422"/>
      <c r="MEA138" s="422"/>
      <c r="MEB138" s="422"/>
      <c r="MEC138" s="422"/>
      <c r="MED138" s="422"/>
      <c r="MEE138" s="422"/>
      <c r="MEF138" s="422"/>
      <c r="MEG138" s="422"/>
      <c r="MEH138" s="422"/>
      <c r="MEI138" s="422"/>
      <c r="MEJ138" s="422"/>
      <c r="MEK138" s="422"/>
      <c r="MEL138" s="422"/>
      <c r="MEM138" s="422"/>
      <c r="MEN138" s="422"/>
      <c r="MEO138" s="422"/>
      <c r="MEP138" s="422"/>
      <c r="MEQ138" s="422"/>
      <c r="MER138" s="422"/>
      <c r="MES138" s="422"/>
      <c r="MET138" s="422"/>
      <c r="MEU138" s="422"/>
      <c r="MEV138" s="422"/>
      <c r="MEW138" s="422"/>
      <c r="MEX138" s="422"/>
      <c r="MEY138" s="422"/>
      <c r="MEZ138" s="422"/>
      <c r="MFA138" s="422"/>
      <c r="MFB138" s="422"/>
      <c r="MFC138" s="422"/>
      <c r="MFD138" s="422"/>
      <c r="MFE138" s="422"/>
      <c r="MFF138" s="422"/>
      <c r="MFG138" s="422"/>
      <c r="MFH138" s="422"/>
      <c r="MFI138" s="422"/>
      <c r="MFJ138" s="422"/>
      <c r="MFK138" s="422"/>
      <c r="MFL138" s="422"/>
      <c r="MFM138" s="422"/>
      <c r="MFN138" s="422"/>
      <c r="MFO138" s="422"/>
      <c r="MFP138" s="422"/>
      <c r="MFQ138" s="422"/>
      <c r="MFR138" s="422"/>
      <c r="MFS138" s="422"/>
      <c r="MFT138" s="422"/>
      <c r="MFU138" s="422"/>
      <c r="MFV138" s="422"/>
      <c r="MFW138" s="422"/>
      <c r="MFX138" s="422"/>
      <c r="MFY138" s="422"/>
      <c r="MFZ138" s="422"/>
      <c r="MGA138" s="422"/>
      <c r="MGB138" s="422"/>
      <c r="MGC138" s="422"/>
      <c r="MGD138" s="422"/>
      <c r="MGE138" s="422"/>
      <c r="MGF138" s="422"/>
      <c r="MGG138" s="422"/>
      <c r="MGH138" s="422"/>
      <c r="MGI138" s="422"/>
      <c r="MGJ138" s="422"/>
      <c r="MGK138" s="422"/>
      <c r="MGL138" s="422"/>
      <c r="MGM138" s="422"/>
      <c r="MGN138" s="422"/>
      <c r="MGO138" s="422"/>
      <c r="MGP138" s="422"/>
      <c r="MGQ138" s="422"/>
      <c r="MGR138" s="422"/>
      <c r="MGS138" s="422"/>
      <c r="MGT138" s="422"/>
      <c r="MGU138" s="422"/>
      <c r="MGV138" s="422"/>
      <c r="MGW138" s="422"/>
      <c r="MGX138" s="422"/>
      <c r="MGY138" s="422"/>
      <c r="MGZ138" s="422"/>
      <c r="MHA138" s="422"/>
      <c r="MHB138" s="422"/>
      <c r="MHC138" s="422"/>
      <c r="MHD138" s="422"/>
      <c r="MHE138" s="422"/>
      <c r="MHF138" s="422"/>
      <c r="MHG138" s="422"/>
      <c r="MHH138" s="422"/>
      <c r="MHI138" s="422"/>
      <c r="MHJ138" s="422"/>
      <c r="MHK138" s="422"/>
      <c r="MHL138" s="422"/>
      <c r="MHM138" s="422"/>
      <c r="MHN138" s="422"/>
      <c r="MHO138" s="422"/>
      <c r="MHP138" s="422"/>
      <c r="MHQ138" s="422"/>
      <c r="MHR138" s="422"/>
      <c r="MHS138" s="422"/>
      <c r="MHT138" s="422"/>
      <c r="MHU138" s="422"/>
      <c r="MHV138" s="422"/>
      <c r="MHW138" s="422"/>
      <c r="MHX138" s="422"/>
      <c r="MHY138" s="422"/>
      <c r="MHZ138" s="422"/>
      <c r="MIA138" s="422"/>
      <c r="MIB138" s="422"/>
      <c r="MIC138" s="422"/>
      <c r="MID138" s="422"/>
      <c r="MIE138" s="422"/>
      <c r="MIF138" s="422"/>
      <c r="MIG138" s="422"/>
      <c r="MIH138" s="422"/>
      <c r="MII138" s="422"/>
      <c r="MIJ138" s="422"/>
      <c r="MIK138" s="422"/>
      <c r="MIL138" s="422"/>
      <c r="MIM138" s="422"/>
      <c r="MIN138" s="422"/>
      <c r="MIO138" s="422"/>
      <c r="MIP138" s="422"/>
      <c r="MIQ138" s="422"/>
      <c r="MIR138" s="422"/>
      <c r="MIS138" s="422"/>
      <c r="MIT138" s="422"/>
      <c r="MIU138" s="422"/>
      <c r="MIV138" s="422"/>
      <c r="MIW138" s="422"/>
      <c r="MIX138" s="422"/>
      <c r="MIY138" s="422"/>
      <c r="MIZ138" s="422"/>
      <c r="MJA138" s="422"/>
      <c r="MJB138" s="422"/>
      <c r="MJC138" s="422"/>
      <c r="MJD138" s="422"/>
      <c r="MJE138" s="422"/>
      <c r="MJF138" s="422"/>
      <c r="MJG138" s="422"/>
      <c r="MJH138" s="422"/>
      <c r="MJI138" s="422"/>
      <c r="MJJ138" s="422"/>
      <c r="MJK138" s="422"/>
      <c r="MJL138" s="422"/>
      <c r="MJM138" s="422"/>
      <c r="MJN138" s="422"/>
      <c r="MJO138" s="422"/>
      <c r="MJP138" s="422"/>
      <c r="MJQ138" s="422"/>
      <c r="MJR138" s="422"/>
      <c r="MJS138" s="422"/>
      <c r="MJT138" s="422"/>
      <c r="MJU138" s="422"/>
      <c r="MJV138" s="422"/>
      <c r="MJW138" s="422"/>
      <c r="MJX138" s="422"/>
      <c r="MJY138" s="422"/>
      <c r="MJZ138" s="422"/>
      <c r="MKA138" s="422"/>
      <c r="MKB138" s="422"/>
      <c r="MKC138" s="422"/>
      <c r="MKD138" s="422"/>
      <c r="MKE138" s="422"/>
      <c r="MKF138" s="422"/>
      <c r="MKG138" s="422"/>
      <c r="MKH138" s="422"/>
      <c r="MKI138" s="422"/>
      <c r="MKJ138" s="422"/>
      <c r="MKK138" s="422"/>
      <c r="MKL138" s="422"/>
      <c r="MKM138" s="422"/>
      <c r="MKN138" s="422"/>
      <c r="MKO138" s="422"/>
      <c r="MKP138" s="422"/>
      <c r="MKQ138" s="422"/>
      <c r="MKR138" s="422"/>
      <c r="MKS138" s="422"/>
      <c r="MKT138" s="422"/>
      <c r="MKU138" s="422"/>
      <c r="MKV138" s="422"/>
      <c r="MKW138" s="422"/>
      <c r="MKX138" s="422"/>
      <c r="MKY138" s="422"/>
      <c r="MKZ138" s="422"/>
      <c r="MLA138" s="422"/>
      <c r="MLB138" s="422"/>
      <c r="MLC138" s="422"/>
      <c r="MLD138" s="422"/>
      <c r="MLE138" s="422"/>
      <c r="MLF138" s="422"/>
      <c r="MLG138" s="422"/>
      <c r="MLH138" s="422"/>
      <c r="MLI138" s="422"/>
      <c r="MLJ138" s="422"/>
      <c r="MLK138" s="422"/>
      <c r="MLL138" s="422"/>
      <c r="MLM138" s="422"/>
      <c r="MLN138" s="422"/>
      <c r="MLO138" s="422"/>
      <c r="MLP138" s="422"/>
      <c r="MLQ138" s="422"/>
      <c r="MLR138" s="422"/>
      <c r="MLS138" s="422"/>
      <c r="MLT138" s="422"/>
      <c r="MLU138" s="422"/>
      <c r="MLV138" s="422"/>
      <c r="MLW138" s="422"/>
      <c r="MLX138" s="422"/>
      <c r="MLY138" s="422"/>
      <c r="MLZ138" s="422"/>
      <c r="MMA138" s="422"/>
      <c r="MMB138" s="422"/>
      <c r="MMC138" s="422"/>
      <c r="MMD138" s="422"/>
      <c r="MME138" s="422"/>
      <c r="MMF138" s="422"/>
      <c r="MMG138" s="422"/>
      <c r="MMH138" s="422"/>
      <c r="MMI138" s="422"/>
      <c r="MMJ138" s="422"/>
      <c r="MMK138" s="422"/>
      <c r="MML138" s="422"/>
      <c r="MMM138" s="422"/>
      <c r="MMN138" s="422"/>
      <c r="MMO138" s="422"/>
      <c r="MMP138" s="422"/>
      <c r="MMQ138" s="422"/>
      <c r="MMR138" s="422"/>
      <c r="MMS138" s="422"/>
      <c r="MMT138" s="422"/>
      <c r="MMU138" s="422"/>
      <c r="MMV138" s="422"/>
      <c r="MMW138" s="422"/>
      <c r="MMX138" s="422"/>
      <c r="MMY138" s="422"/>
      <c r="MMZ138" s="422"/>
      <c r="MNA138" s="422"/>
      <c r="MNB138" s="422"/>
      <c r="MNC138" s="422"/>
      <c r="MND138" s="422"/>
      <c r="MNE138" s="422"/>
      <c r="MNF138" s="422"/>
      <c r="MNG138" s="422"/>
      <c r="MNH138" s="422"/>
      <c r="MNI138" s="422"/>
      <c r="MNJ138" s="422"/>
      <c r="MNK138" s="422"/>
      <c r="MNL138" s="422"/>
      <c r="MNM138" s="422"/>
      <c r="MNN138" s="422"/>
      <c r="MNO138" s="422"/>
      <c r="MNP138" s="422"/>
      <c r="MNQ138" s="422"/>
      <c r="MNR138" s="422"/>
      <c r="MNS138" s="422"/>
      <c r="MNT138" s="422"/>
      <c r="MNU138" s="422"/>
      <c r="MNV138" s="422"/>
      <c r="MNW138" s="422"/>
      <c r="MNX138" s="422"/>
      <c r="MNY138" s="422"/>
      <c r="MNZ138" s="422"/>
      <c r="MOA138" s="422"/>
      <c r="MOB138" s="422"/>
      <c r="MOC138" s="422"/>
      <c r="MOD138" s="422"/>
      <c r="MOE138" s="422"/>
      <c r="MOF138" s="422"/>
      <c r="MOG138" s="422"/>
      <c r="MOH138" s="422"/>
      <c r="MOI138" s="422"/>
      <c r="MOJ138" s="422"/>
      <c r="MOK138" s="422"/>
      <c r="MOL138" s="422"/>
      <c r="MOM138" s="422"/>
      <c r="MON138" s="422"/>
      <c r="MOO138" s="422"/>
      <c r="MOP138" s="422"/>
      <c r="MOQ138" s="422"/>
      <c r="MOR138" s="422"/>
      <c r="MOS138" s="422"/>
      <c r="MOT138" s="422"/>
      <c r="MOU138" s="422"/>
      <c r="MOV138" s="422"/>
      <c r="MOW138" s="422"/>
      <c r="MOX138" s="422"/>
      <c r="MOY138" s="422"/>
      <c r="MOZ138" s="422"/>
      <c r="MPA138" s="422"/>
      <c r="MPB138" s="422"/>
      <c r="MPC138" s="422"/>
      <c r="MPD138" s="422"/>
      <c r="MPE138" s="422"/>
      <c r="MPF138" s="422"/>
      <c r="MPG138" s="422"/>
      <c r="MPH138" s="422"/>
      <c r="MPI138" s="422"/>
      <c r="MPJ138" s="422"/>
      <c r="MPK138" s="422"/>
      <c r="MPL138" s="422"/>
      <c r="MPM138" s="422"/>
      <c r="MPN138" s="422"/>
      <c r="MPO138" s="422"/>
      <c r="MPP138" s="422"/>
      <c r="MPQ138" s="422"/>
      <c r="MPR138" s="422"/>
      <c r="MPS138" s="422"/>
      <c r="MPT138" s="422"/>
      <c r="MPU138" s="422"/>
      <c r="MPV138" s="422"/>
      <c r="MPW138" s="422"/>
      <c r="MPX138" s="422"/>
      <c r="MPY138" s="422"/>
      <c r="MPZ138" s="422"/>
      <c r="MQA138" s="422"/>
      <c r="MQB138" s="422"/>
      <c r="MQC138" s="422"/>
      <c r="MQD138" s="422"/>
      <c r="MQE138" s="422"/>
      <c r="MQF138" s="422"/>
      <c r="MQG138" s="422"/>
      <c r="MQH138" s="422"/>
      <c r="MQI138" s="422"/>
      <c r="MQJ138" s="422"/>
      <c r="MQK138" s="422"/>
      <c r="MQL138" s="422"/>
      <c r="MQM138" s="422"/>
      <c r="MQN138" s="422"/>
      <c r="MQO138" s="422"/>
      <c r="MQP138" s="422"/>
      <c r="MQQ138" s="422"/>
      <c r="MQR138" s="422"/>
      <c r="MQS138" s="422"/>
      <c r="MQT138" s="422"/>
      <c r="MQU138" s="422"/>
      <c r="MQV138" s="422"/>
      <c r="MQW138" s="422"/>
      <c r="MQX138" s="422"/>
      <c r="MQY138" s="422"/>
      <c r="MQZ138" s="422"/>
      <c r="MRA138" s="422"/>
      <c r="MRB138" s="422"/>
      <c r="MRC138" s="422"/>
      <c r="MRD138" s="422"/>
      <c r="MRE138" s="422"/>
      <c r="MRF138" s="422"/>
      <c r="MRG138" s="422"/>
      <c r="MRH138" s="422"/>
      <c r="MRI138" s="422"/>
      <c r="MRJ138" s="422"/>
      <c r="MRK138" s="422"/>
      <c r="MRL138" s="422"/>
      <c r="MRM138" s="422"/>
      <c r="MRN138" s="422"/>
      <c r="MRO138" s="422"/>
      <c r="MRP138" s="422"/>
      <c r="MRQ138" s="422"/>
      <c r="MRR138" s="422"/>
      <c r="MRS138" s="422"/>
      <c r="MRT138" s="422"/>
      <c r="MRU138" s="422"/>
      <c r="MRV138" s="422"/>
      <c r="MRW138" s="422"/>
      <c r="MRX138" s="422"/>
      <c r="MRY138" s="422"/>
      <c r="MRZ138" s="422"/>
      <c r="MSA138" s="422"/>
      <c r="MSB138" s="422"/>
      <c r="MSC138" s="422"/>
      <c r="MSD138" s="422"/>
      <c r="MSE138" s="422"/>
      <c r="MSF138" s="422"/>
      <c r="MSG138" s="422"/>
      <c r="MSH138" s="422"/>
      <c r="MSI138" s="422"/>
      <c r="MSJ138" s="422"/>
      <c r="MSK138" s="422"/>
      <c r="MSL138" s="422"/>
      <c r="MSM138" s="422"/>
      <c r="MSN138" s="422"/>
      <c r="MSO138" s="422"/>
      <c r="MSP138" s="422"/>
      <c r="MSQ138" s="422"/>
      <c r="MSR138" s="422"/>
      <c r="MSS138" s="422"/>
      <c r="MST138" s="422"/>
      <c r="MSU138" s="422"/>
      <c r="MSV138" s="422"/>
      <c r="MSW138" s="422"/>
      <c r="MSX138" s="422"/>
      <c r="MSY138" s="422"/>
      <c r="MSZ138" s="422"/>
      <c r="MTA138" s="422"/>
      <c r="MTB138" s="422"/>
      <c r="MTC138" s="422"/>
      <c r="MTD138" s="422"/>
      <c r="MTE138" s="422"/>
      <c r="MTF138" s="422"/>
      <c r="MTG138" s="422"/>
      <c r="MTH138" s="422"/>
      <c r="MTI138" s="422"/>
      <c r="MTJ138" s="422"/>
      <c r="MTK138" s="422"/>
      <c r="MTL138" s="422"/>
      <c r="MTM138" s="422"/>
      <c r="MTN138" s="422"/>
      <c r="MTO138" s="422"/>
      <c r="MTP138" s="422"/>
      <c r="MTQ138" s="422"/>
      <c r="MTR138" s="422"/>
      <c r="MTS138" s="422"/>
      <c r="MTT138" s="422"/>
      <c r="MTU138" s="422"/>
      <c r="MTV138" s="422"/>
      <c r="MTW138" s="422"/>
      <c r="MTX138" s="422"/>
      <c r="MTY138" s="422"/>
      <c r="MTZ138" s="422"/>
      <c r="MUA138" s="422"/>
      <c r="MUB138" s="422"/>
      <c r="MUC138" s="422"/>
      <c r="MUD138" s="422"/>
      <c r="MUE138" s="422"/>
      <c r="MUF138" s="422"/>
      <c r="MUG138" s="422"/>
      <c r="MUH138" s="422"/>
      <c r="MUI138" s="422"/>
      <c r="MUJ138" s="422"/>
      <c r="MUK138" s="422"/>
      <c r="MUL138" s="422"/>
      <c r="MUM138" s="422"/>
      <c r="MUN138" s="422"/>
      <c r="MUO138" s="422"/>
      <c r="MUP138" s="422"/>
      <c r="MUQ138" s="422"/>
      <c r="MUR138" s="422"/>
      <c r="MUS138" s="422"/>
      <c r="MUT138" s="422"/>
      <c r="MUU138" s="422"/>
      <c r="MUV138" s="422"/>
      <c r="MUW138" s="422"/>
      <c r="MUX138" s="422"/>
      <c r="MUY138" s="422"/>
      <c r="MUZ138" s="422"/>
      <c r="MVA138" s="422"/>
      <c r="MVB138" s="422"/>
      <c r="MVC138" s="422"/>
      <c r="MVD138" s="422"/>
      <c r="MVE138" s="422"/>
      <c r="MVF138" s="422"/>
      <c r="MVG138" s="422"/>
      <c r="MVH138" s="422"/>
      <c r="MVI138" s="422"/>
      <c r="MVJ138" s="422"/>
      <c r="MVK138" s="422"/>
      <c r="MVL138" s="422"/>
      <c r="MVM138" s="422"/>
      <c r="MVN138" s="422"/>
      <c r="MVO138" s="422"/>
      <c r="MVP138" s="422"/>
      <c r="MVQ138" s="422"/>
      <c r="MVR138" s="422"/>
      <c r="MVS138" s="422"/>
      <c r="MVT138" s="422"/>
      <c r="MVU138" s="422"/>
      <c r="MVV138" s="422"/>
      <c r="MVW138" s="422"/>
      <c r="MVX138" s="422"/>
      <c r="MVY138" s="422"/>
      <c r="MVZ138" s="422"/>
      <c r="MWA138" s="422"/>
      <c r="MWB138" s="422"/>
      <c r="MWC138" s="422"/>
      <c r="MWD138" s="422"/>
      <c r="MWE138" s="422"/>
      <c r="MWF138" s="422"/>
      <c r="MWG138" s="422"/>
      <c r="MWH138" s="422"/>
      <c r="MWI138" s="422"/>
      <c r="MWJ138" s="422"/>
      <c r="MWK138" s="422"/>
      <c r="MWL138" s="422"/>
      <c r="MWM138" s="422"/>
      <c r="MWN138" s="422"/>
      <c r="MWO138" s="422"/>
      <c r="MWP138" s="422"/>
      <c r="MWQ138" s="422"/>
      <c r="MWR138" s="422"/>
      <c r="MWS138" s="422"/>
      <c r="MWT138" s="422"/>
      <c r="MWU138" s="422"/>
      <c r="MWV138" s="422"/>
      <c r="MWW138" s="422"/>
      <c r="MWX138" s="422"/>
      <c r="MWY138" s="422"/>
      <c r="MWZ138" s="422"/>
      <c r="MXA138" s="422"/>
      <c r="MXB138" s="422"/>
      <c r="MXC138" s="422"/>
      <c r="MXD138" s="422"/>
      <c r="MXE138" s="422"/>
      <c r="MXF138" s="422"/>
      <c r="MXG138" s="422"/>
      <c r="MXH138" s="422"/>
      <c r="MXI138" s="422"/>
      <c r="MXJ138" s="422"/>
      <c r="MXK138" s="422"/>
      <c r="MXL138" s="422"/>
      <c r="MXM138" s="422"/>
      <c r="MXN138" s="422"/>
      <c r="MXO138" s="422"/>
      <c r="MXP138" s="422"/>
      <c r="MXQ138" s="422"/>
      <c r="MXR138" s="422"/>
      <c r="MXS138" s="422"/>
      <c r="MXT138" s="422"/>
      <c r="MXU138" s="422"/>
      <c r="MXV138" s="422"/>
      <c r="MXW138" s="422"/>
      <c r="MXX138" s="422"/>
      <c r="MXY138" s="422"/>
      <c r="MXZ138" s="422"/>
      <c r="MYA138" s="422"/>
      <c r="MYB138" s="422"/>
      <c r="MYC138" s="422"/>
      <c r="MYD138" s="422"/>
      <c r="MYE138" s="422"/>
      <c r="MYF138" s="422"/>
      <c r="MYG138" s="422"/>
      <c r="MYH138" s="422"/>
      <c r="MYI138" s="422"/>
      <c r="MYJ138" s="422"/>
      <c r="MYK138" s="422"/>
      <c r="MYL138" s="422"/>
      <c r="MYM138" s="422"/>
      <c r="MYN138" s="422"/>
      <c r="MYO138" s="422"/>
      <c r="MYP138" s="422"/>
      <c r="MYQ138" s="422"/>
      <c r="MYR138" s="422"/>
      <c r="MYS138" s="422"/>
      <c r="MYT138" s="422"/>
      <c r="MYU138" s="422"/>
      <c r="MYV138" s="422"/>
      <c r="MYW138" s="422"/>
      <c r="MYX138" s="422"/>
      <c r="MYY138" s="422"/>
      <c r="MYZ138" s="422"/>
      <c r="MZA138" s="422"/>
      <c r="MZB138" s="422"/>
      <c r="MZC138" s="422"/>
      <c r="MZD138" s="422"/>
      <c r="MZE138" s="422"/>
      <c r="MZF138" s="422"/>
      <c r="MZG138" s="422"/>
      <c r="MZH138" s="422"/>
      <c r="MZI138" s="422"/>
      <c r="MZJ138" s="422"/>
      <c r="MZK138" s="422"/>
      <c r="MZL138" s="422"/>
      <c r="MZM138" s="422"/>
      <c r="MZN138" s="422"/>
      <c r="MZO138" s="422"/>
      <c r="MZP138" s="422"/>
      <c r="MZQ138" s="422"/>
      <c r="MZR138" s="422"/>
      <c r="MZS138" s="422"/>
      <c r="MZT138" s="422"/>
      <c r="MZU138" s="422"/>
      <c r="MZV138" s="422"/>
      <c r="MZW138" s="422"/>
      <c r="MZX138" s="422"/>
      <c r="MZY138" s="422"/>
      <c r="MZZ138" s="422"/>
      <c r="NAA138" s="422"/>
      <c r="NAB138" s="422"/>
      <c r="NAC138" s="422"/>
      <c r="NAD138" s="422"/>
      <c r="NAE138" s="422"/>
      <c r="NAF138" s="422"/>
      <c r="NAG138" s="422"/>
      <c r="NAH138" s="422"/>
      <c r="NAI138" s="422"/>
      <c r="NAJ138" s="422"/>
      <c r="NAK138" s="422"/>
      <c r="NAL138" s="422"/>
      <c r="NAM138" s="422"/>
      <c r="NAN138" s="422"/>
      <c r="NAO138" s="422"/>
      <c r="NAP138" s="422"/>
      <c r="NAQ138" s="422"/>
      <c r="NAR138" s="422"/>
      <c r="NAS138" s="422"/>
      <c r="NAT138" s="422"/>
      <c r="NAU138" s="422"/>
      <c r="NAV138" s="422"/>
      <c r="NAW138" s="422"/>
      <c r="NAX138" s="422"/>
      <c r="NAY138" s="422"/>
      <c r="NAZ138" s="422"/>
      <c r="NBA138" s="422"/>
      <c r="NBB138" s="422"/>
      <c r="NBC138" s="422"/>
      <c r="NBD138" s="422"/>
      <c r="NBE138" s="422"/>
      <c r="NBF138" s="422"/>
      <c r="NBG138" s="422"/>
      <c r="NBH138" s="422"/>
      <c r="NBI138" s="422"/>
      <c r="NBJ138" s="422"/>
      <c r="NBK138" s="422"/>
      <c r="NBL138" s="422"/>
      <c r="NBM138" s="422"/>
      <c r="NBN138" s="422"/>
      <c r="NBO138" s="422"/>
      <c r="NBP138" s="422"/>
      <c r="NBQ138" s="422"/>
      <c r="NBR138" s="422"/>
      <c r="NBS138" s="422"/>
      <c r="NBT138" s="422"/>
      <c r="NBU138" s="422"/>
      <c r="NBV138" s="422"/>
      <c r="NBW138" s="422"/>
      <c r="NBX138" s="422"/>
      <c r="NBY138" s="422"/>
      <c r="NBZ138" s="422"/>
      <c r="NCA138" s="422"/>
      <c r="NCB138" s="422"/>
      <c r="NCC138" s="422"/>
      <c r="NCD138" s="422"/>
      <c r="NCE138" s="422"/>
      <c r="NCF138" s="422"/>
      <c r="NCG138" s="422"/>
      <c r="NCH138" s="422"/>
      <c r="NCI138" s="422"/>
      <c r="NCJ138" s="422"/>
      <c r="NCK138" s="422"/>
      <c r="NCL138" s="422"/>
      <c r="NCM138" s="422"/>
      <c r="NCN138" s="422"/>
      <c r="NCO138" s="422"/>
      <c r="NCP138" s="422"/>
      <c r="NCQ138" s="422"/>
      <c r="NCR138" s="422"/>
      <c r="NCS138" s="422"/>
      <c r="NCT138" s="422"/>
      <c r="NCU138" s="422"/>
      <c r="NCV138" s="422"/>
      <c r="NCW138" s="422"/>
      <c r="NCX138" s="422"/>
      <c r="NCY138" s="422"/>
      <c r="NCZ138" s="422"/>
      <c r="NDA138" s="422"/>
      <c r="NDB138" s="422"/>
      <c r="NDC138" s="422"/>
      <c r="NDD138" s="422"/>
      <c r="NDE138" s="422"/>
      <c r="NDF138" s="422"/>
      <c r="NDG138" s="422"/>
      <c r="NDH138" s="422"/>
      <c r="NDI138" s="422"/>
      <c r="NDJ138" s="422"/>
      <c r="NDK138" s="422"/>
      <c r="NDL138" s="422"/>
      <c r="NDM138" s="422"/>
      <c r="NDN138" s="422"/>
      <c r="NDO138" s="422"/>
      <c r="NDP138" s="422"/>
      <c r="NDQ138" s="422"/>
      <c r="NDR138" s="422"/>
      <c r="NDS138" s="422"/>
      <c r="NDT138" s="422"/>
      <c r="NDU138" s="422"/>
      <c r="NDV138" s="422"/>
      <c r="NDW138" s="422"/>
      <c r="NDX138" s="422"/>
      <c r="NDY138" s="422"/>
      <c r="NDZ138" s="422"/>
      <c r="NEA138" s="422"/>
      <c r="NEB138" s="422"/>
      <c r="NEC138" s="422"/>
      <c r="NED138" s="422"/>
      <c r="NEE138" s="422"/>
      <c r="NEF138" s="422"/>
      <c r="NEG138" s="422"/>
      <c r="NEH138" s="422"/>
      <c r="NEI138" s="422"/>
      <c r="NEJ138" s="422"/>
      <c r="NEK138" s="422"/>
      <c r="NEL138" s="422"/>
      <c r="NEM138" s="422"/>
      <c r="NEN138" s="422"/>
      <c r="NEO138" s="422"/>
      <c r="NEP138" s="422"/>
      <c r="NEQ138" s="422"/>
      <c r="NER138" s="422"/>
      <c r="NES138" s="422"/>
      <c r="NET138" s="422"/>
      <c r="NEU138" s="422"/>
      <c r="NEV138" s="422"/>
      <c r="NEW138" s="422"/>
      <c r="NEX138" s="422"/>
      <c r="NEY138" s="422"/>
      <c r="NEZ138" s="422"/>
      <c r="NFA138" s="422"/>
      <c r="NFB138" s="422"/>
      <c r="NFC138" s="422"/>
      <c r="NFD138" s="422"/>
      <c r="NFE138" s="422"/>
      <c r="NFF138" s="422"/>
      <c r="NFG138" s="422"/>
      <c r="NFH138" s="422"/>
      <c r="NFI138" s="422"/>
      <c r="NFJ138" s="422"/>
      <c r="NFK138" s="422"/>
      <c r="NFL138" s="422"/>
      <c r="NFM138" s="422"/>
      <c r="NFN138" s="422"/>
      <c r="NFO138" s="422"/>
      <c r="NFP138" s="422"/>
      <c r="NFQ138" s="422"/>
      <c r="NFR138" s="422"/>
      <c r="NFS138" s="422"/>
      <c r="NFT138" s="422"/>
      <c r="NFU138" s="422"/>
      <c r="NFV138" s="422"/>
      <c r="NFW138" s="422"/>
      <c r="NFX138" s="422"/>
      <c r="NFY138" s="422"/>
      <c r="NFZ138" s="422"/>
      <c r="NGA138" s="422"/>
      <c r="NGB138" s="422"/>
      <c r="NGC138" s="422"/>
      <c r="NGD138" s="422"/>
      <c r="NGE138" s="422"/>
      <c r="NGF138" s="422"/>
      <c r="NGG138" s="422"/>
      <c r="NGH138" s="422"/>
      <c r="NGI138" s="422"/>
      <c r="NGJ138" s="422"/>
      <c r="NGK138" s="422"/>
      <c r="NGL138" s="422"/>
      <c r="NGM138" s="422"/>
      <c r="NGN138" s="422"/>
      <c r="NGO138" s="422"/>
      <c r="NGP138" s="422"/>
      <c r="NGQ138" s="422"/>
      <c r="NGR138" s="422"/>
      <c r="NGS138" s="422"/>
      <c r="NGT138" s="422"/>
      <c r="NGU138" s="422"/>
      <c r="NGV138" s="422"/>
      <c r="NGW138" s="422"/>
      <c r="NGX138" s="422"/>
      <c r="NGY138" s="422"/>
      <c r="NGZ138" s="422"/>
      <c r="NHA138" s="422"/>
      <c r="NHB138" s="422"/>
      <c r="NHC138" s="422"/>
      <c r="NHD138" s="422"/>
      <c r="NHE138" s="422"/>
      <c r="NHF138" s="422"/>
      <c r="NHG138" s="422"/>
      <c r="NHH138" s="422"/>
      <c r="NHI138" s="422"/>
      <c r="NHJ138" s="422"/>
      <c r="NHK138" s="422"/>
      <c r="NHL138" s="422"/>
      <c r="NHM138" s="422"/>
      <c r="NHN138" s="422"/>
      <c r="NHO138" s="422"/>
      <c r="NHP138" s="422"/>
      <c r="NHQ138" s="422"/>
      <c r="NHR138" s="422"/>
      <c r="NHS138" s="422"/>
      <c r="NHT138" s="422"/>
      <c r="NHU138" s="422"/>
      <c r="NHV138" s="422"/>
      <c r="NHW138" s="422"/>
      <c r="NHX138" s="422"/>
      <c r="NHY138" s="422"/>
      <c r="NHZ138" s="422"/>
      <c r="NIA138" s="422"/>
      <c r="NIB138" s="422"/>
      <c r="NIC138" s="422"/>
      <c r="NID138" s="422"/>
      <c r="NIE138" s="422"/>
      <c r="NIF138" s="422"/>
      <c r="NIG138" s="422"/>
      <c r="NIH138" s="422"/>
      <c r="NII138" s="422"/>
      <c r="NIJ138" s="422"/>
      <c r="NIK138" s="422"/>
      <c r="NIL138" s="422"/>
      <c r="NIM138" s="422"/>
      <c r="NIN138" s="422"/>
      <c r="NIO138" s="422"/>
      <c r="NIP138" s="422"/>
      <c r="NIQ138" s="422"/>
      <c r="NIR138" s="422"/>
      <c r="NIS138" s="422"/>
      <c r="NIT138" s="422"/>
      <c r="NIU138" s="422"/>
      <c r="NIV138" s="422"/>
      <c r="NIW138" s="422"/>
      <c r="NIX138" s="422"/>
      <c r="NIY138" s="422"/>
      <c r="NIZ138" s="422"/>
      <c r="NJA138" s="422"/>
      <c r="NJB138" s="422"/>
      <c r="NJC138" s="422"/>
      <c r="NJD138" s="422"/>
      <c r="NJE138" s="422"/>
      <c r="NJF138" s="422"/>
      <c r="NJG138" s="422"/>
      <c r="NJH138" s="422"/>
      <c r="NJI138" s="422"/>
      <c r="NJJ138" s="422"/>
      <c r="NJK138" s="422"/>
      <c r="NJL138" s="422"/>
      <c r="NJM138" s="422"/>
      <c r="NJN138" s="422"/>
      <c r="NJO138" s="422"/>
      <c r="NJP138" s="422"/>
      <c r="NJQ138" s="422"/>
      <c r="NJR138" s="422"/>
      <c r="NJS138" s="422"/>
      <c r="NJT138" s="422"/>
      <c r="NJU138" s="422"/>
      <c r="NJV138" s="422"/>
      <c r="NJW138" s="422"/>
      <c r="NJX138" s="422"/>
      <c r="NJY138" s="422"/>
      <c r="NJZ138" s="422"/>
      <c r="NKA138" s="422"/>
      <c r="NKB138" s="422"/>
      <c r="NKC138" s="422"/>
      <c r="NKD138" s="422"/>
      <c r="NKE138" s="422"/>
      <c r="NKF138" s="422"/>
      <c r="NKG138" s="422"/>
      <c r="NKH138" s="422"/>
      <c r="NKI138" s="422"/>
      <c r="NKJ138" s="422"/>
      <c r="NKK138" s="422"/>
      <c r="NKL138" s="422"/>
      <c r="NKM138" s="422"/>
      <c r="NKN138" s="422"/>
      <c r="NKO138" s="422"/>
      <c r="NKP138" s="422"/>
      <c r="NKQ138" s="422"/>
      <c r="NKR138" s="422"/>
      <c r="NKS138" s="422"/>
      <c r="NKT138" s="422"/>
      <c r="NKU138" s="422"/>
      <c r="NKV138" s="422"/>
      <c r="NKW138" s="422"/>
      <c r="NKX138" s="422"/>
      <c r="NKY138" s="422"/>
      <c r="NKZ138" s="422"/>
      <c r="NLA138" s="422"/>
      <c r="NLB138" s="422"/>
      <c r="NLC138" s="422"/>
      <c r="NLD138" s="422"/>
      <c r="NLE138" s="422"/>
      <c r="NLF138" s="422"/>
      <c r="NLG138" s="422"/>
      <c r="NLH138" s="422"/>
      <c r="NLI138" s="422"/>
      <c r="NLJ138" s="422"/>
      <c r="NLK138" s="422"/>
      <c r="NLL138" s="422"/>
      <c r="NLM138" s="422"/>
      <c r="NLN138" s="422"/>
      <c r="NLO138" s="422"/>
      <c r="NLP138" s="422"/>
      <c r="NLQ138" s="422"/>
      <c r="NLR138" s="422"/>
      <c r="NLS138" s="422"/>
      <c r="NLT138" s="422"/>
      <c r="NLU138" s="422"/>
      <c r="NLV138" s="422"/>
      <c r="NLW138" s="422"/>
      <c r="NLX138" s="422"/>
      <c r="NLY138" s="422"/>
      <c r="NLZ138" s="422"/>
      <c r="NMA138" s="422"/>
      <c r="NMB138" s="422"/>
      <c r="NMC138" s="422"/>
      <c r="NMD138" s="422"/>
      <c r="NME138" s="422"/>
      <c r="NMF138" s="422"/>
      <c r="NMG138" s="422"/>
      <c r="NMH138" s="422"/>
      <c r="NMI138" s="422"/>
      <c r="NMJ138" s="422"/>
      <c r="NMK138" s="422"/>
      <c r="NML138" s="422"/>
      <c r="NMM138" s="422"/>
      <c r="NMN138" s="422"/>
      <c r="NMO138" s="422"/>
      <c r="NMP138" s="422"/>
      <c r="NMQ138" s="422"/>
      <c r="NMR138" s="422"/>
      <c r="NMS138" s="422"/>
      <c r="NMT138" s="422"/>
      <c r="NMU138" s="422"/>
      <c r="NMV138" s="422"/>
      <c r="NMW138" s="422"/>
      <c r="NMX138" s="422"/>
      <c r="NMY138" s="422"/>
      <c r="NMZ138" s="422"/>
      <c r="NNA138" s="422"/>
      <c r="NNB138" s="422"/>
      <c r="NNC138" s="422"/>
      <c r="NND138" s="422"/>
      <c r="NNE138" s="422"/>
      <c r="NNF138" s="422"/>
      <c r="NNG138" s="422"/>
      <c r="NNH138" s="422"/>
      <c r="NNI138" s="422"/>
      <c r="NNJ138" s="422"/>
      <c r="NNK138" s="422"/>
      <c r="NNL138" s="422"/>
      <c r="NNM138" s="422"/>
      <c r="NNN138" s="422"/>
      <c r="NNO138" s="422"/>
      <c r="NNP138" s="422"/>
      <c r="NNQ138" s="422"/>
      <c r="NNR138" s="422"/>
      <c r="NNS138" s="422"/>
      <c r="NNT138" s="422"/>
      <c r="NNU138" s="422"/>
      <c r="NNV138" s="422"/>
      <c r="NNW138" s="422"/>
      <c r="NNX138" s="422"/>
      <c r="NNY138" s="422"/>
      <c r="NNZ138" s="422"/>
      <c r="NOA138" s="422"/>
      <c r="NOB138" s="422"/>
      <c r="NOC138" s="422"/>
      <c r="NOD138" s="422"/>
      <c r="NOE138" s="422"/>
      <c r="NOF138" s="422"/>
      <c r="NOG138" s="422"/>
      <c r="NOH138" s="422"/>
      <c r="NOI138" s="422"/>
      <c r="NOJ138" s="422"/>
      <c r="NOK138" s="422"/>
      <c r="NOL138" s="422"/>
      <c r="NOM138" s="422"/>
      <c r="NON138" s="422"/>
      <c r="NOO138" s="422"/>
      <c r="NOP138" s="422"/>
      <c r="NOQ138" s="422"/>
      <c r="NOR138" s="422"/>
      <c r="NOS138" s="422"/>
      <c r="NOT138" s="422"/>
      <c r="NOU138" s="422"/>
      <c r="NOV138" s="422"/>
      <c r="NOW138" s="422"/>
      <c r="NOX138" s="422"/>
      <c r="NOY138" s="422"/>
      <c r="NOZ138" s="422"/>
      <c r="NPA138" s="422"/>
      <c r="NPB138" s="422"/>
      <c r="NPC138" s="422"/>
      <c r="NPD138" s="422"/>
      <c r="NPE138" s="422"/>
      <c r="NPF138" s="422"/>
      <c r="NPG138" s="422"/>
      <c r="NPH138" s="422"/>
      <c r="NPI138" s="422"/>
      <c r="NPJ138" s="422"/>
      <c r="NPK138" s="422"/>
      <c r="NPL138" s="422"/>
      <c r="NPM138" s="422"/>
      <c r="NPN138" s="422"/>
      <c r="NPO138" s="422"/>
      <c r="NPP138" s="422"/>
      <c r="NPQ138" s="422"/>
      <c r="NPR138" s="422"/>
      <c r="NPS138" s="422"/>
      <c r="NPT138" s="422"/>
      <c r="NPU138" s="422"/>
      <c r="NPV138" s="422"/>
      <c r="NPW138" s="422"/>
      <c r="NPX138" s="422"/>
      <c r="NPY138" s="422"/>
      <c r="NPZ138" s="422"/>
      <c r="NQA138" s="422"/>
      <c r="NQB138" s="422"/>
      <c r="NQC138" s="422"/>
      <c r="NQD138" s="422"/>
      <c r="NQE138" s="422"/>
      <c r="NQF138" s="422"/>
      <c r="NQG138" s="422"/>
      <c r="NQH138" s="422"/>
      <c r="NQI138" s="422"/>
      <c r="NQJ138" s="422"/>
      <c r="NQK138" s="422"/>
      <c r="NQL138" s="422"/>
      <c r="NQM138" s="422"/>
      <c r="NQN138" s="422"/>
      <c r="NQO138" s="422"/>
      <c r="NQP138" s="422"/>
      <c r="NQQ138" s="422"/>
      <c r="NQR138" s="422"/>
      <c r="NQS138" s="422"/>
      <c r="NQT138" s="422"/>
      <c r="NQU138" s="422"/>
      <c r="NQV138" s="422"/>
      <c r="NQW138" s="422"/>
      <c r="NQX138" s="422"/>
      <c r="NQY138" s="422"/>
      <c r="NQZ138" s="422"/>
      <c r="NRA138" s="422"/>
      <c r="NRB138" s="422"/>
      <c r="NRC138" s="422"/>
      <c r="NRD138" s="422"/>
      <c r="NRE138" s="422"/>
      <c r="NRF138" s="422"/>
      <c r="NRG138" s="422"/>
      <c r="NRH138" s="422"/>
      <c r="NRI138" s="422"/>
      <c r="NRJ138" s="422"/>
      <c r="NRK138" s="422"/>
      <c r="NRL138" s="422"/>
      <c r="NRM138" s="422"/>
      <c r="NRN138" s="422"/>
      <c r="NRO138" s="422"/>
      <c r="NRP138" s="422"/>
      <c r="NRQ138" s="422"/>
      <c r="NRR138" s="422"/>
      <c r="NRS138" s="422"/>
      <c r="NRT138" s="422"/>
      <c r="NRU138" s="422"/>
      <c r="NRV138" s="422"/>
      <c r="NRW138" s="422"/>
      <c r="NRX138" s="422"/>
      <c r="NRY138" s="422"/>
      <c r="NRZ138" s="422"/>
      <c r="NSA138" s="422"/>
      <c r="NSB138" s="422"/>
      <c r="NSC138" s="422"/>
      <c r="NSD138" s="422"/>
      <c r="NSE138" s="422"/>
      <c r="NSF138" s="422"/>
      <c r="NSG138" s="422"/>
      <c r="NSH138" s="422"/>
      <c r="NSI138" s="422"/>
      <c r="NSJ138" s="422"/>
      <c r="NSK138" s="422"/>
      <c r="NSL138" s="422"/>
      <c r="NSM138" s="422"/>
      <c r="NSN138" s="422"/>
      <c r="NSO138" s="422"/>
      <c r="NSP138" s="422"/>
      <c r="NSQ138" s="422"/>
      <c r="NSR138" s="422"/>
      <c r="NSS138" s="422"/>
      <c r="NST138" s="422"/>
      <c r="NSU138" s="422"/>
      <c r="NSV138" s="422"/>
      <c r="NSW138" s="422"/>
      <c r="NSX138" s="422"/>
      <c r="NSY138" s="422"/>
      <c r="NSZ138" s="422"/>
      <c r="NTA138" s="422"/>
      <c r="NTB138" s="422"/>
      <c r="NTC138" s="422"/>
      <c r="NTD138" s="422"/>
      <c r="NTE138" s="422"/>
      <c r="NTF138" s="422"/>
      <c r="NTG138" s="422"/>
      <c r="NTH138" s="422"/>
      <c r="NTI138" s="422"/>
      <c r="NTJ138" s="422"/>
      <c r="NTK138" s="422"/>
      <c r="NTL138" s="422"/>
      <c r="NTM138" s="422"/>
      <c r="NTN138" s="422"/>
      <c r="NTO138" s="422"/>
      <c r="NTP138" s="422"/>
      <c r="NTQ138" s="422"/>
      <c r="NTR138" s="422"/>
      <c r="NTS138" s="422"/>
      <c r="NTT138" s="422"/>
      <c r="NTU138" s="422"/>
      <c r="NTV138" s="422"/>
      <c r="NTW138" s="422"/>
      <c r="NTX138" s="422"/>
      <c r="NTY138" s="422"/>
      <c r="NTZ138" s="422"/>
      <c r="NUA138" s="422"/>
      <c r="NUB138" s="422"/>
      <c r="NUC138" s="422"/>
      <c r="NUD138" s="422"/>
      <c r="NUE138" s="422"/>
      <c r="NUF138" s="422"/>
      <c r="NUG138" s="422"/>
      <c r="NUH138" s="422"/>
      <c r="NUI138" s="422"/>
      <c r="NUJ138" s="422"/>
      <c r="NUK138" s="422"/>
      <c r="NUL138" s="422"/>
      <c r="NUM138" s="422"/>
      <c r="NUN138" s="422"/>
      <c r="NUO138" s="422"/>
      <c r="NUP138" s="422"/>
      <c r="NUQ138" s="422"/>
      <c r="NUR138" s="422"/>
      <c r="NUS138" s="422"/>
      <c r="NUT138" s="422"/>
      <c r="NUU138" s="422"/>
      <c r="NUV138" s="422"/>
      <c r="NUW138" s="422"/>
      <c r="NUX138" s="422"/>
      <c r="NUY138" s="422"/>
      <c r="NUZ138" s="422"/>
      <c r="NVA138" s="422"/>
      <c r="NVB138" s="422"/>
      <c r="NVC138" s="422"/>
      <c r="NVD138" s="422"/>
      <c r="NVE138" s="422"/>
      <c r="NVF138" s="422"/>
      <c r="NVG138" s="422"/>
      <c r="NVH138" s="422"/>
      <c r="NVI138" s="422"/>
      <c r="NVJ138" s="422"/>
      <c r="NVK138" s="422"/>
      <c r="NVL138" s="422"/>
      <c r="NVM138" s="422"/>
      <c r="NVN138" s="422"/>
      <c r="NVO138" s="422"/>
      <c r="NVP138" s="422"/>
      <c r="NVQ138" s="422"/>
      <c r="NVR138" s="422"/>
      <c r="NVS138" s="422"/>
      <c r="NVT138" s="422"/>
      <c r="NVU138" s="422"/>
      <c r="NVV138" s="422"/>
      <c r="NVW138" s="422"/>
      <c r="NVX138" s="422"/>
      <c r="NVY138" s="422"/>
      <c r="NVZ138" s="422"/>
      <c r="NWA138" s="422"/>
      <c r="NWB138" s="422"/>
      <c r="NWC138" s="422"/>
      <c r="NWD138" s="422"/>
      <c r="NWE138" s="422"/>
      <c r="NWF138" s="422"/>
      <c r="NWG138" s="422"/>
      <c r="NWH138" s="422"/>
      <c r="NWI138" s="422"/>
      <c r="NWJ138" s="422"/>
      <c r="NWK138" s="422"/>
      <c r="NWL138" s="422"/>
      <c r="NWM138" s="422"/>
      <c r="NWN138" s="422"/>
      <c r="NWO138" s="422"/>
      <c r="NWP138" s="422"/>
      <c r="NWQ138" s="422"/>
      <c r="NWR138" s="422"/>
      <c r="NWS138" s="422"/>
      <c r="NWT138" s="422"/>
      <c r="NWU138" s="422"/>
      <c r="NWV138" s="422"/>
      <c r="NWW138" s="422"/>
      <c r="NWX138" s="422"/>
      <c r="NWY138" s="422"/>
      <c r="NWZ138" s="422"/>
      <c r="NXA138" s="422"/>
      <c r="NXB138" s="422"/>
      <c r="NXC138" s="422"/>
      <c r="NXD138" s="422"/>
      <c r="NXE138" s="422"/>
      <c r="NXF138" s="422"/>
      <c r="NXG138" s="422"/>
      <c r="NXH138" s="422"/>
      <c r="NXI138" s="422"/>
      <c r="NXJ138" s="422"/>
      <c r="NXK138" s="422"/>
      <c r="NXL138" s="422"/>
      <c r="NXM138" s="422"/>
      <c r="NXN138" s="422"/>
      <c r="NXO138" s="422"/>
      <c r="NXP138" s="422"/>
      <c r="NXQ138" s="422"/>
      <c r="NXR138" s="422"/>
      <c r="NXS138" s="422"/>
      <c r="NXT138" s="422"/>
      <c r="NXU138" s="422"/>
      <c r="NXV138" s="422"/>
      <c r="NXW138" s="422"/>
      <c r="NXX138" s="422"/>
      <c r="NXY138" s="422"/>
      <c r="NXZ138" s="422"/>
      <c r="NYA138" s="422"/>
      <c r="NYB138" s="422"/>
      <c r="NYC138" s="422"/>
      <c r="NYD138" s="422"/>
      <c r="NYE138" s="422"/>
      <c r="NYF138" s="422"/>
      <c r="NYG138" s="422"/>
      <c r="NYH138" s="422"/>
      <c r="NYI138" s="422"/>
      <c r="NYJ138" s="422"/>
      <c r="NYK138" s="422"/>
      <c r="NYL138" s="422"/>
      <c r="NYM138" s="422"/>
      <c r="NYN138" s="422"/>
      <c r="NYO138" s="422"/>
      <c r="NYP138" s="422"/>
      <c r="NYQ138" s="422"/>
      <c r="NYR138" s="422"/>
      <c r="NYS138" s="422"/>
      <c r="NYT138" s="422"/>
      <c r="NYU138" s="422"/>
      <c r="NYV138" s="422"/>
      <c r="NYW138" s="422"/>
      <c r="NYX138" s="422"/>
      <c r="NYY138" s="422"/>
      <c r="NYZ138" s="422"/>
      <c r="NZA138" s="422"/>
      <c r="NZB138" s="422"/>
      <c r="NZC138" s="422"/>
      <c r="NZD138" s="422"/>
      <c r="NZE138" s="422"/>
      <c r="NZF138" s="422"/>
      <c r="NZG138" s="422"/>
      <c r="NZH138" s="422"/>
      <c r="NZI138" s="422"/>
      <c r="NZJ138" s="422"/>
      <c r="NZK138" s="422"/>
      <c r="NZL138" s="422"/>
      <c r="NZM138" s="422"/>
      <c r="NZN138" s="422"/>
      <c r="NZO138" s="422"/>
      <c r="NZP138" s="422"/>
      <c r="NZQ138" s="422"/>
      <c r="NZR138" s="422"/>
      <c r="NZS138" s="422"/>
      <c r="NZT138" s="422"/>
      <c r="NZU138" s="422"/>
      <c r="NZV138" s="422"/>
      <c r="NZW138" s="422"/>
      <c r="NZX138" s="422"/>
      <c r="NZY138" s="422"/>
      <c r="NZZ138" s="422"/>
      <c r="OAA138" s="422"/>
      <c r="OAB138" s="422"/>
      <c r="OAC138" s="422"/>
      <c r="OAD138" s="422"/>
      <c r="OAE138" s="422"/>
      <c r="OAF138" s="422"/>
      <c r="OAG138" s="422"/>
      <c r="OAH138" s="422"/>
      <c r="OAI138" s="422"/>
      <c r="OAJ138" s="422"/>
      <c r="OAK138" s="422"/>
      <c r="OAL138" s="422"/>
      <c r="OAM138" s="422"/>
      <c r="OAN138" s="422"/>
      <c r="OAO138" s="422"/>
      <c r="OAP138" s="422"/>
      <c r="OAQ138" s="422"/>
      <c r="OAR138" s="422"/>
      <c r="OAS138" s="422"/>
      <c r="OAT138" s="422"/>
      <c r="OAU138" s="422"/>
      <c r="OAV138" s="422"/>
      <c r="OAW138" s="422"/>
      <c r="OAX138" s="422"/>
      <c r="OAY138" s="422"/>
      <c r="OAZ138" s="422"/>
      <c r="OBA138" s="422"/>
      <c r="OBB138" s="422"/>
      <c r="OBC138" s="422"/>
      <c r="OBD138" s="422"/>
      <c r="OBE138" s="422"/>
      <c r="OBF138" s="422"/>
      <c r="OBG138" s="422"/>
      <c r="OBH138" s="422"/>
      <c r="OBI138" s="422"/>
      <c r="OBJ138" s="422"/>
      <c r="OBK138" s="422"/>
      <c r="OBL138" s="422"/>
      <c r="OBM138" s="422"/>
      <c r="OBN138" s="422"/>
      <c r="OBO138" s="422"/>
      <c r="OBP138" s="422"/>
      <c r="OBQ138" s="422"/>
      <c r="OBR138" s="422"/>
      <c r="OBS138" s="422"/>
      <c r="OBT138" s="422"/>
      <c r="OBU138" s="422"/>
      <c r="OBV138" s="422"/>
      <c r="OBW138" s="422"/>
      <c r="OBX138" s="422"/>
      <c r="OBY138" s="422"/>
      <c r="OBZ138" s="422"/>
      <c r="OCA138" s="422"/>
      <c r="OCB138" s="422"/>
      <c r="OCC138" s="422"/>
      <c r="OCD138" s="422"/>
      <c r="OCE138" s="422"/>
      <c r="OCF138" s="422"/>
      <c r="OCG138" s="422"/>
      <c r="OCH138" s="422"/>
      <c r="OCI138" s="422"/>
      <c r="OCJ138" s="422"/>
      <c r="OCK138" s="422"/>
      <c r="OCL138" s="422"/>
      <c r="OCM138" s="422"/>
      <c r="OCN138" s="422"/>
      <c r="OCO138" s="422"/>
      <c r="OCP138" s="422"/>
      <c r="OCQ138" s="422"/>
      <c r="OCR138" s="422"/>
      <c r="OCS138" s="422"/>
      <c r="OCT138" s="422"/>
      <c r="OCU138" s="422"/>
      <c r="OCV138" s="422"/>
      <c r="OCW138" s="422"/>
      <c r="OCX138" s="422"/>
      <c r="OCY138" s="422"/>
      <c r="OCZ138" s="422"/>
      <c r="ODA138" s="422"/>
      <c r="ODB138" s="422"/>
      <c r="ODC138" s="422"/>
      <c r="ODD138" s="422"/>
      <c r="ODE138" s="422"/>
      <c r="ODF138" s="422"/>
      <c r="ODG138" s="422"/>
      <c r="ODH138" s="422"/>
      <c r="ODI138" s="422"/>
      <c r="ODJ138" s="422"/>
      <c r="ODK138" s="422"/>
      <c r="ODL138" s="422"/>
      <c r="ODM138" s="422"/>
      <c r="ODN138" s="422"/>
      <c r="ODO138" s="422"/>
      <c r="ODP138" s="422"/>
      <c r="ODQ138" s="422"/>
      <c r="ODR138" s="422"/>
      <c r="ODS138" s="422"/>
      <c r="ODT138" s="422"/>
      <c r="ODU138" s="422"/>
      <c r="ODV138" s="422"/>
      <c r="ODW138" s="422"/>
      <c r="ODX138" s="422"/>
      <c r="ODY138" s="422"/>
      <c r="ODZ138" s="422"/>
      <c r="OEA138" s="422"/>
      <c r="OEB138" s="422"/>
      <c r="OEC138" s="422"/>
      <c r="OED138" s="422"/>
      <c r="OEE138" s="422"/>
      <c r="OEF138" s="422"/>
      <c r="OEG138" s="422"/>
      <c r="OEH138" s="422"/>
      <c r="OEI138" s="422"/>
      <c r="OEJ138" s="422"/>
      <c r="OEK138" s="422"/>
      <c r="OEL138" s="422"/>
      <c r="OEM138" s="422"/>
      <c r="OEN138" s="422"/>
      <c r="OEO138" s="422"/>
      <c r="OEP138" s="422"/>
      <c r="OEQ138" s="422"/>
      <c r="OER138" s="422"/>
      <c r="OES138" s="422"/>
      <c r="OET138" s="422"/>
      <c r="OEU138" s="422"/>
      <c r="OEV138" s="422"/>
      <c r="OEW138" s="422"/>
      <c r="OEX138" s="422"/>
      <c r="OEY138" s="422"/>
      <c r="OEZ138" s="422"/>
      <c r="OFA138" s="422"/>
      <c r="OFB138" s="422"/>
      <c r="OFC138" s="422"/>
      <c r="OFD138" s="422"/>
      <c r="OFE138" s="422"/>
      <c r="OFF138" s="422"/>
      <c r="OFG138" s="422"/>
      <c r="OFH138" s="422"/>
      <c r="OFI138" s="422"/>
      <c r="OFJ138" s="422"/>
      <c r="OFK138" s="422"/>
      <c r="OFL138" s="422"/>
      <c r="OFM138" s="422"/>
      <c r="OFN138" s="422"/>
      <c r="OFO138" s="422"/>
      <c r="OFP138" s="422"/>
      <c r="OFQ138" s="422"/>
      <c r="OFR138" s="422"/>
      <c r="OFS138" s="422"/>
      <c r="OFT138" s="422"/>
      <c r="OFU138" s="422"/>
      <c r="OFV138" s="422"/>
      <c r="OFW138" s="422"/>
      <c r="OFX138" s="422"/>
      <c r="OFY138" s="422"/>
      <c r="OFZ138" s="422"/>
      <c r="OGA138" s="422"/>
      <c r="OGB138" s="422"/>
      <c r="OGC138" s="422"/>
      <c r="OGD138" s="422"/>
      <c r="OGE138" s="422"/>
      <c r="OGF138" s="422"/>
      <c r="OGG138" s="422"/>
      <c r="OGH138" s="422"/>
      <c r="OGI138" s="422"/>
      <c r="OGJ138" s="422"/>
      <c r="OGK138" s="422"/>
      <c r="OGL138" s="422"/>
      <c r="OGM138" s="422"/>
      <c r="OGN138" s="422"/>
      <c r="OGO138" s="422"/>
      <c r="OGP138" s="422"/>
      <c r="OGQ138" s="422"/>
      <c r="OGR138" s="422"/>
      <c r="OGS138" s="422"/>
      <c r="OGT138" s="422"/>
      <c r="OGU138" s="422"/>
      <c r="OGV138" s="422"/>
      <c r="OGW138" s="422"/>
      <c r="OGX138" s="422"/>
      <c r="OGY138" s="422"/>
      <c r="OGZ138" s="422"/>
      <c r="OHA138" s="422"/>
      <c r="OHB138" s="422"/>
      <c r="OHC138" s="422"/>
      <c r="OHD138" s="422"/>
      <c r="OHE138" s="422"/>
      <c r="OHF138" s="422"/>
      <c r="OHG138" s="422"/>
      <c r="OHH138" s="422"/>
      <c r="OHI138" s="422"/>
      <c r="OHJ138" s="422"/>
      <c r="OHK138" s="422"/>
      <c r="OHL138" s="422"/>
      <c r="OHM138" s="422"/>
      <c r="OHN138" s="422"/>
      <c r="OHO138" s="422"/>
      <c r="OHP138" s="422"/>
      <c r="OHQ138" s="422"/>
      <c r="OHR138" s="422"/>
      <c r="OHS138" s="422"/>
      <c r="OHT138" s="422"/>
      <c r="OHU138" s="422"/>
      <c r="OHV138" s="422"/>
      <c r="OHW138" s="422"/>
      <c r="OHX138" s="422"/>
      <c r="OHY138" s="422"/>
      <c r="OHZ138" s="422"/>
      <c r="OIA138" s="422"/>
      <c r="OIB138" s="422"/>
      <c r="OIC138" s="422"/>
      <c r="OID138" s="422"/>
      <c r="OIE138" s="422"/>
      <c r="OIF138" s="422"/>
      <c r="OIG138" s="422"/>
      <c r="OIH138" s="422"/>
      <c r="OII138" s="422"/>
      <c r="OIJ138" s="422"/>
      <c r="OIK138" s="422"/>
      <c r="OIL138" s="422"/>
      <c r="OIM138" s="422"/>
      <c r="OIN138" s="422"/>
      <c r="OIO138" s="422"/>
      <c r="OIP138" s="422"/>
      <c r="OIQ138" s="422"/>
      <c r="OIR138" s="422"/>
      <c r="OIS138" s="422"/>
      <c r="OIT138" s="422"/>
      <c r="OIU138" s="422"/>
      <c r="OIV138" s="422"/>
      <c r="OIW138" s="422"/>
      <c r="OIX138" s="422"/>
      <c r="OIY138" s="422"/>
      <c r="OIZ138" s="422"/>
      <c r="OJA138" s="422"/>
      <c r="OJB138" s="422"/>
      <c r="OJC138" s="422"/>
      <c r="OJD138" s="422"/>
      <c r="OJE138" s="422"/>
      <c r="OJF138" s="422"/>
      <c r="OJG138" s="422"/>
      <c r="OJH138" s="422"/>
      <c r="OJI138" s="422"/>
      <c r="OJJ138" s="422"/>
      <c r="OJK138" s="422"/>
      <c r="OJL138" s="422"/>
      <c r="OJM138" s="422"/>
      <c r="OJN138" s="422"/>
      <c r="OJO138" s="422"/>
      <c r="OJP138" s="422"/>
      <c r="OJQ138" s="422"/>
      <c r="OJR138" s="422"/>
      <c r="OJS138" s="422"/>
      <c r="OJT138" s="422"/>
      <c r="OJU138" s="422"/>
      <c r="OJV138" s="422"/>
      <c r="OJW138" s="422"/>
      <c r="OJX138" s="422"/>
      <c r="OJY138" s="422"/>
      <c r="OJZ138" s="422"/>
      <c r="OKA138" s="422"/>
      <c r="OKB138" s="422"/>
      <c r="OKC138" s="422"/>
      <c r="OKD138" s="422"/>
      <c r="OKE138" s="422"/>
      <c r="OKF138" s="422"/>
      <c r="OKG138" s="422"/>
      <c r="OKH138" s="422"/>
      <c r="OKI138" s="422"/>
      <c r="OKJ138" s="422"/>
      <c r="OKK138" s="422"/>
      <c r="OKL138" s="422"/>
      <c r="OKM138" s="422"/>
      <c r="OKN138" s="422"/>
      <c r="OKO138" s="422"/>
      <c r="OKP138" s="422"/>
      <c r="OKQ138" s="422"/>
      <c r="OKR138" s="422"/>
      <c r="OKS138" s="422"/>
      <c r="OKT138" s="422"/>
      <c r="OKU138" s="422"/>
      <c r="OKV138" s="422"/>
      <c r="OKW138" s="422"/>
      <c r="OKX138" s="422"/>
      <c r="OKY138" s="422"/>
      <c r="OKZ138" s="422"/>
      <c r="OLA138" s="422"/>
      <c r="OLB138" s="422"/>
      <c r="OLC138" s="422"/>
      <c r="OLD138" s="422"/>
      <c r="OLE138" s="422"/>
      <c r="OLF138" s="422"/>
      <c r="OLG138" s="422"/>
      <c r="OLH138" s="422"/>
      <c r="OLI138" s="422"/>
      <c r="OLJ138" s="422"/>
      <c r="OLK138" s="422"/>
      <c r="OLL138" s="422"/>
      <c r="OLM138" s="422"/>
      <c r="OLN138" s="422"/>
      <c r="OLO138" s="422"/>
      <c r="OLP138" s="422"/>
      <c r="OLQ138" s="422"/>
      <c r="OLR138" s="422"/>
      <c r="OLS138" s="422"/>
      <c r="OLT138" s="422"/>
      <c r="OLU138" s="422"/>
      <c r="OLV138" s="422"/>
      <c r="OLW138" s="422"/>
      <c r="OLX138" s="422"/>
      <c r="OLY138" s="422"/>
      <c r="OLZ138" s="422"/>
      <c r="OMA138" s="422"/>
      <c r="OMB138" s="422"/>
      <c r="OMC138" s="422"/>
      <c r="OMD138" s="422"/>
      <c r="OME138" s="422"/>
      <c r="OMF138" s="422"/>
      <c r="OMG138" s="422"/>
      <c r="OMH138" s="422"/>
      <c r="OMI138" s="422"/>
      <c r="OMJ138" s="422"/>
      <c r="OMK138" s="422"/>
      <c r="OML138" s="422"/>
      <c r="OMM138" s="422"/>
      <c r="OMN138" s="422"/>
      <c r="OMO138" s="422"/>
      <c r="OMP138" s="422"/>
      <c r="OMQ138" s="422"/>
      <c r="OMR138" s="422"/>
      <c r="OMS138" s="422"/>
      <c r="OMT138" s="422"/>
      <c r="OMU138" s="422"/>
      <c r="OMV138" s="422"/>
      <c r="OMW138" s="422"/>
      <c r="OMX138" s="422"/>
      <c r="OMY138" s="422"/>
      <c r="OMZ138" s="422"/>
      <c r="ONA138" s="422"/>
      <c r="ONB138" s="422"/>
      <c r="ONC138" s="422"/>
      <c r="OND138" s="422"/>
      <c r="ONE138" s="422"/>
      <c r="ONF138" s="422"/>
      <c r="ONG138" s="422"/>
      <c r="ONH138" s="422"/>
      <c r="ONI138" s="422"/>
      <c r="ONJ138" s="422"/>
      <c r="ONK138" s="422"/>
      <c r="ONL138" s="422"/>
      <c r="ONM138" s="422"/>
      <c r="ONN138" s="422"/>
      <c r="ONO138" s="422"/>
      <c r="ONP138" s="422"/>
      <c r="ONQ138" s="422"/>
      <c r="ONR138" s="422"/>
      <c r="ONS138" s="422"/>
      <c r="ONT138" s="422"/>
      <c r="ONU138" s="422"/>
      <c r="ONV138" s="422"/>
      <c r="ONW138" s="422"/>
      <c r="ONX138" s="422"/>
      <c r="ONY138" s="422"/>
      <c r="ONZ138" s="422"/>
      <c r="OOA138" s="422"/>
      <c r="OOB138" s="422"/>
      <c r="OOC138" s="422"/>
      <c r="OOD138" s="422"/>
      <c r="OOE138" s="422"/>
      <c r="OOF138" s="422"/>
      <c r="OOG138" s="422"/>
      <c r="OOH138" s="422"/>
      <c r="OOI138" s="422"/>
      <c r="OOJ138" s="422"/>
      <c r="OOK138" s="422"/>
      <c r="OOL138" s="422"/>
      <c r="OOM138" s="422"/>
      <c r="OON138" s="422"/>
      <c r="OOO138" s="422"/>
      <c r="OOP138" s="422"/>
      <c r="OOQ138" s="422"/>
      <c r="OOR138" s="422"/>
      <c r="OOS138" s="422"/>
      <c r="OOT138" s="422"/>
      <c r="OOU138" s="422"/>
      <c r="OOV138" s="422"/>
      <c r="OOW138" s="422"/>
      <c r="OOX138" s="422"/>
      <c r="OOY138" s="422"/>
      <c r="OOZ138" s="422"/>
      <c r="OPA138" s="422"/>
      <c r="OPB138" s="422"/>
      <c r="OPC138" s="422"/>
      <c r="OPD138" s="422"/>
      <c r="OPE138" s="422"/>
      <c r="OPF138" s="422"/>
      <c r="OPG138" s="422"/>
      <c r="OPH138" s="422"/>
      <c r="OPI138" s="422"/>
      <c r="OPJ138" s="422"/>
      <c r="OPK138" s="422"/>
      <c r="OPL138" s="422"/>
      <c r="OPM138" s="422"/>
      <c r="OPN138" s="422"/>
      <c r="OPO138" s="422"/>
      <c r="OPP138" s="422"/>
      <c r="OPQ138" s="422"/>
      <c r="OPR138" s="422"/>
      <c r="OPS138" s="422"/>
      <c r="OPT138" s="422"/>
      <c r="OPU138" s="422"/>
      <c r="OPV138" s="422"/>
      <c r="OPW138" s="422"/>
      <c r="OPX138" s="422"/>
      <c r="OPY138" s="422"/>
      <c r="OPZ138" s="422"/>
      <c r="OQA138" s="422"/>
      <c r="OQB138" s="422"/>
      <c r="OQC138" s="422"/>
      <c r="OQD138" s="422"/>
      <c r="OQE138" s="422"/>
      <c r="OQF138" s="422"/>
      <c r="OQG138" s="422"/>
      <c r="OQH138" s="422"/>
      <c r="OQI138" s="422"/>
      <c r="OQJ138" s="422"/>
      <c r="OQK138" s="422"/>
      <c r="OQL138" s="422"/>
      <c r="OQM138" s="422"/>
      <c r="OQN138" s="422"/>
      <c r="OQO138" s="422"/>
      <c r="OQP138" s="422"/>
      <c r="OQQ138" s="422"/>
      <c r="OQR138" s="422"/>
      <c r="OQS138" s="422"/>
      <c r="OQT138" s="422"/>
      <c r="OQU138" s="422"/>
      <c r="OQV138" s="422"/>
      <c r="OQW138" s="422"/>
      <c r="OQX138" s="422"/>
      <c r="OQY138" s="422"/>
      <c r="OQZ138" s="422"/>
      <c r="ORA138" s="422"/>
      <c r="ORB138" s="422"/>
      <c r="ORC138" s="422"/>
      <c r="ORD138" s="422"/>
      <c r="ORE138" s="422"/>
      <c r="ORF138" s="422"/>
      <c r="ORG138" s="422"/>
      <c r="ORH138" s="422"/>
      <c r="ORI138" s="422"/>
      <c r="ORJ138" s="422"/>
      <c r="ORK138" s="422"/>
      <c r="ORL138" s="422"/>
      <c r="ORM138" s="422"/>
      <c r="ORN138" s="422"/>
      <c r="ORO138" s="422"/>
      <c r="ORP138" s="422"/>
      <c r="ORQ138" s="422"/>
      <c r="ORR138" s="422"/>
      <c r="ORS138" s="422"/>
      <c r="ORT138" s="422"/>
      <c r="ORU138" s="422"/>
      <c r="ORV138" s="422"/>
      <c r="ORW138" s="422"/>
      <c r="ORX138" s="422"/>
      <c r="ORY138" s="422"/>
      <c r="ORZ138" s="422"/>
      <c r="OSA138" s="422"/>
      <c r="OSB138" s="422"/>
      <c r="OSC138" s="422"/>
      <c r="OSD138" s="422"/>
      <c r="OSE138" s="422"/>
      <c r="OSF138" s="422"/>
      <c r="OSG138" s="422"/>
      <c r="OSH138" s="422"/>
      <c r="OSI138" s="422"/>
      <c r="OSJ138" s="422"/>
      <c r="OSK138" s="422"/>
      <c r="OSL138" s="422"/>
      <c r="OSM138" s="422"/>
      <c r="OSN138" s="422"/>
      <c r="OSO138" s="422"/>
      <c r="OSP138" s="422"/>
      <c r="OSQ138" s="422"/>
      <c r="OSR138" s="422"/>
      <c r="OSS138" s="422"/>
      <c r="OST138" s="422"/>
      <c r="OSU138" s="422"/>
      <c r="OSV138" s="422"/>
      <c r="OSW138" s="422"/>
      <c r="OSX138" s="422"/>
      <c r="OSY138" s="422"/>
      <c r="OSZ138" s="422"/>
      <c r="OTA138" s="422"/>
      <c r="OTB138" s="422"/>
      <c r="OTC138" s="422"/>
      <c r="OTD138" s="422"/>
      <c r="OTE138" s="422"/>
      <c r="OTF138" s="422"/>
      <c r="OTG138" s="422"/>
      <c r="OTH138" s="422"/>
      <c r="OTI138" s="422"/>
      <c r="OTJ138" s="422"/>
      <c r="OTK138" s="422"/>
      <c r="OTL138" s="422"/>
      <c r="OTM138" s="422"/>
      <c r="OTN138" s="422"/>
      <c r="OTO138" s="422"/>
      <c r="OTP138" s="422"/>
      <c r="OTQ138" s="422"/>
      <c r="OTR138" s="422"/>
      <c r="OTS138" s="422"/>
      <c r="OTT138" s="422"/>
      <c r="OTU138" s="422"/>
      <c r="OTV138" s="422"/>
      <c r="OTW138" s="422"/>
      <c r="OTX138" s="422"/>
      <c r="OTY138" s="422"/>
      <c r="OTZ138" s="422"/>
      <c r="OUA138" s="422"/>
      <c r="OUB138" s="422"/>
      <c r="OUC138" s="422"/>
      <c r="OUD138" s="422"/>
      <c r="OUE138" s="422"/>
      <c r="OUF138" s="422"/>
      <c r="OUG138" s="422"/>
      <c r="OUH138" s="422"/>
      <c r="OUI138" s="422"/>
      <c r="OUJ138" s="422"/>
      <c r="OUK138" s="422"/>
      <c r="OUL138" s="422"/>
      <c r="OUM138" s="422"/>
      <c r="OUN138" s="422"/>
      <c r="OUO138" s="422"/>
      <c r="OUP138" s="422"/>
      <c r="OUQ138" s="422"/>
      <c r="OUR138" s="422"/>
      <c r="OUS138" s="422"/>
      <c r="OUT138" s="422"/>
      <c r="OUU138" s="422"/>
      <c r="OUV138" s="422"/>
      <c r="OUW138" s="422"/>
      <c r="OUX138" s="422"/>
      <c r="OUY138" s="422"/>
      <c r="OUZ138" s="422"/>
      <c r="OVA138" s="422"/>
      <c r="OVB138" s="422"/>
      <c r="OVC138" s="422"/>
      <c r="OVD138" s="422"/>
      <c r="OVE138" s="422"/>
      <c r="OVF138" s="422"/>
      <c r="OVG138" s="422"/>
      <c r="OVH138" s="422"/>
      <c r="OVI138" s="422"/>
      <c r="OVJ138" s="422"/>
      <c r="OVK138" s="422"/>
      <c r="OVL138" s="422"/>
      <c r="OVM138" s="422"/>
      <c r="OVN138" s="422"/>
      <c r="OVO138" s="422"/>
      <c r="OVP138" s="422"/>
      <c r="OVQ138" s="422"/>
      <c r="OVR138" s="422"/>
      <c r="OVS138" s="422"/>
      <c r="OVT138" s="422"/>
      <c r="OVU138" s="422"/>
      <c r="OVV138" s="422"/>
      <c r="OVW138" s="422"/>
      <c r="OVX138" s="422"/>
      <c r="OVY138" s="422"/>
      <c r="OVZ138" s="422"/>
      <c r="OWA138" s="422"/>
      <c r="OWB138" s="422"/>
      <c r="OWC138" s="422"/>
      <c r="OWD138" s="422"/>
      <c r="OWE138" s="422"/>
      <c r="OWF138" s="422"/>
      <c r="OWG138" s="422"/>
      <c r="OWH138" s="422"/>
      <c r="OWI138" s="422"/>
      <c r="OWJ138" s="422"/>
      <c r="OWK138" s="422"/>
      <c r="OWL138" s="422"/>
      <c r="OWM138" s="422"/>
      <c r="OWN138" s="422"/>
      <c r="OWO138" s="422"/>
      <c r="OWP138" s="422"/>
      <c r="OWQ138" s="422"/>
      <c r="OWR138" s="422"/>
      <c r="OWS138" s="422"/>
      <c r="OWT138" s="422"/>
      <c r="OWU138" s="422"/>
      <c r="OWV138" s="422"/>
      <c r="OWW138" s="422"/>
      <c r="OWX138" s="422"/>
      <c r="OWY138" s="422"/>
      <c r="OWZ138" s="422"/>
      <c r="OXA138" s="422"/>
      <c r="OXB138" s="422"/>
      <c r="OXC138" s="422"/>
      <c r="OXD138" s="422"/>
      <c r="OXE138" s="422"/>
      <c r="OXF138" s="422"/>
      <c r="OXG138" s="422"/>
      <c r="OXH138" s="422"/>
      <c r="OXI138" s="422"/>
      <c r="OXJ138" s="422"/>
      <c r="OXK138" s="422"/>
      <c r="OXL138" s="422"/>
      <c r="OXM138" s="422"/>
      <c r="OXN138" s="422"/>
      <c r="OXO138" s="422"/>
      <c r="OXP138" s="422"/>
      <c r="OXQ138" s="422"/>
      <c r="OXR138" s="422"/>
      <c r="OXS138" s="422"/>
      <c r="OXT138" s="422"/>
      <c r="OXU138" s="422"/>
      <c r="OXV138" s="422"/>
      <c r="OXW138" s="422"/>
      <c r="OXX138" s="422"/>
      <c r="OXY138" s="422"/>
      <c r="OXZ138" s="422"/>
      <c r="OYA138" s="422"/>
      <c r="OYB138" s="422"/>
      <c r="OYC138" s="422"/>
      <c r="OYD138" s="422"/>
      <c r="OYE138" s="422"/>
      <c r="OYF138" s="422"/>
      <c r="OYG138" s="422"/>
      <c r="OYH138" s="422"/>
      <c r="OYI138" s="422"/>
      <c r="OYJ138" s="422"/>
      <c r="OYK138" s="422"/>
      <c r="OYL138" s="422"/>
      <c r="OYM138" s="422"/>
      <c r="OYN138" s="422"/>
      <c r="OYO138" s="422"/>
      <c r="OYP138" s="422"/>
      <c r="OYQ138" s="422"/>
      <c r="OYR138" s="422"/>
      <c r="OYS138" s="422"/>
      <c r="OYT138" s="422"/>
      <c r="OYU138" s="422"/>
      <c r="OYV138" s="422"/>
      <c r="OYW138" s="422"/>
      <c r="OYX138" s="422"/>
      <c r="OYY138" s="422"/>
      <c r="OYZ138" s="422"/>
      <c r="OZA138" s="422"/>
      <c r="OZB138" s="422"/>
      <c r="OZC138" s="422"/>
      <c r="OZD138" s="422"/>
      <c r="OZE138" s="422"/>
      <c r="OZF138" s="422"/>
      <c r="OZG138" s="422"/>
      <c r="OZH138" s="422"/>
      <c r="OZI138" s="422"/>
      <c r="OZJ138" s="422"/>
      <c r="OZK138" s="422"/>
      <c r="OZL138" s="422"/>
      <c r="OZM138" s="422"/>
      <c r="OZN138" s="422"/>
      <c r="OZO138" s="422"/>
      <c r="OZP138" s="422"/>
      <c r="OZQ138" s="422"/>
      <c r="OZR138" s="422"/>
      <c r="OZS138" s="422"/>
      <c r="OZT138" s="422"/>
      <c r="OZU138" s="422"/>
      <c r="OZV138" s="422"/>
      <c r="OZW138" s="422"/>
      <c r="OZX138" s="422"/>
      <c r="OZY138" s="422"/>
      <c r="OZZ138" s="422"/>
      <c r="PAA138" s="422"/>
      <c r="PAB138" s="422"/>
      <c r="PAC138" s="422"/>
      <c r="PAD138" s="422"/>
      <c r="PAE138" s="422"/>
      <c r="PAF138" s="422"/>
      <c r="PAG138" s="422"/>
      <c r="PAH138" s="422"/>
      <c r="PAI138" s="422"/>
      <c r="PAJ138" s="422"/>
      <c r="PAK138" s="422"/>
      <c r="PAL138" s="422"/>
      <c r="PAM138" s="422"/>
      <c r="PAN138" s="422"/>
      <c r="PAO138" s="422"/>
      <c r="PAP138" s="422"/>
      <c r="PAQ138" s="422"/>
      <c r="PAR138" s="422"/>
      <c r="PAS138" s="422"/>
      <c r="PAT138" s="422"/>
      <c r="PAU138" s="422"/>
      <c r="PAV138" s="422"/>
      <c r="PAW138" s="422"/>
      <c r="PAX138" s="422"/>
      <c r="PAY138" s="422"/>
      <c r="PAZ138" s="422"/>
      <c r="PBA138" s="422"/>
      <c r="PBB138" s="422"/>
      <c r="PBC138" s="422"/>
      <c r="PBD138" s="422"/>
      <c r="PBE138" s="422"/>
      <c r="PBF138" s="422"/>
      <c r="PBG138" s="422"/>
      <c r="PBH138" s="422"/>
      <c r="PBI138" s="422"/>
      <c r="PBJ138" s="422"/>
      <c r="PBK138" s="422"/>
      <c r="PBL138" s="422"/>
      <c r="PBM138" s="422"/>
      <c r="PBN138" s="422"/>
      <c r="PBO138" s="422"/>
      <c r="PBP138" s="422"/>
      <c r="PBQ138" s="422"/>
      <c r="PBR138" s="422"/>
      <c r="PBS138" s="422"/>
      <c r="PBT138" s="422"/>
      <c r="PBU138" s="422"/>
      <c r="PBV138" s="422"/>
      <c r="PBW138" s="422"/>
      <c r="PBX138" s="422"/>
      <c r="PBY138" s="422"/>
      <c r="PBZ138" s="422"/>
      <c r="PCA138" s="422"/>
      <c r="PCB138" s="422"/>
      <c r="PCC138" s="422"/>
      <c r="PCD138" s="422"/>
      <c r="PCE138" s="422"/>
      <c r="PCF138" s="422"/>
      <c r="PCG138" s="422"/>
      <c r="PCH138" s="422"/>
      <c r="PCI138" s="422"/>
      <c r="PCJ138" s="422"/>
      <c r="PCK138" s="422"/>
      <c r="PCL138" s="422"/>
      <c r="PCM138" s="422"/>
      <c r="PCN138" s="422"/>
      <c r="PCO138" s="422"/>
      <c r="PCP138" s="422"/>
      <c r="PCQ138" s="422"/>
      <c r="PCR138" s="422"/>
      <c r="PCS138" s="422"/>
      <c r="PCT138" s="422"/>
      <c r="PCU138" s="422"/>
      <c r="PCV138" s="422"/>
      <c r="PCW138" s="422"/>
      <c r="PCX138" s="422"/>
      <c r="PCY138" s="422"/>
      <c r="PCZ138" s="422"/>
      <c r="PDA138" s="422"/>
      <c r="PDB138" s="422"/>
      <c r="PDC138" s="422"/>
      <c r="PDD138" s="422"/>
      <c r="PDE138" s="422"/>
      <c r="PDF138" s="422"/>
      <c r="PDG138" s="422"/>
      <c r="PDH138" s="422"/>
      <c r="PDI138" s="422"/>
      <c r="PDJ138" s="422"/>
      <c r="PDK138" s="422"/>
      <c r="PDL138" s="422"/>
      <c r="PDM138" s="422"/>
      <c r="PDN138" s="422"/>
      <c r="PDO138" s="422"/>
      <c r="PDP138" s="422"/>
      <c r="PDQ138" s="422"/>
      <c r="PDR138" s="422"/>
      <c r="PDS138" s="422"/>
      <c r="PDT138" s="422"/>
      <c r="PDU138" s="422"/>
      <c r="PDV138" s="422"/>
      <c r="PDW138" s="422"/>
      <c r="PDX138" s="422"/>
      <c r="PDY138" s="422"/>
      <c r="PDZ138" s="422"/>
      <c r="PEA138" s="422"/>
      <c r="PEB138" s="422"/>
      <c r="PEC138" s="422"/>
      <c r="PED138" s="422"/>
      <c r="PEE138" s="422"/>
      <c r="PEF138" s="422"/>
      <c r="PEG138" s="422"/>
      <c r="PEH138" s="422"/>
      <c r="PEI138" s="422"/>
      <c r="PEJ138" s="422"/>
      <c r="PEK138" s="422"/>
      <c r="PEL138" s="422"/>
      <c r="PEM138" s="422"/>
      <c r="PEN138" s="422"/>
      <c r="PEO138" s="422"/>
      <c r="PEP138" s="422"/>
      <c r="PEQ138" s="422"/>
      <c r="PER138" s="422"/>
      <c r="PES138" s="422"/>
      <c r="PET138" s="422"/>
      <c r="PEU138" s="422"/>
      <c r="PEV138" s="422"/>
      <c r="PEW138" s="422"/>
      <c r="PEX138" s="422"/>
      <c r="PEY138" s="422"/>
      <c r="PEZ138" s="422"/>
      <c r="PFA138" s="422"/>
      <c r="PFB138" s="422"/>
      <c r="PFC138" s="422"/>
      <c r="PFD138" s="422"/>
      <c r="PFE138" s="422"/>
      <c r="PFF138" s="422"/>
      <c r="PFG138" s="422"/>
      <c r="PFH138" s="422"/>
      <c r="PFI138" s="422"/>
      <c r="PFJ138" s="422"/>
      <c r="PFK138" s="422"/>
      <c r="PFL138" s="422"/>
      <c r="PFM138" s="422"/>
      <c r="PFN138" s="422"/>
      <c r="PFO138" s="422"/>
      <c r="PFP138" s="422"/>
      <c r="PFQ138" s="422"/>
      <c r="PFR138" s="422"/>
      <c r="PFS138" s="422"/>
      <c r="PFT138" s="422"/>
      <c r="PFU138" s="422"/>
      <c r="PFV138" s="422"/>
      <c r="PFW138" s="422"/>
      <c r="PFX138" s="422"/>
      <c r="PFY138" s="422"/>
      <c r="PFZ138" s="422"/>
      <c r="PGA138" s="422"/>
      <c r="PGB138" s="422"/>
      <c r="PGC138" s="422"/>
      <c r="PGD138" s="422"/>
      <c r="PGE138" s="422"/>
      <c r="PGF138" s="422"/>
      <c r="PGG138" s="422"/>
      <c r="PGH138" s="422"/>
      <c r="PGI138" s="422"/>
      <c r="PGJ138" s="422"/>
      <c r="PGK138" s="422"/>
      <c r="PGL138" s="422"/>
      <c r="PGM138" s="422"/>
      <c r="PGN138" s="422"/>
      <c r="PGO138" s="422"/>
      <c r="PGP138" s="422"/>
      <c r="PGQ138" s="422"/>
      <c r="PGR138" s="422"/>
      <c r="PGS138" s="422"/>
      <c r="PGT138" s="422"/>
      <c r="PGU138" s="422"/>
      <c r="PGV138" s="422"/>
      <c r="PGW138" s="422"/>
      <c r="PGX138" s="422"/>
      <c r="PGY138" s="422"/>
      <c r="PGZ138" s="422"/>
      <c r="PHA138" s="422"/>
      <c r="PHB138" s="422"/>
      <c r="PHC138" s="422"/>
      <c r="PHD138" s="422"/>
      <c r="PHE138" s="422"/>
      <c r="PHF138" s="422"/>
      <c r="PHG138" s="422"/>
      <c r="PHH138" s="422"/>
      <c r="PHI138" s="422"/>
      <c r="PHJ138" s="422"/>
      <c r="PHK138" s="422"/>
      <c r="PHL138" s="422"/>
      <c r="PHM138" s="422"/>
      <c r="PHN138" s="422"/>
      <c r="PHO138" s="422"/>
      <c r="PHP138" s="422"/>
      <c r="PHQ138" s="422"/>
      <c r="PHR138" s="422"/>
      <c r="PHS138" s="422"/>
      <c r="PHT138" s="422"/>
      <c r="PHU138" s="422"/>
      <c r="PHV138" s="422"/>
      <c r="PHW138" s="422"/>
      <c r="PHX138" s="422"/>
      <c r="PHY138" s="422"/>
      <c r="PHZ138" s="422"/>
      <c r="PIA138" s="422"/>
      <c r="PIB138" s="422"/>
      <c r="PIC138" s="422"/>
      <c r="PID138" s="422"/>
      <c r="PIE138" s="422"/>
      <c r="PIF138" s="422"/>
      <c r="PIG138" s="422"/>
      <c r="PIH138" s="422"/>
      <c r="PII138" s="422"/>
      <c r="PIJ138" s="422"/>
      <c r="PIK138" s="422"/>
      <c r="PIL138" s="422"/>
      <c r="PIM138" s="422"/>
      <c r="PIN138" s="422"/>
      <c r="PIO138" s="422"/>
      <c r="PIP138" s="422"/>
      <c r="PIQ138" s="422"/>
      <c r="PIR138" s="422"/>
      <c r="PIS138" s="422"/>
      <c r="PIT138" s="422"/>
      <c r="PIU138" s="422"/>
      <c r="PIV138" s="422"/>
      <c r="PIW138" s="422"/>
      <c r="PIX138" s="422"/>
      <c r="PIY138" s="422"/>
      <c r="PIZ138" s="422"/>
      <c r="PJA138" s="422"/>
      <c r="PJB138" s="422"/>
      <c r="PJC138" s="422"/>
      <c r="PJD138" s="422"/>
      <c r="PJE138" s="422"/>
      <c r="PJF138" s="422"/>
      <c r="PJG138" s="422"/>
      <c r="PJH138" s="422"/>
      <c r="PJI138" s="422"/>
      <c r="PJJ138" s="422"/>
      <c r="PJK138" s="422"/>
      <c r="PJL138" s="422"/>
      <c r="PJM138" s="422"/>
      <c r="PJN138" s="422"/>
      <c r="PJO138" s="422"/>
      <c r="PJP138" s="422"/>
      <c r="PJQ138" s="422"/>
      <c r="PJR138" s="422"/>
      <c r="PJS138" s="422"/>
      <c r="PJT138" s="422"/>
      <c r="PJU138" s="422"/>
      <c r="PJV138" s="422"/>
      <c r="PJW138" s="422"/>
      <c r="PJX138" s="422"/>
      <c r="PJY138" s="422"/>
      <c r="PJZ138" s="422"/>
      <c r="PKA138" s="422"/>
      <c r="PKB138" s="422"/>
      <c r="PKC138" s="422"/>
      <c r="PKD138" s="422"/>
      <c r="PKE138" s="422"/>
      <c r="PKF138" s="422"/>
      <c r="PKG138" s="422"/>
      <c r="PKH138" s="422"/>
      <c r="PKI138" s="422"/>
      <c r="PKJ138" s="422"/>
      <c r="PKK138" s="422"/>
      <c r="PKL138" s="422"/>
      <c r="PKM138" s="422"/>
      <c r="PKN138" s="422"/>
      <c r="PKO138" s="422"/>
      <c r="PKP138" s="422"/>
      <c r="PKQ138" s="422"/>
      <c r="PKR138" s="422"/>
      <c r="PKS138" s="422"/>
      <c r="PKT138" s="422"/>
      <c r="PKU138" s="422"/>
      <c r="PKV138" s="422"/>
      <c r="PKW138" s="422"/>
      <c r="PKX138" s="422"/>
      <c r="PKY138" s="422"/>
      <c r="PKZ138" s="422"/>
      <c r="PLA138" s="422"/>
      <c r="PLB138" s="422"/>
      <c r="PLC138" s="422"/>
      <c r="PLD138" s="422"/>
      <c r="PLE138" s="422"/>
      <c r="PLF138" s="422"/>
      <c r="PLG138" s="422"/>
      <c r="PLH138" s="422"/>
      <c r="PLI138" s="422"/>
      <c r="PLJ138" s="422"/>
      <c r="PLK138" s="422"/>
      <c r="PLL138" s="422"/>
      <c r="PLM138" s="422"/>
      <c r="PLN138" s="422"/>
      <c r="PLO138" s="422"/>
      <c r="PLP138" s="422"/>
      <c r="PLQ138" s="422"/>
      <c r="PLR138" s="422"/>
      <c r="PLS138" s="422"/>
      <c r="PLT138" s="422"/>
      <c r="PLU138" s="422"/>
      <c r="PLV138" s="422"/>
      <c r="PLW138" s="422"/>
      <c r="PLX138" s="422"/>
      <c r="PLY138" s="422"/>
      <c r="PLZ138" s="422"/>
      <c r="PMA138" s="422"/>
      <c r="PMB138" s="422"/>
      <c r="PMC138" s="422"/>
      <c r="PMD138" s="422"/>
      <c r="PME138" s="422"/>
      <c r="PMF138" s="422"/>
      <c r="PMG138" s="422"/>
      <c r="PMH138" s="422"/>
      <c r="PMI138" s="422"/>
      <c r="PMJ138" s="422"/>
      <c r="PMK138" s="422"/>
      <c r="PML138" s="422"/>
      <c r="PMM138" s="422"/>
      <c r="PMN138" s="422"/>
      <c r="PMO138" s="422"/>
      <c r="PMP138" s="422"/>
      <c r="PMQ138" s="422"/>
      <c r="PMR138" s="422"/>
      <c r="PMS138" s="422"/>
      <c r="PMT138" s="422"/>
      <c r="PMU138" s="422"/>
      <c r="PMV138" s="422"/>
      <c r="PMW138" s="422"/>
      <c r="PMX138" s="422"/>
      <c r="PMY138" s="422"/>
      <c r="PMZ138" s="422"/>
      <c r="PNA138" s="422"/>
      <c r="PNB138" s="422"/>
      <c r="PNC138" s="422"/>
      <c r="PND138" s="422"/>
      <c r="PNE138" s="422"/>
      <c r="PNF138" s="422"/>
      <c r="PNG138" s="422"/>
      <c r="PNH138" s="422"/>
      <c r="PNI138" s="422"/>
      <c r="PNJ138" s="422"/>
      <c r="PNK138" s="422"/>
      <c r="PNL138" s="422"/>
      <c r="PNM138" s="422"/>
      <c r="PNN138" s="422"/>
      <c r="PNO138" s="422"/>
      <c r="PNP138" s="422"/>
      <c r="PNQ138" s="422"/>
      <c r="PNR138" s="422"/>
      <c r="PNS138" s="422"/>
      <c r="PNT138" s="422"/>
      <c r="PNU138" s="422"/>
      <c r="PNV138" s="422"/>
      <c r="PNW138" s="422"/>
      <c r="PNX138" s="422"/>
      <c r="PNY138" s="422"/>
      <c r="PNZ138" s="422"/>
      <c r="POA138" s="422"/>
      <c r="POB138" s="422"/>
      <c r="POC138" s="422"/>
      <c r="POD138" s="422"/>
      <c r="POE138" s="422"/>
      <c r="POF138" s="422"/>
      <c r="POG138" s="422"/>
      <c r="POH138" s="422"/>
      <c r="POI138" s="422"/>
      <c r="POJ138" s="422"/>
      <c r="POK138" s="422"/>
      <c r="POL138" s="422"/>
      <c r="POM138" s="422"/>
      <c r="PON138" s="422"/>
      <c r="POO138" s="422"/>
      <c r="POP138" s="422"/>
      <c r="POQ138" s="422"/>
      <c r="POR138" s="422"/>
      <c r="POS138" s="422"/>
      <c r="POT138" s="422"/>
      <c r="POU138" s="422"/>
      <c r="POV138" s="422"/>
      <c r="POW138" s="422"/>
      <c r="POX138" s="422"/>
      <c r="POY138" s="422"/>
      <c r="POZ138" s="422"/>
      <c r="PPA138" s="422"/>
      <c r="PPB138" s="422"/>
      <c r="PPC138" s="422"/>
      <c r="PPD138" s="422"/>
      <c r="PPE138" s="422"/>
      <c r="PPF138" s="422"/>
      <c r="PPG138" s="422"/>
      <c r="PPH138" s="422"/>
      <c r="PPI138" s="422"/>
      <c r="PPJ138" s="422"/>
      <c r="PPK138" s="422"/>
      <c r="PPL138" s="422"/>
      <c r="PPM138" s="422"/>
      <c r="PPN138" s="422"/>
      <c r="PPO138" s="422"/>
      <c r="PPP138" s="422"/>
      <c r="PPQ138" s="422"/>
      <c r="PPR138" s="422"/>
      <c r="PPS138" s="422"/>
      <c r="PPT138" s="422"/>
      <c r="PPU138" s="422"/>
      <c r="PPV138" s="422"/>
      <c r="PPW138" s="422"/>
      <c r="PPX138" s="422"/>
      <c r="PPY138" s="422"/>
      <c r="PPZ138" s="422"/>
      <c r="PQA138" s="422"/>
      <c r="PQB138" s="422"/>
      <c r="PQC138" s="422"/>
      <c r="PQD138" s="422"/>
      <c r="PQE138" s="422"/>
      <c r="PQF138" s="422"/>
      <c r="PQG138" s="422"/>
      <c r="PQH138" s="422"/>
      <c r="PQI138" s="422"/>
      <c r="PQJ138" s="422"/>
      <c r="PQK138" s="422"/>
      <c r="PQL138" s="422"/>
      <c r="PQM138" s="422"/>
      <c r="PQN138" s="422"/>
      <c r="PQO138" s="422"/>
      <c r="PQP138" s="422"/>
      <c r="PQQ138" s="422"/>
      <c r="PQR138" s="422"/>
      <c r="PQS138" s="422"/>
      <c r="PQT138" s="422"/>
      <c r="PQU138" s="422"/>
      <c r="PQV138" s="422"/>
      <c r="PQW138" s="422"/>
      <c r="PQX138" s="422"/>
      <c r="PQY138" s="422"/>
      <c r="PQZ138" s="422"/>
      <c r="PRA138" s="422"/>
      <c r="PRB138" s="422"/>
      <c r="PRC138" s="422"/>
      <c r="PRD138" s="422"/>
      <c r="PRE138" s="422"/>
      <c r="PRF138" s="422"/>
      <c r="PRG138" s="422"/>
      <c r="PRH138" s="422"/>
      <c r="PRI138" s="422"/>
      <c r="PRJ138" s="422"/>
      <c r="PRK138" s="422"/>
      <c r="PRL138" s="422"/>
      <c r="PRM138" s="422"/>
      <c r="PRN138" s="422"/>
      <c r="PRO138" s="422"/>
      <c r="PRP138" s="422"/>
      <c r="PRQ138" s="422"/>
      <c r="PRR138" s="422"/>
      <c r="PRS138" s="422"/>
      <c r="PRT138" s="422"/>
      <c r="PRU138" s="422"/>
      <c r="PRV138" s="422"/>
      <c r="PRW138" s="422"/>
      <c r="PRX138" s="422"/>
      <c r="PRY138" s="422"/>
      <c r="PRZ138" s="422"/>
      <c r="PSA138" s="422"/>
      <c r="PSB138" s="422"/>
      <c r="PSC138" s="422"/>
      <c r="PSD138" s="422"/>
      <c r="PSE138" s="422"/>
      <c r="PSF138" s="422"/>
      <c r="PSG138" s="422"/>
      <c r="PSH138" s="422"/>
      <c r="PSI138" s="422"/>
      <c r="PSJ138" s="422"/>
      <c r="PSK138" s="422"/>
      <c r="PSL138" s="422"/>
      <c r="PSM138" s="422"/>
      <c r="PSN138" s="422"/>
      <c r="PSO138" s="422"/>
      <c r="PSP138" s="422"/>
      <c r="PSQ138" s="422"/>
      <c r="PSR138" s="422"/>
      <c r="PSS138" s="422"/>
      <c r="PST138" s="422"/>
      <c r="PSU138" s="422"/>
      <c r="PSV138" s="422"/>
      <c r="PSW138" s="422"/>
      <c r="PSX138" s="422"/>
      <c r="PSY138" s="422"/>
      <c r="PSZ138" s="422"/>
      <c r="PTA138" s="422"/>
      <c r="PTB138" s="422"/>
      <c r="PTC138" s="422"/>
      <c r="PTD138" s="422"/>
      <c r="PTE138" s="422"/>
      <c r="PTF138" s="422"/>
      <c r="PTG138" s="422"/>
      <c r="PTH138" s="422"/>
      <c r="PTI138" s="422"/>
      <c r="PTJ138" s="422"/>
      <c r="PTK138" s="422"/>
      <c r="PTL138" s="422"/>
      <c r="PTM138" s="422"/>
      <c r="PTN138" s="422"/>
      <c r="PTO138" s="422"/>
      <c r="PTP138" s="422"/>
      <c r="PTQ138" s="422"/>
      <c r="PTR138" s="422"/>
      <c r="PTS138" s="422"/>
      <c r="PTT138" s="422"/>
      <c r="PTU138" s="422"/>
      <c r="PTV138" s="422"/>
      <c r="PTW138" s="422"/>
      <c r="PTX138" s="422"/>
      <c r="PTY138" s="422"/>
      <c r="PTZ138" s="422"/>
      <c r="PUA138" s="422"/>
      <c r="PUB138" s="422"/>
      <c r="PUC138" s="422"/>
      <c r="PUD138" s="422"/>
      <c r="PUE138" s="422"/>
      <c r="PUF138" s="422"/>
      <c r="PUG138" s="422"/>
      <c r="PUH138" s="422"/>
      <c r="PUI138" s="422"/>
      <c r="PUJ138" s="422"/>
      <c r="PUK138" s="422"/>
      <c r="PUL138" s="422"/>
      <c r="PUM138" s="422"/>
      <c r="PUN138" s="422"/>
      <c r="PUO138" s="422"/>
      <c r="PUP138" s="422"/>
      <c r="PUQ138" s="422"/>
      <c r="PUR138" s="422"/>
      <c r="PUS138" s="422"/>
      <c r="PUT138" s="422"/>
      <c r="PUU138" s="422"/>
      <c r="PUV138" s="422"/>
      <c r="PUW138" s="422"/>
      <c r="PUX138" s="422"/>
      <c r="PUY138" s="422"/>
      <c r="PUZ138" s="422"/>
      <c r="PVA138" s="422"/>
      <c r="PVB138" s="422"/>
      <c r="PVC138" s="422"/>
      <c r="PVD138" s="422"/>
      <c r="PVE138" s="422"/>
      <c r="PVF138" s="422"/>
      <c r="PVG138" s="422"/>
      <c r="PVH138" s="422"/>
      <c r="PVI138" s="422"/>
      <c r="PVJ138" s="422"/>
      <c r="PVK138" s="422"/>
      <c r="PVL138" s="422"/>
      <c r="PVM138" s="422"/>
      <c r="PVN138" s="422"/>
      <c r="PVO138" s="422"/>
      <c r="PVP138" s="422"/>
      <c r="PVQ138" s="422"/>
      <c r="PVR138" s="422"/>
      <c r="PVS138" s="422"/>
      <c r="PVT138" s="422"/>
      <c r="PVU138" s="422"/>
      <c r="PVV138" s="422"/>
      <c r="PVW138" s="422"/>
      <c r="PVX138" s="422"/>
      <c r="PVY138" s="422"/>
      <c r="PVZ138" s="422"/>
      <c r="PWA138" s="422"/>
      <c r="PWB138" s="422"/>
      <c r="PWC138" s="422"/>
      <c r="PWD138" s="422"/>
      <c r="PWE138" s="422"/>
      <c r="PWF138" s="422"/>
      <c r="PWG138" s="422"/>
      <c r="PWH138" s="422"/>
      <c r="PWI138" s="422"/>
      <c r="PWJ138" s="422"/>
      <c r="PWK138" s="422"/>
      <c r="PWL138" s="422"/>
      <c r="PWM138" s="422"/>
      <c r="PWN138" s="422"/>
      <c r="PWO138" s="422"/>
      <c r="PWP138" s="422"/>
      <c r="PWQ138" s="422"/>
      <c r="PWR138" s="422"/>
      <c r="PWS138" s="422"/>
      <c r="PWT138" s="422"/>
      <c r="PWU138" s="422"/>
      <c r="PWV138" s="422"/>
      <c r="PWW138" s="422"/>
      <c r="PWX138" s="422"/>
      <c r="PWY138" s="422"/>
      <c r="PWZ138" s="422"/>
      <c r="PXA138" s="422"/>
      <c r="PXB138" s="422"/>
      <c r="PXC138" s="422"/>
      <c r="PXD138" s="422"/>
      <c r="PXE138" s="422"/>
      <c r="PXF138" s="422"/>
      <c r="PXG138" s="422"/>
      <c r="PXH138" s="422"/>
      <c r="PXI138" s="422"/>
      <c r="PXJ138" s="422"/>
      <c r="PXK138" s="422"/>
      <c r="PXL138" s="422"/>
      <c r="PXM138" s="422"/>
      <c r="PXN138" s="422"/>
      <c r="PXO138" s="422"/>
      <c r="PXP138" s="422"/>
      <c r="PXQ138" s="422"/>
      <c r="PXR138" s="422"/>
      <c r="PXS138" s="422"/>
      <c r="PXT138" s="422"/>
      <c r="PXU138" s="422"/>
      <c r="PXV138" s="422"/>
      <c r="PXW138" s="422"/>
      <c r="PXX138" s="422"/>
      <c r="PXY138" s="422"/>
      <c r="PXZ138" s="422"/>
      <c r="PYA138" s="422"/>
      <c r="PYB138" s="422"/>
      <c r="PYC138" s="422"/>
      <c r="PYD138" s="422"/>
      <c r="PYE138" s="422"/>
      <c r="PYF138" s="422"/>
      <c r="PYG138" s="422"/>
      <c r="PYH138" s="422"/>
      <c r="PYI138" s="422"/>
      <c r="PYJ138" s="422"/>
      <c r="PYK138" s="422"/>
      <c r="PYL138" s="422"/>
      <c r="PYM138" s="422"/>
      <c r="PYN138" s="422"/>
      <c r="PYO138" s="422"/>
      <c r="PYP138" s="422"/>
      <c r="PYQ138" s="422"/>
      <c r="PYR138" s="422"/>
      <c r="PYS138" s="422"/>
      <c r="PYT138" s="422"/>
      <c r="PYU138" s="422"/>
      <c r="PYV138" s="422"/>
      <c r="PYW138" s="422"/>
      <c r="PYX138" s="422"/>
      <c r="PYY138" s="422"/>
      <c r="PYZ138" s="422"/>
      <c r="PZA138" s="422"/>
      <c r="PZB138" s="422"/>
      <c r="PZC138" s="422"/>
      <c r="PZD138" s="422"/>
      <c r="PZE138" s="422"/>
      <c r="PZF138" s="422"/>
      <c r="PZG138" s="422"/>
      <c r="PZH138" s="422"/>
      <c r="PZI138" s="422"/>
      <c r="PZJ138" s="422"/>
      <c r="PZK138" s="422"/>
      <c r="PZL138" s="422"/>
      <c r="PZM138" s="422"/>
      <c r="PZN138" s="422"/>
      <c r="PZO138" s="422"/>
      <c r="PZP138" s="422"/>
      <c r="PZQ138" s="422"/>
      <c r="PZR138" s="422"/>
      <c r="PZS138" s="422"/>
      <c r="PZT138" s="422"/>
      <c r="PZU138" s="422"/>
      <c r="PZV138" s="422"/>
      <c r="PZW138" s="422"/>
      <c r="PZX138" s="422"/>
      <c r="PZY138" s="422"/>
      <c r="PZZ138" s="422"/>
      <c r="QAA138" s="422"/>
      <c r="QAB138" s="422"/>
      <c r="QAC138" s="422"/>
      <c r="QAD138" s="422"/>
      <c r="QAE138" s="422"/>
      <c r="QAF138" s="422"/>
      <c r="QAG138" s="422"/>
      <c r="QAH138" s="422"/>
      <c r="QAI138" s="422"/>
      <c r="QAJ138" s="422"/>
      <c r="QAK138" s="422"/>
      <c r="QAL138" s="422"/>
      <c r="QAM138" s="422"/>
      <c r="QAN138" s="422"/>
      <c r="QAO138" s="422"/>
      <c r="QAP138" s="422"/>
      <c r="QAQ138" s="422"/>
      <c r="QAR138" s="422"/>
      <c r="QAS138" s="422"/>
      <c r="QAT138" s="422"/>
      <c r="QAU138" s="422"/>
      <c r="QAV138" s="422"/>
      <c r="QAW138" s="422"/>
      <c r="QAX138" s="422"/>
      <c r="QAY138" s="422"/>
      <c r="QAZ138" s="422"/>
      <c r="QBA138" s="422"/>
      <c r="QBB138" s="422"/>
      <c r="QBC138" s="422"/>
      <c r="QBD138" s="422"/>
      <c r="QBE138" s="422"/>
      <c r="QBF138" s="422"/>
      <c r="QBG138" s="422"/>
      <c r="QBH138" s="422"/>
      <c r="QBI138" s="422"/>
      <c r="QBJ138" s="422"/>
      <c r="QBK138" s="422"/>
      <c r="QBL138" s="422"/>
      <c r="QBM138" s="422"/>
      <c r="QBN138" s="422"/>
      <c r="QBO138" s="422"/>
      <c r="QBP138" s="422"/>
      <c r="QBQ138" s="422"/>
      <c r="QBR138" s="422"/>
      <c r="QBS138" s="422"/>
      <c r="QBT138" s="422"/>
      <c r="QBU138" s="422"/>
      <c r="QBV138" s="422"/>
      <c r="QBW138" s="422"/>
      <c r="QBX138" s="422"/>
      <c r="QBY138" s="422"/>
      <c r="QBZ138" s="422"/>
      <c r="QCA138" s="422"/>
      <c r="QCB138" s="422"/>
      <c r="QCC138" s="422"/>
      <c r="QCD138" s="422"/>
      <c r="QCE138" s="422"/>
      <c r="QCF138" s="422"/>
      <c r="QCG138" s="422"/>
      <c r="QCH138" s="422"/>
      <c r="QCI138" s="422"/>
      <c r="QCJ138" s="422"/>
      <c r="QCK138" s="422"/>
      <c r="QCL138" s="422"/>
      <c r="QCM138" s="422"/>
      <c r="QCN138" s="422"/>
      <c r="QCO138" s="422"/>
      <c r="QCP138" s="422"/>
      <c r="QCQ138" s="422"/>
      <c r="QCR138" s="422"/>
      <c r="QCS138" s="422"/>
      <c r="QCT138" s="422"/>
      <c r="QCU138" s="422"/>
      <c r="QCV138" s="422"/>
      <c r="QCW138" s="422"/>
      <c r="QCX138" s="422"/>
      <c r="QCY138" s="422"/>
      <c r="QCZ138" s="422"/>
      <c r="QDA138" s="422"/>
      <c r="QDB138" s="422"/>
      <c r="QDC138" s="422"/>
      <c r="QDD138" s="422"/>
      <c r="QDE138" s="422"/>
      <c r="QDF138" s="422"/>
      <c r="QDG138" s="422"/>
      <c r="QDH138" s="422"/>
      <c r="QDI138" s="422"/>
      <c r="QDJ138" s="422"/>
      <c r="QDK138" s="422"/>
      <c r="QDL138" s="422"/>
      <c r="QDM138" s="422"/>
      <c r="QDN138" s="422"/>
      <c r="QDO138" s="422"/>
      <c r="QDP138" s="422"/>
      <c r="QDQ138" s="422"/>
      <c r="QDR138" s="422"/>
      <c r="QDS138" s="422"/>
      <c r="QDT138" s="422"/>
      <c r="QDU138" s="422"/>
      <c r="QDV138" s="422"/>
      <c r="QDW138" s="422"/>
      <c r="QDX138" s="422"/>
      <c r="QDY138" s="422"/>
      <c r="QDZ138" s="422"/>
      <c r="QEA138" s="422"/>
      <c r="QEB138" s="422"/>
      <c r="QEC138" s="422"/>
      <c r="QED138" s="422"/>
      <c r="QEE138" s="422"/>
      <c r="QEF138" s="422"/>
      <c r="QEG138" s="422"/>
      <c r="QEH138" s="422"/>
      <c r="QEI138" s="422"/>
      <c r="QEJ138" s="422"/>
      <c r="QEK138" s="422"/>
      <c r="QEL138" s="422"/>
      <c r="QEM138" s="422"/>
      <c r="QEN138" s="422"/>
      <c r="QEO138" s="422"/>
      <c r="QEP138" s="422"/>
      <c r="QEQ138" s="422"/>
      <c r="QER138" s="422"/>
      <c r="QES138" s="422"/>
      <c r="QET138" s="422"/>
      <c r="QEU138" s="422"/>
      <c r="QEV138" s="422"/>
      <c r="QEW138" s="422"/>
      <c r="QEX138" s="422"/>
      <c r="QEY138" s="422"/>
      <c r="QEZ138" s="422"/>
      <c r="QFA138" s="422"/>
      <c r="QFB138" s="422"/>
      <c r="QFC138" s="422"/>
      <c r="QFD138" s="422"/>
      <c r="QFE138" s="422"/>
      <c r="QFF138" s="422"/>
      <c r="QFG138" s="422"/>
      <c r="QFH138" s="422"/>
      <c r="QFI138" s="422"/>
      <c r="QFJ138" s="422"/>
      <c r="QFK138" s="422"/>
      <c r="QFL138" s="422"/>
      <c r="QFM138" s="422"/>
      <c r="QFN138" s="422"/>
      <c r="QFO138" s="422"/>
      <c r="QFP138" s="422"/>
      <c r="QFQ138" s="422"/>
      <c r="QFR138" s="422"/>
      <c r="QFS138" s="422"/>
      <c r="QFT138" s="422"/>
      <c r="QFU138" s="422"/>
      <c r="QFV138" s="422"/>
      <c r="QFW138" s="422"/>
      <c r="QFX138" s="422"/>
      <c r="QFY138" s="422"/>
      <c r="QFZ138" s="422"/>
      <c r="QGA138" s="422"/>
      <c r="QGB138" s="422"/>
      <c r="QGC138" s="422"/>
      <c r="QGD138" s="422"/>
      <c r="QGE138" s="422"/>
      <c r="QGF138" s="422"/>
      <c r="QGG138" s="422"/>
      <c r="QGH138" s="422"/>
      <c r="QGI138" s="422"/>
      <c r="QGJ138" s="422"/>
      <c r="QGK138" s="422"/>
      <c r="QGL138" s="422"/>
      <c r="QGM138" s="422"/>
      <c r="QGN138" s="422"/>
      <c r="QGO138" s="422"/>
      <c r="QGP138" s="422"/>
      <c r="QGQ138" s="422"/>
      <c r="QGR138" s="422"/>
      <c r="QGS138" s="422"/>
      <c r="QGT138" s="422"/>
      <c r="QGU138" s="422"/>
      <c r="QGV138" s="422"/>
      <c r="QGW138" s="422"/>
      <c r="QGX138" s="422"/>
      <c r="QGY138" s="422"/>
      <c r="QGZ138" s="422"/>
      <c r="QHA138" s="422"/>
      <c r="QHB138" s="422"/>
      <c r="QHC138" s="422"/>
      <c r="QHD138" s="422"/>
      <c r="QHE138" s="422"/>
      <c r="QHF138" s="422"/>
      <c r="QHG138" s="422"/>
      <c r="QHH138" s="422"/>
      <c r="QHI138" s="422"/>
      <c r="QHJ138" s="422"/>
      <c r="QHK138" s="422"/>
      <c r="QHL138" s="422"/>
      <c r="QHM138" s="422"/>
      <c r="QHN138" s="422"/>
      <c r="QHO138" s="422"/>
      <c r="QHP138" s="422"/>
      <c r="QHQ138" s="422"/>
      <c r="QHR138" s="422"/>
      <c r="QHS138" s="422"/>
      <c r="QHT138" s="422"/>
      <c r="QHU138" s="422"/>
      <c r="QHV138" s="422"/>
      <c r="QHW138" s="422"/>
      <c r="QHX138" s="422"/>
      <c r="QHY138" s="422"/>
      <c r="QHZ138" s="422"/>
      <c r="QIA138" s="422"/>
      <c r="QIB138" s="422"/>
      <c r="QIC138" s="422"/>
      <c r="QID138" s="422"/>
      <c r="QIE138" s="422"/>
      <c r="QIF138" s="422"/>
      <c r="QIG138" s="422"/>
      <c r="QIH138" s="422"/>
      <c r="QII138" s="422"/>
      <c r="QIJ138" s="422"/>
      <c r="QIK138" s="422"/>
      <c r="QIL138" s="422"/>
      <c r="QIM138" s="422"/>
      <c r="QIN138" s="422"/>
      <c r="QIO138" s="422"/>
      <c r="QIP138" s="422"/>
      <c r="QIQ138" s="422"/>
      <c r="QIR138" s="422"/>
      <c r="QIS138" s="422"/>
      <c r="QIT138" s="422"/>
      <c r="QIU138" s="422"/>
      <c r="QIV138" s="422"/>
      <c r="QIW138" s="422"/>
      <c r="QIX138" s="422"/>
      <c r="QIY138" s="422"/>
      <c r="QIZ138" s="422"/>
      <c r="QJA138" s="422"/>
      <c r="QJB138" s="422"/>
      <c r="QJC138" s="422"/>
      <c r="QJD138" s="422"/>
      <c r="QJE138" s="422"/>
      <c r="QJF138" s="422"/>
      <c r="QJG138" s="422"/>
      <c r="QJH138" s="422"/>
      <c r="QJI138" s="422"/>
      <c r="QJJ138" s="422"/>
      <c r="QJK138" s="422"/>
      <c r="QJL138" s="422"/>
      <c r="QJM138" s="422"/>
      <c r="QJN138" s="422"/>
      <c r="QJO138" s="422"/>
      <c r="QJP138" s="422"/>
      <c r="QJQ138" s="422"/>
      <c r="QJR138" s="422"/>
      <c r="QJS138" s="422"/>
      <c r="QJT138" s="422"/>
      <c r="QJU138" s="422"/>
      <c r="QJV138" s="422"/>
      <c r="QJW138" s="422"/>
      <c r="QJX138" s="422"/>
      <c r="QJY138" s="422"/>
      <c r="QJZ138" s="422"/>
      <c r="QKA138" s="422"/>
      <c r="QKB138" s="422"/>
      <c r="QKC138" s="422"/>
      <c r="QKD138" s="422"/>
      <c r="QKE138" s="422"/>
      <c r="QKF138" s="422"/>
      <c r="QKG138" s="422"/>
      <c r="QKH138" s="422"/>
      <c r="QKI138" s="422"/>
      <c r="QKJ138" s="422"/>
      <c r="QKK138" s="422"/>
      <c r="QKL138" s="422"/>
      <c r="QKM138" s="422"/>
      <c r="QKN138" s="422"/>
      <c r="QKO138" s="422"/>
      <c r="QKP138" s="422"/>
      <c r="QKQ138" s="422"/>
      <c r="QKR138" s="422"/>
      <c r="QKS138" s="422"/>
      <c r="QKT138" s="422"/>
      <c r="QKU138" s="422"/>
      <c r="QKV138" s="422"/>
      <c r="QKW138" s="422"/>
      <c r="QKX138" s="422"/>
      <c r="QKY138" s="422"/>
      <c r="QKZ138" s="422"/>
      <c r="QLA138" s="422"/>
      <c r="QLB138" s="422"/>
      <c r="QLC138" s="422"/>
      <c r="QLD138" s="422"/>
      <c r="QLE138" s="422"/>
      <c r="QLF138" s="422"/>
      <c r="QLG138" s="422"/>
      <c r="QLH138" s="422"/>
      <c r="QLI138" s="422"/>
      <c r="QLJ138" s="422"/>
      <c r="QLK138" s="422"/>
      <c r="QLL138" s="422"/>
      <c r="QLM138" s="422"/>
      <c r="QLN138" s="422"/>
      <c r="QLO138" s="422"/>
      <c r="QLP138" s="422"/>
      <c r="QLQ138" s="422"/>
      <c r="QLR138" s="422"/>
      <c r="QLS138" s="422"/>
      <c r="QLT138" s="422"/>
      <c r="QLU138" s="422"/>
      <c r="QLV138" s="422"/>
      <c r="QLW138" s="422"/>
      <c r="QLX138" s="422"/>
      <c r="QLY138" s="422"/>
      <c r="QLZ138" s="422"/>
      <c r="QMA138" s="422"/>
      <c r="QMB138" s="422"/>
      <c r="QMC138" s="422"/>
      <c r="QMD138" s="422"/>
      <c r="QME138" s="422"/>
      <c r="QMF138" s="422"/>
      <c r="QMG138" s="422"/>
      <c r="QMH138" s="422"/>
      <c r="QMI138" s="422"/>
      <c r="QMJ138" s="422"/>
      <c r="QMK138" s="422"/>
      <c r="QML138" s="422"/>
      <c r="QMM138" s="422"/>
      <c r="QMN138" s="422"/>
      <c r="QMO138" s="422"/>
      <c r="QMP138" s="422"/>
      <c r="QMQ138" s="422"/>
      <c r="QMR138" s="422"/>
      <c r="QMS138" s="422"/>
      <c r="QMT138" s="422"/>
      <c r="QMU138" s="422"/>
      <c r="QMV138" s="422"/>
      <c r="QMW138" s="422"/>
      <c r="QMX138" s="422"/>
      <c r="QMY138" s="422"/>
      <c r="QMZ138" s="422"/>
      <c r="QNA138" s="422"/>
      <c r="QNB138" s="422"/>
      <c r="QNC138" s="422"/>
      <c r="QND138" s="422"/>
      <c r="QNE138" s="422"/>
      <c r="QNF138" s="422"/>
      <c r="QNG138" s="422"/>
      <c r="QNH138" s="422"/>
      <c r="QNI138" s="422"/>
      <c r="QNJ138" s="422"/>
      <c r="QNK138" s="422"/>
      <c r="QNL138" s="422"/>
      <c r="QNM138" s="422"/>
      <c r="QNN138" s="422"/>
      <c r="QNO138" s="422"/>
      <c r="QNP138" s="422"/>
      <c r="QNQ138" s="422"/>
      <c r="QNR138" s="422"/>
      <c r="QNS138" s="422"/>
      <c r="QNT138" s="422"/>
      <c r="QNU138" s="422"/>
      <c r="QNV138" s="422"/>
      <c r="QNW138" s="422"/>
      <c r="QNX138" s="422"/>
      <c r="QNY138" s="422"/>
      <c r="QNZ138" s="422"/>
      <c r="QOA138" s="422"/>
      <c r="QOB138" s="422"/>
      <c r="QOC138" s="422"/>
      <c r="QOD138" s="422"/>
      <c r="QOE138" s="422"/>
      <c r="QOF138" s="422"/>
      <c r="QOG138" s="422"/>
      <c r="QOH138" s="422"/>
      <c r="QOI138" s="422"/>
      <c r="QOJ138" s="422"/>
      <c r="QOK138" s="422"/>
      <c r="QOL138" s="422"/>
      <c r="QOM138" s="422"/>
      <c r="QON138" s="422"/>
      <c r="QOO138" s="422"/>
      <c r="QOP138" s="422"/>
      <c r="QOQ138" s="422"/>
      <c r="QOR138" s="422"/>
      <c r="QOS138" s="422"/>
      <c r="QOT138" s="422"/>
      <c r="QOU138" s="422"/>
      <c r="QOV138" s="422"/>
      <c r="QOW138" s="422"/>
      <c r="QOX138" s="422"/>
      <c r="QOY138" s="422"/>
      <c r="QOZ138" s="422"/>
      <c r="QPA138" s="422"/>
      <c r="QPB138" s="422"/>
      <c r="QPC138" s="422"/>
      <c r="QPD138" s="422"/>
      <c r="QPE138" s="422"/>
      <c r="QPF138" s="422"/>
      <c r="QPG138" s="422"/>
      <c r="QPH138" s="422"/>
      <c r="QPI138" s="422"/>
      <c r="QPJ138" s="422"/>
      <c r="QPK138" s="422"/>
      <c r="QPL138" s="422"/>
      <c r="QPM138" s="422"/>
      <c r="QPN138" s="422"/>
      <c r="QPO138" s="422"/>
      <c r="QPP138" s="422"/>
      <c r="QPQ138" s="422"/>
      <c r="QPR138" s="422"/>
      <c r="QPS138" s="422"/>
      <c r="QPT138" s="422"/>
      <c r="QPU138" s="422"/>
      <c r="QPV138" s="422"/>
      <c r="QPW138" s="422"/>
      <c r="QPX138" s="422"/>
      <c r="QPY138" s="422"/>
      <c r="QPZ138" s="422"/>
      <c r="QQA138" s="422"/>
      <c r="QQB138" s="422"/>
      <c r="QQC138" s="422"/>
      <c r="QQD138" s="422"/>
      <c r="QQE138" s="422"/>
      <c r="QQF138" s="422"/>
      <c r="QQG138" s="422"/>
      <c r="QQH138" s="422"/>
      <c r="QQI138" s="422"/>
      <c r="QQJ138" s="422"/>
      <c r="QQK138" s="422"/>
      <c r="QQL138" s="422"/>
      <c r="QQM138" s="422"/>
      <c r="QQN138" s="422"/>
      <c r="QQO138" s="422"/>
      <c r="QQP138" s="422"/>
      <c r="QQQ138" s="422"/>
      <c r="QQR138" s="422"/>
      <c r="QQS138" s="422"/>
      <c r="QQT138" s="422"/>
      <c r="QQU138" s="422"/>
      <c r="QQV138" s="422"/>
      <c r="QQW138" s="422"/>
      <c r="QQX138" s="422"/>
      <c r="QQY138" s="422"/>
      <c r="QQZ138" s="422"/>
      <c r="QRA138" s="422"/>
      <c r="QRB138" s="422"/>
      <c r="QRC138" s="422"/>
      <c r="QRD138" s="422"/>
      <c r="QRE138" s="422"/>
      <c r="QRF138" s="422"/>
      <c r="QRG138" s="422"/>
      <c r="QRH138" s="422"/>
      <c r="QRI138" s="422"/>
      <c r="QRJ138" s="422"/>
      <c r="QRK138" s="422"/>
      <c r="QRL138" s="422"/>
      <c r="QRM138" s="422"/>
      <c r="QRN138" s="422"/>
      <c r="QRO138" s="422"/>
      <c r="QRP138" s="422"/>
      <c r="QRQ138" s="422"/>
      <c r="QRR138" s="422"/>
      <c r="QRS138" s="422"/>
      <c r="QRT138" s="422"/>
      <c r="QRU138" s="422"/>
      <c r="QRV138" s="422"/>
      <c r="QRW138" s="422"/>
      <c r="QRX138" s="422"/>
      <c r="QRY138" s="422"/>
      <c r="QRZ138" s="422"/>
      <c r="QSA138" s="422"/>
      <c r="QSB138" s="422"/>
      <c r="QSC138" s="422"/>
      <c r="QSD138" s="422"/>
      <c r="QSE138" s="422"/>
      <c r="QSF138" s="422"/>
      <c r="QSG138" s="422"/>
      <c r="QSH138" s="422"/>
      <c r="QSI138" s="422"/>
      <c r="QSJ138" s="422"/>
      <c r="QSK138" s="422"/>
      <c r="QSL138" s="422"/>
      <c r="QSM138" s="422"/>
      <c r="QSN138" s="422"/>
      <c r="QSO138" s="422"/>
      <c r="QSP138" s="422"/>
      <c r="QSQ138" s="422"/>
      <c r="QSR138" s="422"/>
      <c r="QSS138" s="422"/>
      <c r="QST138" s="422"/>
      <c r="QSU138" s="422"/>
      <c r="QSV138" s="422"/>
      <c r="QSW138" s="422"/>
      <c r="QSX138" s="422"/>
      <c r="QSY138" s="422"/>
      <c r="QSZ138" s="422"/>
      <c r="QTA138" s="422"/>
      <c r="QTB138" s="422"/>
      <c r="QTC138" s="422"/>
      <c r="QTD138" s="422"/>
      <c r="QTE138" s="422"/>
      <c r="QTF138" s="422"/>
      <c r="QTG138" s="422"/>
      <c r="QTH138" s="422"/>
      <c r="QTI138" s="422"/>
      <c r="QTJ138" s="422"/>
      <c r="QTK138" s="422"/>
      <c r="QTL138" s="422"/>
      <c r="QTM138" s="422"/>
      <c r="QTN138" s="422"/>
      <c r="QTO138" s="422"/>
      <c r="QTP138" s="422"/>
      <c r="QTQ138" s="422"/>
      <c r="QTR138" s="422"/>
      <c r="QTS138" s="422"/>
      <c r="QTT138" s="422"/>
      <c r="QTU138" s="422"/>
      <c r="QTV138" s="422"/>
      <c r="QTW138" s="422"/>
      <c r="QTX138" s="422"/>
      <c r="QTY138" s="422"/>
      <c r="QTZ138" s="422"/>
      <c r="QUA138" s="422"/>
      <c r="QUB138" s="422"/>
      <c r="QUC138" s="422"/>
      <c r="QUD138" s="422"/>
      <c r="QUE138" s="422"/>
      <c r="QUF138" s="422"/>
      <c r="QUG138" s="422"/>
      <c r="QUH138" s="422"/>
      <c r="QUI138" s="422"/>
      <c r="QUJ138" s="422"/>
      <c r="QUK138" s="422"/>
      <c r="QUL138" s="422"/>
      <c r="QUM138" s="422"/>
      <c r="QUN138" s="422"/>
      <c r="QUO138" s="422"/>
      <c r="QUP138" s="422"/>
      <c r="QUQ138" s="422"/>
      <c r="QUR138" s="422"/>
      <c r="QUS138" s="422"/>
      <c r="QUT138" s="422"/>
      <c r="QUU138" s="422"/>
      <c r="QUV138" s="422"/>
      <c r="QUW138" s="422"/>
      <c r="QUX138" s="422"/>
      <c r="QUY138" s="422"/>
      <c r="QUZ138" s="422"/>
      <c r="QVA138" s="422"/>
      <c r="QVB138" s="422"/>
      <c r="QVC138" s="422"/>
      <c r="QVD138" s="422"/>
      <c r="QVE138" s="422"/>
      <c r="QVF138" s="422"/>
      <c r="QVG138" s="422"/>
      <c r="QVH138" s="422"/>
      <c r="QVI138" s="422"/>
      <c r="QVJ138" s="422"/>
      <c r="QVK138" s="422"/>
      <c r="QVL138" s="422"/>
      <c r="QVM138" s="422"/>
      <c r="QVN138" s="422"/>
      <c r="QVO138" s="422"/>
      <c r="QVP138" s="422"/>
      <c r="QVQ138" s="422"/>
      <c r="QVR138" s="422"/>
      <c r="QVS138" s="422"/>
      <c r="QVT138" s="422"/>
      <c r="QVU138" s="422"/>
      <c r="QVV138" s="422"/>
      <c r="QVW138" s="422"/>
      <c r="QVX138" s="422"/>
      <c r="QVY138" s="422"/>
      <c r="QVZ138" s="422"/>
      <c r="QWA138" s="422"/>
      <c r="QWB138" s="422"/>
      <c r="QWC138" s="422"/>
      <c r="QWD138" s="422"/>
      <c r="QWE138" s="422"/>
      <c r="QWF138" s="422"/>
      <c r="QWG138" s="422"/>
      <c r="QWH138" s="422"/>
      <c r="QWI138" s="422"/>
      <c r="QWJ138" s="422"/>
      <c r="QWK138" s="422"/>
      <c r="QWL138" s="422"/>
      <c r="QWM138" s="422"/>
      <c r="QWN138" s="422"/>
      <c r="QWO138" s="422"/>
      <c r="QWP138" s="422"/>
      <c r="QWQ138" s="422"/>
      <c r="QWR138" s="422"/>
      <c r="QWS138" s="422"/>
      <c r="QWT138" s="422"/>
      <c r="QWU138" s="422"/>
      <c r="QWV138" s="422"/>
      <c r="QWW138" s="422"/>
      <c r="QWX138" s="422"/>
      <c r="QWY138" s="422"/>
      <c r="QWZ138" s="422"/>
      <c r="QXA138" s="422"/>
      <c r="QXB138" s="422"/>
      <c r="QXC138" s="422"/>
      <c r="QXD138" s="422"/>
      <c r="QXE138" s="422"/>
      <c r="QXF138" s="422"/>
      <c r="QXG138" s="422"/>
      <c r="QXH138" s="422"/>
      <c r="QXI138" s="422"/>
      <c r="QXJ138" s="422"/>
      <c r="QXK138" s="422"/>
      <c r="QXL138" s="422"/>
      <c r="QXM138" s="422"/>
      <c r="QXN138" s="422"/>
      <c r="QXO138" s="422"/>
      <c r="QXP138" s="422"/>
      <c r="QXQ138" s="422"/>
      <c r="QXR138" s="422"/>
      <c r="QXS138" s="422"/>
      <c r="QXT138" s="422"/>
      <c r="QXU138" s="422"/>
      <c r="QXV138" s="422"/>
      <c r="QXW138" s="422"/>
      <c r="QXX138" s="422"/>
      <c r="QXY138" s="422"/>
      <c r="QXZ138" s="422"/>
      <c r="QYA138" s="422"/>
      <c r="QYB138" s="422"/>
      <c r="QYC138" s="422"/>
      <c r="QYD138" s="422"/>
      <c r="QYE138" s="422"/>
      <c r="QYF138" s="422"/>
      <c r="QYG138" s="422"/>
      <c r="QYH138" s="422"/>
      <c r="QYI138" s="422"/>
      <c r="QYJ138" s="422"/>
      <c r="QYK138" s="422"/>
      <c r="QYL138" s="422"/>
      <c r="QYM138" s="422"/>
      <c r="QYN138" s="422"/>
      <c r="QYO138" s="422"/>
      <c r="QYP138" s="422"/>
      <c r="QYQ138" s="422"/>
      <c r="QYR138" s="422"/>
      <c r="QYS138" s="422"/>
      <c r="QYT138" s="422"/>
      <c r="QYU138" s="422"/>
      <c r="QYV138" s="422"/>
      <c r="QYW138" s="422"/>
      <c r="QYX138" s="422"/>
      <c r="QYY138" s="422"/>
      <c r="QYZ138" s="422"/>
      <c r="QZA138" s="422"/>
      <c r="QZB138" s="422"/>
      <c r="QZC138" s="422"/>
      <c r="QZD138" s="422"/>
      <c r="QZE138" s="422"/>
      <c r="QZF138" s="422"/>
      <c r="QZG138" s="422"/>
      <c r="QZH138" s="422"/>
      <c r="QZI138" s="422"/>
      <c r="QZJ138" s="422"/>
      <c r="QZK138" s="422"/>
      <c r="QZL138" s="422"/>
      <c r="QZM138" s="422"/>
      <c r="QZN138" s="422"/>
      <c r="QZO138" s="422"/>
      <c r="QZP138" s="422"/>
      <c r="QZQ138" s="422"/>
      <c r="QZR138" s="422"/>
      <c r="QZS138" s="422"/>
      <c r="QZT138" s="422"/>
      <c r="QZU138" s="422"/>
      <c r="QZV138" s="422"/>
      <c r="QZW138" s="422"/>
      <c r="QZX138" s="422"/>
      <c r="QZY138" s="422"/>
      <c r="QZZ138" s="422"/>
      <c r="RAA138" s="422"/>
      <c r="RAB138" s="422"/>
      <c r="RAC138" s="422"/>
      <c r="RAD138" s="422"/>
      <c r="RAE138" s="422"/>
      <c r="RAF138" s="422"/>
      <c r="RAG138" s="422"/>
      <c r="RAH138" s="422"/>
      <c r="RAI138" s="422"/>
      <c r="RAJ138" s="422"/>
      <c r="RAK138" s="422"/>
      <c r="RAL138" s="422"/>
      <c r="RAM138" s="422"/>
      <c r="RAN138" s="422"/>
      <c r="RAO138" s="422"/>
      <c r="RAP138" s="422"/>
      <c r="RAQ138" s="422"/>
      <c r="RAR138" s="422"/>
      <c r="RAS138" s="422"/>
      <c r="RAT138" s="422"/>
      <c r="RAU138" s="422"/>
      <c r="RAV138" s="422"/>
      <c r="RAW138" s="422"/>
      <c r="RAX138" s="422"/>
      <c r="RAY138" s="422"/>
      <c r="RAZ138" s="422"/>
      <c r="RBA138" s="422"/>
      <c r="RBB138" s="422"/>
      <c r="RBC138" s="422"/>
      <c r="RBD138" s="422"/>
      <c r="RBE138" s="422"/>
      <c r="RBF138" s="422"/>
      <c r="RBG138" s="422"/>
      <c r="RBH138" s="422"/>
      <c r="RBI138" s="422"/>
      <c r="RBJ138" s="422"/>
      <c r="RBK138" s="422"/>
      <c r="RBL138" s="422"/>
      <c r="RBM138" s="422"/>
      <c r="RBN138" s="422"/>
      <c r="RBO138" s="422"/>
      <c r="RBP138" s="422"/>
      <c r="RBQ138" s="422"/>
      <c r="RBR138" s="422"/>
      <c r="RBS138" s="422"/>
      <c r="RBT138" s="422"/>
      <c r="RBU138" s="422"/>
      <c r="RBV138" s="422"/>
      <c r="RBW138" s="422"/>
      <c r="RBX138" s="422"/>
      <c r="RBY138" s="422"/>
      <c r="RBZ138" s="422"/>
      <c r="RCA138" s="422"/>
      <c r="RCB138" s="422"/>
      <c r="RCC138" s="422"/>
      <c r="RCD138" s="422"/>
      <c r="RCE138" s="422"/>
      <c r="RCF138" s="422"/>
      <c r="RCG138" s="422"/>
      <c r="RCH138" s="422"/>
      <c r="RCI138" s="422"/>
      <c r="RCJ138" s="422"/>
      <c r="RCK138" s="422"/>
      <c r="RCL138" s="422"/>
      <c r="RCM138" s="422"/>
      <c r="RCN138" s="422"/>
      <c r="RCO138" s="422"/>
      <c r="RCP138" s="422"/>
      <c r="RCQ138" s="422"/>
      <c r="RCR138" s="422"/>
      <c r="RCS138" s="422"/>
      <c r="RCT138" s="422"/>
      <c r="RCU138" s="422"/>
      <c r="RCV138" s="422"/>
      <c r="RCW138" s="422"/>
      <c r="RCX138" s="422"/>
      <c r="RCY138" s="422"/>
      <c r="RCZ138" s="422"/>
      <c r="RDA138" s="422"/>
      <c r="RDB138" s="422"/>
      <c r="RDC138" s="422"/>
      <c r="RDD138" s="422"/>
      <c r="RDE138" s="422"/>
      <c r="RDF138" s="422"/>
      <c r="RDG138" s="422"/>
      <c r="RDH138" s="422"/>
      <c r="RDI138" s="422"/>
      <c r="RDJ138" s="422"/>
      <c r="RDK138" s="422"/>
      <c r="RDL138" s="422"/>
      <c r="RDM138" s="422"/>
      <c r="RDN138" s="422"/>
      <c r="RDO138" s="422"/>
      <c r="RDP138" s="422"/>
      <c r="RDQ138" s="422"/>
      <c r="RDR138" s="422"/>
      <c r="RDS138" s="422"/>
      <c r="RDT138" s="422"/>
      <c r="RDU138" s="422"/>
      <c r="RDV138" s="422"/>
      <c r="RDW138" s="422"/>
      <c r="RDX138" s="422"/>
      <c r="RDY138" s="422"/>
      <c r="RDZ138" s="422"/>
      <c r="REA138" s="422"/>
      <c r="REB138" s="422"/>
      <c r="REC138" s="422"/>
      <c r="RED138" s="422"/>
      <c r="REE138" s="422"/>
      <c r="REF138" s="422"/>
      <c r="REG138" s="422"/>
      <c r="REH138" s="422"/>
      <c r="REI138" s="422"/>
      <c r="REJ138" s="422"/>
      <c r="REK138" s="422"/>
      <c r="REL138" s="422"/>
      <c r="REM138" s="422"/>
      <c r="REN138" s="422"/>
      <c r="REO138" s="422"/>
      <c r="REP138" s="422"/>
      <c r="REQ138" s="422"/>
      <c r="RER138" s="422"/>
      <c r="RES138" s="422"/>
      <c r="RET138" s="422"/>
      <c r="REU138" s="422"/>
      <c r="REV138" s="422"/>
      <c r="REW138" s="422"/>
      <c r="REX138" s="422"/>
      <c r="REY138" s="422"/>
      <c r="REZ138" s="422"/>
      <c r="RFA138" s="422"/>
      <c r="RFB138" s="422"/>
      <c r="RFC138" s="422"/>
      <c r="RFD138" s="422"/>
      <c r="RFE138" s="422"/>
      <c r="RFF138" s="422"/>
      <c r="RFG138" s="422"/>
      <c r="RFH138" s="422"/>
      <c r="RFI138" s="422"/>
      <c r="RFJ138" s="422"/>
      <c r="RFK138" s="422"/>
      <c r="RFL138" s="422"/>
      <c r="RFM138" s="422"/>
      <c r="RFN138" s="422"/>
      <c r="RFO138" s="422"/>
      <c r="RFP138" s="422"/>
      <c r="RFQ138" s="422"/>
      <c r="RFR138" s="422"/>
      <c r="RFS138" s="422"/>
      <c r="RFT138" s="422"/>
      <c r="RFU138" s="422"/>
      <c r="RFV138" s="422"/>
      <c r="RFW138" s="422"/>
      <c r="RFX138" s="422"/>
      <c r="RFY138" s="422"/>
      <c r="RFZ138" s="422"/>
      <c r="RGA138" s="422"/>
      <c r="RGB138" s="422"/>
      <c r="RGC138" s="422"/>
      <c r="RGD138" s="422"/>
      <c r="RGE138" s="422"/>
      <c r="RGF138" s="422"/>
      <c r="RGG138" s="422"/>
      <c r="RGH138" s="422"/>
      <c r="RGI138" s="422"/>
      <c r="RGJ138" s="422"/>
      <c r="RGK138" s="422"/>
      <c r="RGL138" s="422"/>
      <c r="RGM138" s="422"/>
      <c r="RGN138" s="422"/>
      <c r="RGO138" s="422"/>
      <c r="RGP138" s="422"/>
      <c r="RGQ138" s="422"/>
      <c r="RGR138" s="422"/>
      <c r="RGS138" s="422"/>
      <c r="RGT138" s="422"/>
      <c r="RGU138" s="422"/>
      <c r="RGV138" s="422"/>
      <c r="RGW138" s="422"/>
      <c r="RGX138" s="422"/>
      <c r="RGY138" s="422"/>
      <c r="RGZ138" s="422"/>
      <c r="RHA138" s="422"/>
      <c r="RHB138" s="422"/>
      <c r="RHC138" s="422"/>
      <c r="RHD138" s="422"/>
      <c r="RHE138" s="422"/>
      <c r="RHF138" s="422"/>
      <c r="RHG138" s="422"/>
      <c r="RHH138" s="422"/>
      <c r="RHI138" s="422"/>
      <c r="RHJ138" s="422"/>
      <c r="RHK138" s="422"/>
      <c r="RHL138" s="422"/>
      <c r="RHM138" s="422"/>
      <c r="RHN138" s="422"/>
      <c r="RHO138" s="422"/>
      <c r="RHP138" s="422"/>
      <c r="RHQ138" s="422"/>
      <c r="RHR138" s="422"/>
      <c r="RHS138" s="422"/>
      <c r="RHT138" s="422"/>
      <c r="RHU138" s="422"/>
      <c r="RHV138" s="422"/>
      <c r="RHW138" s="422"/>
      <c r="RHX138" s="422"/>
      <c r="RHY138" s="422"/>
      <c r="RHZ138" s="422"/>
      <c r="RIA138" s="422"/>
      <c r="RIB138" s="422"/>
      <c r="RIC138" s="422"/>
      <c r="RID138" s="422"/>
      <c r="RIE138" s="422"/>
      <c r="RIF138" s="422"/>
      <c r="RIG138" s="422"/>
      <c r="RIH138" s="422"/>
      <c r="RII138" s="422"/>
      <c r="RIJ138" s="422"/>
      <c r="RIK138" s="422"/>
      <c r="RIL138" s="422"/>
      <c r="RIM138" s="422"/>
      <c r="RIN138" s="422"/>
      <c r="RIO138" s="422"/>
      <c r="RIP138" s="422"/>
      <c r="RIQ138" s="422"/>
      <c r="RIR138" s="422"/>
      <c r="RIS138" s="422"/>
      <c r="RIT138" s="422"/>
      <c r="RIU138" s="422"/>
      <c r="RIV138" s="422"/>
      <c r="RIW138" s="422"/>
      <c r="RIX138" s="422"/>
      <c r="RIY138" s="422"/>
      <c r="RIZ138" s="422"/>
      <c r="RJA138" s="422"/>
      <c r="RJB138" s="422"/>
      <c r="RJC138" s="422"/>
      <c r="RJD138" s="422"/>
      <c r="RJE138" s="422"/>
      <c r="RJF138" s="422"/>
      <c r="RJG138" s="422"/>
      <c r="RJH138" s="422"/>
      <c r="RJI138" s="422"/>
      <c r="RJJ138" s="422"/>
      <c r="RJK138" s="422"/>
      <c r="RJL138" s="422"/>
      <c r="RJM138" s="422"/>
      <c r="RJN138" s="422"/>
      <c r="RJO138" s="422"/>
      <c r="RJP138" s="422"/>
      <c r="RJQ138" s="422"/>
      <c r="RJR138" s="422"/>
      <c r="RJS138" s="422"/>
      <c r="RJT138" s="422"/>
      <c r="RJU138" s="422"/>
      <c r="RJV138" s="422"/>
      <c r="RJW138" s="422"/>
      <c r="RJX138" s="422"/>
      <c r="RJY138" s="422"/>
      <c r="RJZ138" s="422"/>
      <c r="RKA138" s="422"/>
      <c r="RKB138" s="422"/>
      <c r="RKC138" s="422"/>
      <c r="RKD138" s="422"/>
      <c r="RKE138" s="422"/>
      <c r="RKF138" s="422"/>
      <c r="RKG138" s="422"/>
      <c r="RKH138" s="422"/>
      <c r="RKI138" s="422"/>
      <c r="RKJ138" s="422"/>
      <c r="RKK138" s="422"/>
      <c r="RKL138" s="422"/>
      <c r="RKM138" s="422"/>
      <c r="RKN138" s="422"/>
      <c r="RKO138" s="422"/>
      <c r="RKP138" s="422"/>
      <c r="RKQ138" s="422"/>
      <c r="RKR138" s="422"/>
      <c r="RKS138" s="422"/>
      <c r="RKT138" s="422"/>
      <c r="RKU138" s="422"/>
      <c r="RKV138" s="422"/>
      <c r="RKW138" s="422"/>
      <c r="RKX138" s="422"/>
      <c r="RKY138" s="422"/>
      <c r="RKZ138" s="422"/>
      <c r="RLA138" s="422"/>
      <c r="RLB138" s="422"/>
      <c r="RLC138" s="422"/>
      <c r="RLD138" s="422"/>
      <c r="RLE138" s="422"/>
      <c r="RLF138" s="422"/>
      <c r="RLG138" s="422"/>
      <c r="RLH138" s="422"/>
      <c r="RLI138" s="422"/>
      <c r="RLJ138" s="422"/>
      <c r="RLK138" s="422"/>
      <c r="RLL138" s="422"/>
      <c r="RLM138" s="422"/>
      <c r="RLN138" s="422"/>
      <c r="RLO138" s="422"/>
      <c r="RLP138" s="422"/>
      <c r="RLQ138" s="422"/>
      <c r="RLR138" s="422"/>
      <c r="RLS138" s="422"/>
      <c r="RLT138" s="422"/>
      <c r="RLU138" s="422"/>
      <c r="RLV138" s="422"/>
      <c r="RLW138" s="422"/>
      <c r="RLX138" s="422"/>
      <c r="RLY138" s="422"/>
      <c r="RLZ138" s="422"/>
      <c r="RMA138" s="422"/>
      <c r="RMB138" s="422"/>
      <c r="RMC138" s="422"/>
      <c r="RMD138" s="422"/>
      <c r="RME138" s="422"/>
      <c r="RMF138" s="422"/>
      <c r="RMG138" s="422"/>
      <c r="RMH138" s="422"/>
      <c r="RMI138" s="422"/>
      <c r="RMJ138" s="422"/>
      <c r="RMK138" s="422"/>
      <c r="RML138" s="422"/>
      <c r="RMM138" s="422"/>
      <c r="RMN138" s="422"/>
      <c r="RMO138" s="422"/>
      <c r="RMP138" s="422"/>
      <c r="RMQ138" s="422"/>
      <c r="RMR138" s="422"/>
      <c r="RMS138" s="422"/>
      <c r="RMT138" s="422"/>
      <c r="RMU138" s="422"/>
      <c r="RMV138" s="422"/>
      <c r="RMW138" s="422"/>
      <c r="RMX138" s="422"/>
      <c r="RMY138" s="422"/>
      <c r="RMZ138" s="422"/>
      <c r="RNA138" s="422"/>
      <c r="RNB138" s="422"/>
      <c r="RNC138" s="422"/>
      <c r="RND138" s="422"/>
      <c r="RNE138" s="422"/>
      <c r="RNF138" s="422"/>
      <c r="RNG138" s="422"/>
      <c r="RNH138" s="422"/>
      <c r="RNI138" s="422"/>
      <c r="RNJ138" s="422"/>
      <c r="RNK138" s="422"/>
      <c r="RNL138" s="422"/>
      <c r="RNM138" s="422"/>
      <c r="RNN138" s="422"/>
      <c r="RNO138" s="422"/>
      <c r="RNP138" s="422"/>
      <c r="RNQ138" s="422"/>
      <c r="RNR138" s="422"/>
      <c r="RNS138" s="422"/>
      <c r="RNT138" s="422"/>
      <c r="RNU138" s="422"/>
      <c r="RNV138" s="422"/>
      <c r="RNW138" s="422"/>
      <c r="RNX138" s="422"/>
      <c r="RNY138" s="422"/>
      <c r="RNZ138" s="422"/>
      <c r="ROA138" s="422"/>
      <c r="ROB138" s="422"/>
      <c r="ROC138" s="422"/>
      <c r="ROD138" s="422"/>
      <c r="ROE138" s="422"/>
      <c r="ROF138" s="422"/>
      <c r="ROG138" s="422"/>
      <c r="ROH138" s="422"/>
      <c r="ROI138" s="422"/>
      <c r="ROJ138" s="422"/>
      <c r="ROK138" s="422"/>
      <c r="ROL138" s="422"/>
      <c r="ROM138" s="422"/>
      <c r="RON138" s="422"/>
      <c r="ROO138" s="422"/>
      <c r="ROP138" s="422"/>
      <c r="ROQ138" s="422"/>
      <c r="ROR138" s="422"/>
      <c r="ROS138" s="422"/>
      <c r="ROT138" s="422"/>
      <c r="ROU138" s="422"/>
      <c r="ROV138" s="422"/>
      <c r="ROW138" s="422"/>
      <c r="ROX138" s="422"/>
      <c r="ROY138" s="422"/>
      <c r="ROZ138" s="422"/>
      <c r="RPA138" s="422"/>
      <c r="RPB138" s="422"/>
      <c r="RPC138" s="422"/>
      <c r="RPD138" s="422"/>
      <c r="RPE138" s="422"/>
      <c r="RPF138" s="422"/>
      <c r="RPG138" s="422"/>
      <c r="RPH138" s="422"/>
      <c r="RPI138" s="422"/>
      <c r="RPJ138" s="422"/>
      <c r="RPK138" s="422"/>
      <c r="RPL138" s="422"/>
      <c r="RPM138" s="422"/>
      <c r="RPN138" s="422"/>
      <c r="RPO138" s="422"/>
      <c r="RPP138" s="422"/>
      <c r="RPQ138" s="422"/>
      <c r="RPR138" s="422"/>
      <c r="RPS138" s="422"/>
      <c r="RPT138" s="422"/>
      <c r="RPU138" s="422"/>
      <c r="RPV138" s="422"/>
      <c r="RPW138" s="422"/>
      <c r="RPX138" s="422"/>
      <c r="RPY138" s="422"/>
      <c r="RPZ138" s="422"/>
      <c r="RQA138" s="422"/>
      <c r="RQB138" s="422"/>
      <c r="RQC138" s="422"/>
      <c r="RQD138" s="422"/>
      <c r="RQE138" s="422"/>
      <c r="RQF138" s="422"/>
      <c r="RQG138" s="422"/>
      <c r="RQH138" s="422"/>
      <c r="RQI138" s="422"/>
      <c r="RQJ138" s="422"/>
      <c r="RQK138" s="422"/>
      <c r="RQL138" s="422"/>
      <c r="RQM138" s="422"/>
      <c r="RQN138" s="422"/>
      <c r="RQO138" s="422"/>
      <c r="RQP138" s="422"/>
      <c r="RQQ138" s="422"/>
      <c r="RQR138" s="422"/>
      <c r="RQS138" s="422"/>
      <c r="RQT138" s="422"/>
      <c r="RQU138" s="422"/>
      <c r="RQV138" s="422"/>
      <c r="RQW138" s="422"/>
      <c r="RQX138" s="422"/>
      <c r="RQY138" s="422"/>
      <c r="RQZ138" s="422"/>
      <c r="RRA138" s="422"/>
      <c r="RRB138" s="422"/>
      <c r="RRC138" s="422"/>
      <c r="RRD138" s="422"/>
      <c r="RRE138" s="422"/>
      <c r="RRF138" s="422"/>
      <c r="RRG138" s="422"/>
      <c r="RRH138" s="422"/>
      <c r="RRI138" s="422"/>
      <c r="RRJ138" s="422"/>
      <c r="RRK138" s="422"/>
      <c r="RRL138" s="422"/>
      <c r="RRM138" s="422"/>
      <c r="RRN138" s="422"/>
      <c r="RRO138" s="422"/>
      <c r="RRP138" s="422"/>
      <c r="RRQ138" s="422"/>
      <c r="RRR138" s="422"/>
      <c r="RRS138" s="422"/>
      <c r="RRT138" s="422"/>
      <c r="RRU138" s="422"/>
      <c r="RRV138" s="422"/>
      <c r="RRW138" s="422"/>
      <c r="RRX138" s="422"/>
      <c r="RRY138" s="422"/>
      <c r="RRZ138" s="422"/>
      <c r="RSA138" s="422"/>
      <c r="RSB138" s="422"/>
      <c r="RSC138" s="422"/>
      <c r="RSD138" s="422"/>
      <c r="RSE138" s="422"/>
      <c r="RSF138" s="422"/>
      <c r="RSG138" s="422"/>
      <c r="RSH138" s="422"/>
      <c r="RSI138" s="422"/>
      <c r="RSJ138" s="422"/>
      <c r="RSK138" s="422"/>
      <c r="RSL138" s="422"/>
      <c r="RSM138" s="422"/>
      <c r="RSN138" s="422"/>
      <c r="RSO138" s="422"/>
      <c r="RSP138" s="422"/>
      <c r="RSQ138" s="422"/>
      <c r="RSR138" s="422"/>
      <c r="RSS138" s="422"/>
      <c r="RST138" s="422"/>
      <c r="RSU138" s="422"/>
      <c r="RSV138" s="422"/>
      <c r="RSW138" s="422"/>
      <c r="RSX138" s="422"/>
      <c r="RSY138" s="422"/>
      <c r="RSZ138" s="422"/>
      <c r="RTA138" s="422"/>
      <c r="RTB138" s="422"/>
      <c r="RTC138" s="422"/>
      <c r="RTD138" s="422"/>
      <c r="RTE138" s="422"/>
      <c r="RTF138" s="422"/>
      <c r="RTG138" s="422"/>
      <c r="RTH138" s="422"/>
      <c r="RTI138" s="422"/>
      <c r="RTJ138" s="422"/>
      <c r="RTK138" s="422"/>
      <c r="RTL138" s="422"/>
      <c r="RTM138" s="422"/>
      <c r="RTN138" s="422"/>
      <c r="RTO138" s="422"/>
      <c r="RTP138" s="422"/>
      <c r="RTQ138" s="422"/>
      <c r="RTR138" s="422"/>
      <c r="RTS138" s="422"/>
      <c r="RTT138" s="422"/>
      <c r="RTU138" s="422"/>
      <c r="RTV138" s="422"/>
      <c r="RTW138" s="422"/>
      <c r="RTX138" s="422"/>
      <c r="RTY138" s="422"/>
      <c r="RTZ138" s="422"/>
      <c r="RUA138" s="422"/>
      <c r="RUB138" s="422"/>
      <c r="RUC138" s="422"/>
      <c r="RUD138" s="422"/>
      <c r="RUE138" s="422"/>
      <c r="RUF138" s="422"/>
      <c r="RUG138" s="422"/>
      <c r="RUH138" s="422"/>
      <c r="RUI138" s="422"/>
      <c r="RUJ138" s="422"/>
      <c r="RUK138" s="422"/>
      <c r="RUL138" s="422"/>
      <c r="RUM138" s="422"/>
      <c r="RUN138" s="422"/>
      <c r="RUO138" s="422"/>
      <c r="RUP138" s="422"/>
      <c r="RUQ138" s="422"/>
      <c r="RUR138" s="422"/>
      <c r="RUS138" s="422"/>
      <c r="RUT138" s="422"/>
      <c r="RUU138" s="422"/>
      <c r="RUV138" s="422"/>
      <c r="RUW138" s="422"/>
      <c r="RUX138" s="422"/>
      <c r="RUY138" s="422"/>
      <c r="RUZ138" s="422"/>
      <c r="RVA138" s="422"/>
      <c r="RVB138" s="422"/>
      <c r="RVC138" s="422"/>
      <c r="RVD138" s="422"/>
      <c r="RVE138" s="422"/>
      <c r="RVF138" s="422"/>
      <c r="RVG138" s="422"/>
      <c r="RVH138" s="422"/>
      <c r="RVI138" s="422"/>
      <c r="RVJ138" s="422"/>
      <c r="RVK138" s="422"/>
      <c r="RVL138" s="422"/>
      <c r="RVM138" s="422"/>
      <c r="RVN138" s="422"/>
      <c r="RVO138" s="422"/>
      <c r="RVP138" s="422"/>
      <c r="RVQ138" s="422"/>
      <c r="RVR138" s="422"/>
      <c r="RVS138" s="422"/>
      <c r="RVT138" s="422"/>
      <c r="RVU138" s="422"/>
      <c r="RVV138" s="422"/>
      <c r="RVW138" s="422"/>
      <c r="RVX138" s="422"/>
      <c r="RVY138" s="422"/>
      <c r="RVZ138" s="422"/>
      <c r="RWA138" s="422"/>
      <c r="RWB138" s="422"/>
      <c r="RWC138" s="422"/>
      <c r="RWD138" s="422"/>
      <c r="RWE138" s="422"/>
      <c r="RWF138" s="422"/>
      <c r="RWG138" s="422"/>
      <c r="RWH138" s="422"/>
      <c r="RWI138" s="422"/>
      <c r="RWJ138" s="422"/>
      <c r="RWK138" s="422"/>
      <c r="RWL138" s="422"/>
      <c r="RWM138" s="422"/>
      <c r="RWN138" s="422"/>
      <c r="RWO138" s="422"/>
      <c r="RWP138" s="422"/>
      <c r="RWQ138" s="422"/>
      <c r="RWR138" s="422"/>
      <c r="RWS138" s="422"/>
      <c r="RWT138" s="422"/>
      <c r="RWU138" s="422"/>
      <c r="RWV138" s="422"/>
      <c r="RWW138" s="422"/>
      <c r="RWX138" s="422"/>
      <c r="RWY138" s="422"/>
      <c r="RWZ138" s="422"/>
      <c r="RXA138" s="422"/>
      <c r="RXB138" s="422"/>
      <c r="RXC138" s="422"/>
      <c r="RXD138" s="422"/>
      <c r="RXE138" s="422"/>
      <c r="RXF138" s="422"/>
      <c r="RXG138" s="422"/>
      <c r="RXH138" s="422"/>
      <c r="RXI138" s="422"/>
      <c r="RXJ138" s="422"/>
      <c r="RXK138" s="422"/>
      <c r="RXL138" s="422"/>
      <c r="RXM138" s="422"/>
      <c r="RXN138" s="422"/>
      <c r="RXO138" s="422"/>
      <c r="RXP138" s="422"/>
      <c r="RXQ138" s="422"/>
      <c r="RXR138" s="422"/>
      <c r="RXS138" s="422"/>
      <c r="RXT138" s="422"/>
      <c r="RXU138" s="422"/>
      <c r="RXV138" s="422"/>
      <c r="RXW138" s="422"/>
      <c r="RXX138" s="422"/>
      <c r="RXY138" s="422"/>
      <c r="RXZ138" s="422"/>
      <c r="RYA138" s="422"/>
      <c r="RYB138" s="422"/>
      <c r="RYC138" s="422"/>
      <c r="RYD138" s="422"/>
      <c r="RYE138" s="422"/>
      <c r="RYF138" s="422"/>
      <c r="RYG138" s="422"/>
      <c r="RYH138" s="422"/>
      <c r="RYI138" s="422"/>
      <c r="RYJ138" s="422"/>
      <c r="RYK138" s="422"/>
      <c r="RYL138" s="422"/>
      <c r="RYM138" s="422"/>
      <c r="RYN138" s="422"/>
      <c r="RYO138" s="422"/>
      <c r="RYP138" s="422"/>
      <c r="RYQ138" s="422"/>
      <c r="RYR138" s="422"/>
      <c r="RYS138" s="422"/>
      <c r="RYT138" s="422"/>
      <c r="RYU138" s="422"/>
      <c r="RYV138" s="422"/>
      <c r="RYW138" s="422"/>
      <c r="RYX138" s="422"/>
      <c r="RYY138" s="422"/>
      <c r="RYZ138" s="422"/>
      <c r="RZA138" s="422"/>
      <c r="RZB138" s="422"/>
      <c r="RZC138" s="422"/>
      <c r="RZD138" s="422"/>
      <c r="RZE138" s="422"/>
      <c r="RZF138" s="422"/>
      <c r="RZG138" s="422"/>
      <c r="RZH138" s="422"/>
      <c r="RZI138" s="422"/>
      <c r="RZJ138" s="422"/>
      <c r="RZK138" s="422"/>
      <c r="RZL138" s="422"/>
      <c r="RZM138" s="422"/>
      <c r="RZN138" s="422"/>
      <c r="RZO138" s="422"/>
      <c r="RZP138" s="422"/>
      <c r="RZQ138" s="422"/>
      <c r="RZR138" s="422"/>
      <c r="RZS138" s="422"/>
      <c r="RZT138" s="422"/>
      <c r="RZU138" s="422"/>
      <c r="RZV138" s="422"/>
      <c r="RZW138" s="422"/>
      <c r="RZX138" s="422"/>
      <c r="RZY138" s="422"/>
      <c r="RZZ138" s="422"/>
      <c r="SAA138" s="422"/>
      <c r="SAB138" s="422"/>
      <c r="SAC138" s="422"/>
      <c r="SAD138" s="422"/>
      <c r="SAE138" s="422"/>
      <c r="SAF138" s="422"/>
      <c r="SAG138" s="422"/>
      <c r="SAH138" s="422"/>
      <c r="SAI138" s="422"/>
      <c r="SAJ138" s="422"/>
      <c r="SAK138" s="422"/>
      <c r="SAL138" s="422"/>
      <c r="SAM138" s="422"/>
      <c r="SAN138" s="422"/>
      <c r="SAO138" s="422"/>
      <c r="SAP138" s="422"/>
      <c r="SAQ138" s="422"/>
      <c r="SAR138" s="422"/>
      <c r="SAS138" s="422"/>
      <c r="SAT138" s="422"/>
      <c r="SAU138" s="422"/>
      <c r="SAV138" s="422"/>
      <c r="SAW138" s="422"/>
      <c r="SAX138" s="422"/>
      <c r="SAY138" s="422"/>
      <c r="SAZ138" s="422"/>
      <c r="SBA138" s="422"/>
      <c r="SBB138" s="422"/>
      <c r="SBC138" s="422"/>
      <c r="SBD138" s="422"/>
      <c r="SBE138" s="422"/>
      <c r="SBF138" s="422"/>
      <c r="SBG138" s="422"/>
      <c r="SBH138" s="422"/>
      <c r="SBI138" s="422"/>
      <c r="SBJ138" s="422"/>
      <c r="SBK138" s="422"/>
      <c r="SBL138" s="422"/>
      <c r="SBM138" s="422"/>
      <c r="SBN138" s="422"/>
      <c r="SBO138" s="422"/>
      <c r="SBP138" s="422"/>
      <c r="SBQ138" s="422"/>
      <c r="SBR138" s="422"/>
      <c r="SBS138" s="422"/>
      <c r="SBT138" s="422"/>
      <c r="SBU138" s="422"/>
      <c r="SBV138" s="422"/>
      <c r="SBW138" s="422"/>
      <c r="SBX138" s="422"/>
      <c r="SBY138" s="422"/>
      <c r="SBZ138" s="422"/>
      <c r="SCA138" s="422"/>
      <c r="SCB138" s="422"/>
      <c r="SCC138" s="422"/>
      <c r="SCD138" s="422"/>
      <c r="SCE138" s="422"/>
      <c r="SCF138" s="422"/>
      <c r="SCG138" s="422"/>
      <c r="SCH138" s="422"/>
      <c r="SCI138" s="422"/>
      <c r="SCJ138" s="422"/>
      <c r="SCK138" s="422"/>
      <c r="SCL138" s="422"/>
      <c r="SCM138" s="422"/>
      <c r="SCN138" s="422"/>
      <c r="SCO138" s="422"/>
      <c r="SCP138" s="422"/>
      <c r="SCQ138" s="422"/>
      <c r="SCR138" s="422"/>
      <c r="SCS138" s="422"/>
      <c r="SCT138" s="422"/>
      <c r="SCU138" s="422"/>
      <c r="SCV138" s="422"/>
      <c r="SCW138" s="422"/>
      <c r="SCX138" s="422"/>
      <c r="SCY138" s="422"/>
      <c r="SCZ138" s="422"/>
      <c r="SDA138" s="422"/>
      <c r="SDB138" s="422"/>
      <c r="SDC138" s="422"/>
      <c r="SDD138" s="422"/>
      <c r="SDE138" s="422"/>
      <c r="SDF138" s="422"/>
      <c r="SDG138" s="422"/>
      <c r="SDH138" s="422"/>
      <c r="SDI138" s="422"/>
      <c r="SDJ138" s="422"/>
      <c r="SDK138" s="422"/>
      <c r="SDL138" s="422"/>
      <c r="SDM138" s="422"/>
      <c r="SDN138" s="422"/>
      <c r="SDO138" s="422"/>
      <c r="SDP138" s="422"/>
      <c r="SDQ138" s="422"/>
      <c r="SDR138" s="422"/>
      <c r="SDS138" s="422"/>
      <c r="SDT138" s="422"/>
      <c r="SDU138" s="422"/>
      <c r="SDV138" s="422"/>
      <c r="SDW138" s="422"/>
      <c r="SDX138" s="422"/>
      <c r="SDY138" s="422"/>
      <c r="SDZ138" s="422"/>
      <c r="SEA138" s="422"/>
      <c r="SEB138" s="422"/>
      <c r="SEC138" s="422"/>
      <c r="SED138" s="422"/>
      <c r="SEE138" s="422"/>
      <c r="SEF138" s="422"/>
      <c r="SEG138" s="422"/>
      <c r="SEH138" s="422"/>
      <c r="SEI138" s="422"/>
      <c r="SEJ138" s="422"/>
      <c r="SEK138" s="422"/>
      <c r="SEL138" s="422"/>
      <c r="SEM138" s="422"/>
      <c r="SEN138" s="422"/>
      <c r="SEO138" s="422"/>
      <c r="SEP138" s="422"/>
      <c r="SEQ138" s="422"/>
      <c r="SER138" s="422"/>
      <c r="SES138" s="422"/>
      <c r="SET138" s="422"/>
      <c r="SEU138" s="422"/>
      <c r="SEV138" s="422"/>
      <c r="SEW138" s="422"/>
      <c r="SEX138" s="422"/>
      <c r="SEY138" s="422"/>
      <c r="SEZ138" s="422"/>
      <c r="SFA138" s="422"/>
      <c r="SFB138" s="422"/>
      <c r="SFC138" s="422"/>
      <c r="SFD138" s="422"/>
      <c r="SFE138" s="422"/>
      <c r="SFF138" s="422"/>
      <c r="SFG138" s="422"/>
      <c r="SFH138" s="422"/>
      <c r="SFI138" s="422"/>
      <c r="SFJ138" s="422"/>
      <c r="SFK138" s="422"/>
      <c r="SFL138" s="422"/>
      <c r="SFM138" s="422"/>
      <c r="SFN138" s="422"/>
      <c r="SFO138" s="422"/>
      <c r="SFP138" s="422"/>
      <c r="SFQ138" s="422"/>
      <c r="SFR138" s="422"/>
      <c r="SFS138" s="422"/>
      <c r="SFT138" s="422"/>
      <c r="SFU138" s="422"/>
      <c r="SFV138" s="422"/>
      <c r="SFW138" s="422"/>
      <c r="SFX138" s="422"/>
      <c r="SFY138" s="422"/>
      <c r="SFZ138" s="422"/>
      <c r="SGA138" s="422"/>
      <c r="SGB138" s="422"/>
      <c r="SGC138" s="422"/>
      <c r="SGD138" s="422"/>
      <c r="SGE138" s="422"/>
      <c r="SGF138" s="422"/>
      <c r="SGG138" s="422"/>
      <c r="SGH138" s="422"/>
      <c r="SGI138" s="422"/>
      <c r="SGJ138" s="422"/>
      <c r="SGK138" s="422"/>
      <c r="SGL138" s="422"/>
      <c r="SGM138" s="422"/>
      <c r="SGN138" s="422"/>
      <c r="SGO138" s="422"/>
      <c r="SGP138" s="422"/>
      <c r="SGQ138" s="422"/>
      <c r="SGR138" s="422"/>
      <c r="SGS138" s="422"/>
      <c r="SGT138" s="422"/>
      <c r="SGU138" s="422"/>
      <c r="SGV138" s="422"/>
      <c r="SGW138" s="422"/>
      <c r="SGX138" s="422"/>
      <c r="SGY138" s="422"/>
      <c r="SGZ138" s="422"/>
      <c r="SHA138" s="422"/>
      <c r="SHB138" s="422"/>
      <c r="SHC138" s="422"/>
      <c r="SHD138" s="422"/>
      <c r="SHE138" s="422"/>
      <c r="SHF138" s="422"/>
      <c r="SHG138" s="422"/>
      <c r="SHH138" s="422"/>
      <c r="SHI138" s="422"/>
      <c r="SHJ138" s="422"/>
      <c r="SHK138" s="422"/>
      <c r="SHL138" s="422"/>
      <c r="SHM138" s="422"/>
      <c r="SHN138" s="422"/>
      <c r="SHO138" s="422"/>
      <c r="SHP138" s="422"/>
      <c r="SHQ138" s="422"/>
      <c r="SHR138" s="422"/>
      <c r="SHS138" s="422"/>
      <c r="SHT138" s="422"/>
      <c r="SHU138" s="422"/>
      <c r="SHV138" s="422"/>
      <c r="SHW138" s="422"/>
      <c r="SHX138" s="422"/>
      <c r="SHY138" s="422"/>
      <c r="SHZ138" s="422"/>
      <c r="SIA138" s="422"/>
      <c r="SIB138" s="422"/>
      <c r="SIC138" s="422"/>
      <c r="SID138" s="422"/>
      <c r="SIE138" s="422"/>
      <c r="SIF138" s="422"/>
      <c r="SIG138" s="422"/>
      <c r="SIH138" s="422"/>
      <c r="SII138" s="422"/>
      <c r="SIJ138" s="422"/>
      <c r="SIK138" s="422"/>
      <c r="SIL138" s="422"/>
      <c r="SIM138" s="422"/>
      <c r="SIN138" s="422"/>
      <c r="SIO138" s="422"/>
      <c r="SIP138" s="422"/>
      <c r="SIQ138" s="422"/>
      <c r="SIR138" s="422"/>
      <c r="SIS138" s="422"/>
      <c r="SIT138" s="422"/>
      <c r="SIU138" s="422"/>
      <c r="SIV138" s="422"/>
      <c r="SIW138" s="422"/>
      <c r="SIX138" s="422"/>
      <c r="SIY138" s="422"/>
      <c r="SIZ138" s="422"/>
      <c r="SJA138" s="422"/>
      <c r="SJB138" s="422"/>
      <c r="SJC138" s="422"/>
      <c r="SJD138" s="422"/>
      <c r="SJE138" s="422"/>
      <c r="SJF138" s="422"/>
      <c r="SJG138" s="422"/>
      <c r="SJH138" s="422"/>
      <c r="SJI138" s="422"/>
      <c r="SJJ138" s="422"/>
      <c r="SJK138" s="422"/>
      <c r="SJL138" s="422"/>
      <c r="SJM138" s="422"/>
      <c r="SJN138" s="422"/>
      <c r="SJO138" s="422"/>
      <c r="SJP138" s="422"/>
      <c r="SJQ138" s="422"/>
      <c r="SJR138" s="422"/>
      <c r="SJS138" s="422"/>
      <c r="SJT138" s="422"/>
      <c r="SJU138" s="422"/>
      <c r="SJV138" s="422"/>
      <c r="SJW138" s="422"/>
      <c r="SJX138" s="422"/>
      <c r="SJY138" s="422"/>
      <c r="SJZ138" s="422"/>
      <c r="SKA138" s="422"/>
      <c r="SKB138" s="422"/>
      <c r="SKC138" s="422"/>
      <c r="SKD138" s="422"/>
      <c r="SKE138" s="422"/>
      <c r="SKF138" s="422"/>
      <c r="SKG138" s="422"/>
      <c r="SKH138" s="422"/>
      <c r="SKI138" s="422"/>
      <c r="SKJ138" s="422"/>
      <c r="SKK138" s="422"/>
      <c r="SKL138" s="422"/>
      <c r="SKM138" s="422"/>
      <c r="SKN138" s="422"/>
      <c r="SKO138" s="422"/>
      <c r="SKP138" s="422"/>
      <c r="SKQ138" s="422"/>
      <c r="SKR138" s="422"/>
      <c r="SKS138" s="422"/>
      <c r="SKT138" s="422"/>
      <c r="SKU138" s="422"/>
      <c r="SKV138" s="422"/>
      <c r="SKW138" s="422"/>
      <c r="SKX138" s="422"/>
      <c r="SKY138" s="422"/>
      <c r="SKZ138" s="422"/>
      <c r="SLA138" s="422"/>
      <c r="SLB138" s="422"/>
      <c r="SLC138" s="422"/>
      <c r="SLD138" s="422"/>
      <c r="SLE138" s="422"/>
      <c r="SLF138" s="422"/>
      <c r="SLG138" s="422"/>
      <c r="SLH138" s="422"/>
      <c r="SLI138" s="422"/>
      <c r="SLJ138" s="422"/>
      <c r="SLK138" s="422"/>
      <c r="SLL138" s="422"/>
      <c r="SLM138" s="422"/>
      <c r="SLN138" s="422"/>
      <c r="SLO138" s="422"/>
      <c r="SLP138" s="422"/>
      <c r="SLQ138" s="422"/>
      <c r="SLR138" s="422"/>
      <c r="SLS138" s="422"/>
      <c r="SLT138" s="422"/>
      <c r="SLU138" s="422"/>
      <c r="SLV138" s="422"/>
      <c r="SLW138" s="422"/>
      <c r="SLX138" s="422"/>
      <c r="SLY138" s="422"/>
      <c r="SLZ138" s="422"/>
      <c r="SMA138" s="422"/>
      <c r="SMB138" s="422"/>
      <c r="SMC138" s="422"/>
      <c r="SMD138" s="422"/>
      <c r="SME138" s="422"/>
      <c r="SMF138" s="422"/>
      <c r="SMG138" s="422"/>
      <c r="SMH138" s="422"/>
      <c r="SMI138" s="422"/>
      <c r="SMJ138" s="422"/>
      <c r="SMK138" s="422"/>
      <c r="SML138" s="422"/>
      <c r="SMM138" s="422"/>
      <c r="SMN138" s="422"/>
      <c r="SMO138" s="422"/>
      <c r="SMP138" s="422"/>
      <c r="SMQ138" s="422"/>
      <c r="SMR138" s="422"/>
      <c r="SMS138" s="422"/>
      <c r="SMT138" s="422"/>
      <c r="SMU138" s="422"/>
      <c r="SMV138" s="422"/>
      <c r="SMW138" s="422"/>
      <c r="SMX138" s="422"/>
      <c r="SMY138" s="422"/>
      <c r="SMZ138" s="422"/>
      <c r="SNA138" s="422"/>
      <c r="SNB138" s="422"/>
      <c r="SNC138" s="422"/>
      <c r="SND138" s="422"/>
      <c r="SNE138" s="422"/>
      <c r="SNF138" s="422"/>
      <c r="SNG138" s="422"/>
      <c r="SNH138" s="422"/>
      <c r="SNI138" s="422"/>
      <c r="SNJ138" s="422"/>
      <c r="SNK138" s="422"/>
      <c r="SNL138" s="422"/>
      <c r="SNM138" s="422"/>
      <c r="SNN138" s="422"/>
      <c r="SNO138" s="422"/>
      <c r="SNP138" s="422"/>
      <c r="SNQ138" s="422"/>
      <c r="SNR138" s="422"/>
      <c r="SNS138" s="422"/>
      <c r="SNT138" s="422"/>
      <c r="SNU138" s="422"/>
      <c r="SNV138" s="422"/>
      <c r="SNW138" s="422"/>
      <c r="SNX138" s="422"/>
      <c r="SNY138" s="422"/>
      <c r="SNZ138" s="422"/>
      <c r="SOA138" s="422"/>
      <c r="SOB138" s="422"/>
      <c r="SOC138" s="422"/>
      <c r="SOD138" s="422"/>
      <c r="SOE138" s="422"/>
      <c r="SOF138" s="422"/>
      <c r="SOG138" s="422"/>
      <c r="SOH138" s="422"/>
      <c r="SOI138" s="422"/>
      <c r="SOJ138" s="422"/>
      <c r="SOK138" s="422"/>
      <c r="SOL138" s="422"/>
      <c r="SOM138" s="422"/>
      <c r="SON138" s="422"/>
      <c r="SOO138" s="422"/>
      <c r="SOP138" s="422"/>
      <c r="SOQ138" s="422"/>
      <c r="SOR138" s="422"/>
      <c r="SOS138" s="422"/>
      <c r="SOT138" s="422"/>
      <c r="SOU138" s="422"/>
      <c r="SOV138" s="422"/>
      <c r="SOW138" s="422"/>
      <c r="SOX138" s="422"/>
      <c r="SOY138" s="422"/>
      <c r="SOZ138" s="422"/>
      <c r="SPA138" s="422"/>
      <c r="SPB138" s="422"/>
      <c r="SPC138" s="422"/>
      <c r="SPD138" s="422"/>
      <c r="SPE138" s="422"/>
      <c r="SPF138" s="422"/>
      <c r="SPG138" s="422"/>
      <c r="SPH138" s="422"/>
      <c r="SPI138" s="422"/>
      <c r="SPJ138" s="422"/>
      <c r="SPK138" s="422"/>
      <c r="SPL138" s="422"/>
      <c r="SPM138" s="422"/>
      <c r="SPN138" s="422"/>
      <c r="SPO138" s="422"/>
      <c r="SPP138" s="422"/>
      <c r="SPQ138" s="422"/>
      <c r="SPR138" s="422"/>
      <c r="SPS138" s="422"/>
      <c r="SPT138" s="422"/>
      <c r="SPU138" s="422"/>
      <c r="SPV138" s="422"/>
      <c r="SPW138" s="422"/>
      <c r="SPX138" s="422"/>
      <c r="SPY138" s="422"/>
      <c r="SPZ138" s="422"/>
      <c r="SQA138" s="422"/>
      <c r="SQB138" s="422"/>
      <c r="SQC138" s="422"/>
      <c r="SQD138" s="422"/>
      <c r="SQE138" s="422"/>
      <c r="SQF138" s="422"/>
      <c r="SQG138" s="422"/>
      <c r="SQH138" s="422"/>
      <c r="SQI138" s="422"/>
      <c r="SQJ138" s="422"/>
      <c r="SQK138" s="422"/>
      <c r="SQL138" s="422"/>
      <c r="SQM138" s="422"/>
      <c r="SQN138" s="422"/>
      <c r="SQO138" s="422"/>
      <c r="SQP138" s="422"/>
      <c r="SQQ138" s="422"/>
      <c r="SQR138" s="422"/>
      <c r="SQS138" s="422"/>
      <c r="SQT138" s="422"/>
      <c r="SQU138" s="422"/>
      <c r="SQV138" s="422"/>
      <c r="SQW138" s="422"/>
      <c r="SQX138" s="422"/>
      <c r="SQY138" s="422"/>
      <c r="SQZ138" s="422"/>
      <c r="SRA138" s="422"/>
      <c r="SRB138" s="422"/>
      <c r="SRC138" s="422"/>
      <c r="SRD138" s="422"/>
      <c r="SRE138" s="422"/>
      <c r="SRF138" s="422"/>
      <c r="SRG138" s="422"/>
      <c r="SRH138" s="422"/>
      <c r="SRI138" s="422"/>
      <c r="SRJ138" s="422"/>
      <c r="SRK138" s="422"/>
      <c r="SRL138" s="422"/>
      <c r="SRM138" s="422"/>
      <c r="SRN138" s="422"/>
      <c r="SRO138" s="422"/>
      <c r="SRP138" s="422"/>
      <c r="SRQ138" s="422"/>
      <c r="SRR138" s="422"/>
      <c r="SRS138" s="422"/>
      <c r="SRT138" s="422"/>
      <c r="SRU138" s="422"/>
      <c r="SRV138" s="422"/>
      <c r="SRW138" s="422"/>
      <c r="SRX138" s="422"/>
      <c r="SRY138" s="422"/>
      <c r="SRZ138" s="422"/>
      <c r="SSA138" s="422"/>
      <c r="SSB138" s="422"/>
      <c r="SSC138" s="422"/>
      <c r="SSD138" s="422"/>
      <c r="SSE138" s="422"/>
      <c r="SSF138" s="422"/>
      <c r="SSG138" s="422"/>
      <c r="SSH138" s="422"/>
      <c r="SSI138" s="422"/>
      <c r="SSJ138" s="422"/>
      <c r="SSK138" s="422"/>
      <c r="SSL138" s="422"/>
      <c r="SSM138" s="422"/>
      <c r="SSN138" s="422"/>
      <c r="SSO138" s="422"/>
      <c r="SSP138" s="422"/>
      <c r="SSQ138" s="422"/>
      <c r="SSR138" s="422"/>
      <c r="SSS138" s="422"/>
      <c r="SST138" s="422"/>
      <c r="SSU138" s="422"/>
      <c r="SSV138" s="422"/>
      <c r="SSW138" s="422"/>
      <c r="SSX138" s="422"/>
      <c r="SSY138" s="422"/>
      <c r="SSZ138" s="422"/>
      <c r="STA138" s="422"/>
      <c r="STB138" s="422"/>
      <c r="STC138" s="422"/>
      <c r="STD138" s="422"/>
      <c r="STE138" s="422"/>
      <c r="STF138" s="422"/>
      <c r="STG138" s="422"/>
      <c r="STH138" s="422"/>
      <c r="STI138" s="422"/>
      <c r="STJ138" s="422"/>
      <c r="STK138" s="422"/>
      <c r="STL138" s="422"/>
      <c r="STM138" s="422"/>
      <c r="STN138" s="422"/>
      <c r="STO138" s="422"/>
      <c r="STP138" s="422"/>
      <c r="STQ138" s="422"/>
      <c r="STR138" s="422"/>
      <c r="STS138" s="422"/>
      <c r="STT138" s="422"/>
      <c r="STU138" s="422"/>
      <c r="STV138" s="422"/>
      <c r="STW138" s="422"/>
      <c r="STX138" s="422"/>
      <c r="STY138" s="422"/>
      <c r="STZ138" s="422"/>
      <c r="SUA138" s="422"/>
      <c r="SUB138" s="422"/>
      <c r="SUC138" s="422"/>
      <c r="SUD138" s="422"/>
      <c r="SUE138" s="422"/>
      <c r="SUF138" s="422"/>
      <c r="SUG138" s="422"/>
      <c r="SUH138" s="422"/>
      <c r="SUI138" s="422"/>
      <c r="SUJ138" s="422"/>
      <c r="SUK138" s="422"/>
      <c r="SUL138" s="422"/>
      <c r="SUM138" s="422"/>
      <c r="SUN138" s="422"/>
      <c r="SUO138" s="422"/>
      <c r="SUP138" s="422"/>
      <c r="SUQ138" s="422"/>
      <c r="SUR138" s="422"/>
      <c r="SUS138" s="422"/>
      <c r="SUT138" s="422"/>
      <c r="SUU138" s="422"/>
      <c r="SUV138" s="422"/>
      <c r="SUW138" s="422"/>
      <c r="SUX138" s="422"/>
      <c r="SUY138" s="422"/>
      <c r="SUZ138" s="422"/>
      <c r="SVA138" s="422"/>
      <c r="SVB138" s="422"/>
      <c r="SVC138" s="422"/>
      <c r="SVD138" s="422"/>
      <c r="SVE138" s="422"/>
      <c r="SVF138" s="422"/>
      <c r="SVG138" s="422"/>
      <c r="SVH138" s="422"/>
      <c r="SVI138" s="422"/>
      <c r="SVJ138" s="422"/>
      <c r="SVK138" s="422"/>
      <c r="SVL138" s="422"/>
      <c r="SVM138" s="422"/>
      <c r="SVN138" s="422"/>
      <c r="SVO138" s="422"/>
      <c r="SVP138" s="422"/>
      <c r="SVQ138" s="422"/>
      <c r="SVR138" s="422"/>
      <c r="SVS138" s="422"/>
      <c r="SVT138" s="422"/>
      <c r="SVU138" s="422"/>
      <c r="SVV138" s="422"/>
      <c r="SVW138" s="422"/>
      <c r="SVX138" s="422"/>
      <c r="SVY138" s="422"/>
      <c r="SVZ138" s="422"/>
      <c r="SWA138" s="422"/>
      <c r="SWB138" s="422"/>
      <c r="SWC138" s="422"/>
      <c r="SWD138" s="422"/>
      <c r="SWE138" s="422"/>
      <c r="SWF138" s="422"/>
      <c r="SWG138" s="422"/>
      <c r="SWH138" s="422"/>
      <c r="SWI138" s="422"/>
      <c r="SWJ138" s="422"/>
      <c r="SWK138" s="422"/>
      <c r="SWL138" s="422"/>
      <c r="SWM138" s="422"/>
      <c r="SWN138" s="422"/>
      <c r="SWO138" s="422"/>
      <c r="SWP138" s="422"/>
      <c r="SWQ138" s="422"/>
      <c r="SWR138" s="422"/>
      <c r="SWS138" s="422"/>
      <c r="SWT138" s="422"/>
      <c r="SWU138" s="422"/>
      <c r="SWV138" s="422"/>
      <c r="SWW138" s="422"/>
      <c r="SWX138" s="422"/>
      <c r="SWY138" s="422"/>
      <c r="SWZ138" s="422"/>
      <c r="SXA138" s="422"/>
      <c r="SXB138" s="422"/>
      <c r="SXC138" s="422"/>
      <c r="SXD138" s="422"/>
      <c r="SXE138" s="422"/>
      <c r="SXF138" s="422"/>
      <c r="SXG138" s="422"/>
      <c r="SXH138" s="422"/>
      <c r="SXI138" s="422"/>
      <c r="SXJ138" s="422"/>
      <c r="SXK138" s="422"/>
      <c r="SXL138" s="422"/>
      <c r="SXM138" s="422"/>
      <c r="SXN138" s="422"/>
      <c r="SXO138" s="422"/>
      <c r="SXP138" s="422"/>
      <c r="SXQ138" s="422"/>
      <c r="SXR138" s="422"/>
      <c r="SXS138" s="422"/>
      <c r="SXT138" s="422"/>
      <c r="SXU138" s="422"/>
      <c r="SXV138" s="422"/>
      <c r="SXW138" s="422"/>
      <c r="SXX138" s="422"/>
      <c r="SXY138" s="422"/>
      <c r="SXZ138" s="422"/>
      <c r="SYA138" s="422"/>
      <c r="SYB138" s="422"/>
      <c r="SYC138" s="422"/>
      <c r="SYD138" s="422"/>
      <c r="SYE138" s="422"/>
      <c r="SYF138" s="422"/>
      <c r="SYG138" s="422"/>
      <c r="SYH138" s="422"/>
      <c r="SYI138" s="422"/>
      <c r="SYJ138" s="422"/>
      <c r="SYK138" s="422"/>
      <c r="SYL138" s="422"/>
      <c r="SYM138" s="422"/>
      <c r="SYN138" s="422"/>
      <c r="SYO138" s="422"/>
      <c r="SYP138" s="422"/>
      <c r="SYQ138" s="422"/>
      <c r="SYR138" s="422"/>
      <c r="SYS138" s="422"/>
      <c r="SYT138" s="422"/>
      <c r="SYU138" s="422"/>
      <c r="SYV138" s="422"/>
      <c r="SYW138" s="422"/>
      <c r="SYX138" s="422"/>
      <c r="SYY138" s="422"/>
      <c r="SYZ138" s="422"/>
      <c r="SZA138" s="422"/>
      <c r="SZB138" s="422"/>
      <c r="SZC138" s="422"/>
      <c r="SZD138" s="422"/>
      <c r="SZE138" s="422"/>
      <c r="SZF138" s="422"/>
      <c r="SZG138" s="422"/>
      <c r="SZH138" s="422"/>
      <c r="SZI138" s="422"/>
      <c r="SZJ138" s="422"/>
      <c r="SZK138" s="422"/>
      <c r="SZL138" s="422"/>
      <c r="SZM138" s="422"/>
      <c r="SZN138" s="422"/>
      <c r="SZO138" s="422"/>
      <c r="SZP138" s="422"/>
      <c r="SZQ138" s="422"/>
      <c r="SZR138" s="422"/>
      <c r="SZS138" s="422"/>
      <c r="SZT138" s="422"/>
      <c r="SZU138" s="422"/>
      <c r="SZV138" s="422"/>
      <c r="SZW138" s="422"/>
      <c r="SZX138" s="422"/>
      <c r="SZY138" s="422"/>
      <c r="SZZ138" s="422"/>
      <c r="TAA138" s="422"/>
      <c r="TAB138" s="422"/>
      <c r="TAC138" s="422"/>
      <c r="TAD138" s="422"/>
      <c r="TAE138" s="422"/>
      <c r="TAF138" s="422"/>
      <c r="TAG138" s="422"/>
      <c r="TAH138" s="422"/>
      <c r="TAI138" s="422"/>
      <c r="TAJ138" s="422"/>
      <c r="TAK138" s="422"/>
      <c r="TAL138" s="422"/>
      <c r="TAM138" s="422"/>
      <c r="TAN138" s="422"/>
      <c r="TAO138" s="422"/>
      <c r="TAP138" s="422"/>
      <c r="TAQ138" s="422"/>
      <c r="TAR138" s="422"/>
      <c r="TAS138" s="422"/>
      <c r="TAT138" s="422"/>
      <c r="TAU138" s="422"/>
      <c r="TAV138" s="422"/>
      <c r="TAW138" s="422"/>
      <c r="TAX138" s="422"/>
      <c r="TAY138" s="422"/>
      <c r="TAZ138" s="422"/>
      <c r="TBA138" s="422"/>
      <c r="TBB138" s="422"/>
      <c r="TBC138" s="422"/>
      <c r="TBD138" s="422"/>
      <c r="TBE138" s="422"/>
      <c r="TBF138" s="422"/>
      <c r="TBG138" s="422"/>
      <c r="TBH138" s="422"/>
      <c r="TBI138" s="422"/>
      <c r="TBJ138" s="422"/>
      <c r="TBK138" s="422"/>
      <c r="TBL138" s="422"/>
      <c r="TBM138" s="422"/>
      <c r="TBN138" s="422"/>
      <c r="TBO138" s="422"/>
      <c r="TBP138" s="422"/>
      <c r="TBQ138" s="422"/>
      <c r="TBR138" s="422"/>
      <c r="TBS138" s="422"/>
      <c r="TBT138" s="422"/>
      <c r="TBU138" s="422"/>
      <c r="TBV138" s="422"/>
      <c r="TBW138" s="422"/>
      <c r="TBX138" s="422"/>
      <c r="TBY138" s="422"/>
      <c r="TBZ138" s="422"/>
      <c r="TCA138" s="422"/>
      <c r="TCB138" s="422"/>
      <c r="TCC138" s="422"/>
      <c r="TCD138" s="422"/>
      <c r="TCE138" s="422"/>
      <c r="TCF138" s="422"/>
      <c r="TCG138" s="422"/>
      <c r="TCH138" s="422"/>
      <c r="TCI138" s="422"/>
      <c r="TCJ138" s="422"/>
      <c r="TCK138" s="422"/>
      <c r="TCL138" s="422"/>
      <c r="TCM138" s="422"/>
      <c r="TCN138" s="422"/>
      <c r="TCO138" s="422"/>
      <c r="TCP138" s="422"/>
      <c r="TCQ138" s="422"/>
      <c r="TCR138" s="422"/>
      <c r="TCS138" s="422"/>
      <c r="TCT138" s="422"/>
      <c r="TCU138" s="422"/>
      <c r="TCV138" s="422"/>
      <c r="TCW138" s="422"/>
      <c r="TCX138" s="422"/>
      <c r="TCY138" s="422"/>
      <c r="TCZ138" s="422"/>
      <c r="TDA138" s="422"/>
      <c r="TDB138" s="422"/>
      <c r="TDC138" s="422"/>
      <c r="TDD138" s="422"/>
      <c r="TDE138" s="422"/>
      <c r="TDF138" s="422"/>
      <c r="TDG138" s="422"/>
      <c r="TDH138" s="422"/>
      <c r="TDI138" s="422"/>
      <c r="TDJ138" s="422"/>
      <c r="TDK138" s="422"/>
      <c r="TDL138" s="422"/>
      <c r="TDM138" s="422"/>
      <c r="TDN138" s="422"/>
      <c r="TDO138" s="422"/>
      <c r="TDP138" s="422"/>
      <c r="TDQ138" s="422"/>
      <c r="TDR138" s="422"/>
      <c r="TDS138" s="422"/>
      <c r="TDT138" s="422"/>
      <c r="TDU138" s="422"/>
      <c r="TDV138" s="422"/>
      <c r="TDW138" s="422"/>
      <c r="TDX138" s="422"/>
      <c r="TDY138" s="422"/>
      <c r="TDZ138" s="422"/>
      <c r="TEA138" s="422"/>
      <c r="TEB138" s="422"/>
      <c r="TEC138" s="422"/>
      <c r="TED138" s="422"/>
      <c r="TEE138" s="422"/>
      <c r="TEF138" s="422"/>
      <c r="TEG138" s="422"/>
      <c r="TEH138" s="422"/>
      <c r="TEI138" s="422"/>
      <c r="TEJ138" s="422"/>
      <c r="TEK138" s="422"/>
      <c r="TEL138" s="422"/>
      <c r="TEM138" s="422"/>
      <c r="TEN138" s="422"/>
      <c r="TEO138" s="422"/>
      <c r="TEP138" s="422"/>
      <c r="TEQ138" s="422"/>
      <c r="TER138" s="422"/>
      <c r="TES138" s="422"/>
      <c r="TET138" s="422"/>
      <c r="TEU138" s="422"/>
      <c r="TEV138" s="422"/>
      <c r="TEW138" s="422"/>
      <c r="TEX138" s="422"/>
      <c r="TEY138" s="422"/>
      <c r="TEZ138" s="422"/>
      <c r="TFA138" s="422"/>
      <c r="TFB138" s="422"/>
      <c r="TFC138" s="422"/>
      <c r="TFD138" s="422"/>
      <c r="TFE138" s="422"/>
      <c r="TFF138" s="422"/>
      <c r="TFG138" s="422"/>
      <c r="TFH138" s="422"/>
      <c r="TFI138" s="422"/>
      <c r="TFJ138" s="422"/>
      <c r="TFK138" s="422"/>
      <c r="TFL138" s="422"/>
      <c r="TFM138" s="422"/>
      <c r="TFN138" s="422"/>
      <c r="TFO138" s="422"/>
      <c r="TFP138" s="422"/>
      <c r="TFQ138" s="422"/>
      <c r="TFR138" s="422"/>
      <c r="TFS138" s="422"/>
      <c r="TFT138" s="422"/>
      <c r="TFU138" s="422"/>
      <c r="TFV138" s="422"/>
      <c r="TFW138" s="422"/>
      <c r="TFX138" s="422"/>
      <c r="TFY138" s="422"/>
      <c r="TFZ138" s="422"/>
      <c r="TGA138" s="422"/>
      <c r="TGB138" s="422"/>
      <c r="TGC138" s="422"/>
      <c r="TGD138" s="422"/>
      <c r="TGE138" s="422"/>
      <c r="TGF138" s="422"/>
      <c r="TGG138" s="422"/>
      <c r="TGH138" s="422"/>
      <c r="TGI138" s="422"/>
      <c r="TGJ138" s="422"/>
      <c r="TGK138" s="422"/>
      <c r="TGL138" s="422"/>
      <c r="TGM138" s="422"/>
      <c r="TGN138" s="422"/>
      <c r="TGO138" s="422"/>
      <c r="TGP138" s="422"/>
      <c r="TGQ138" s="422"/>
      <c r="TGR138" s="422"/>
      <c r="TGS138" s="422"/>
      <c r="TGT138" s="422"/>
      <c r="TGU138" s="422"/>
      <c r="TGV138" s="422"/>
      <c r="TGW138" s="422"/>
      <c r="TGX138" s="422"/>
      <c r="TGY138" s="422"/>
      <c r="TGZ138" s="422"/>
      <c r="THA138" s="422"/>
      <c r="THB138" s="422"/>
      <c r="THC138" s="422"/>
      <c r="THD138" s="422"/>
      <c r="THE138" s="422"/>
      <c r="THF138" s="422"/>
      <c r="THG138" s="422"/>
      <c r="THH138" s="422"/>
      <c r="THI138" s="422"/>
      <c r="THJ138" s="422"/>
      <c r="THK138" s="422"/>
      <c r="THL138" s="422"/>
      <c r="THM138" s="422"/>
      <c r="THN138" s="422"/>
      <c r="THO138" s="422"/>
      <c r="THP138" s="422"/>
      <c r="THQ138" s="422"/>
      <c r="THR138" s="422"/>
      <c r="THS138" s="422"/>
      <c r="THT138" s="422"/>
      <c r="THU138" s="422"/>
      <c r="THV138" s="422"/>
      <c r="THW138" s="422"/>
      <c r="THX138" s="422"/>
      <c r="THY138" s="422"/>
      <c r="THZ138" s="422"/>
      <c r="TIA138" s="422"/>
      <c r="TIB138" s="422"/>
      <c r="TIC138" s="422"/>
      <c r="TID138" s="422"/>
      <c r="TIE138" s="422"/>
      <c r="TIF138" s="422"/>
      <c r="TIG138" s="422"/>
      <c r="TIH138" s="422"/>
      <c r="TII138" s="422"/>
      <c r="TIJ138" s="422"/>
      <c r="TIK138" s="422"/>
      <c r="TIL138" s="422"/>
      <c r="TIM138" s="422"/>
      <c r="TIN138" s="422"/>
      <c r="TIO138" s="422"/>
      <c r="TIP138" s="422"/>
      <c r="TIQ138" s="422"/>
      <c r="TIR138" s="422"/>
      <c r="TIS138" s="422"/>
      <c r="TIT138" s="422"/>
      <c r="TIU138" s="422"/>
      <c r="TIV138" s="422"/>
      <c r="TIW138" s="422"/>
      <c r="TIX138" s="422"/>
      <c r="TIY138" s="422"/>
      <c r="TIZ138" s="422"/>
      <c r="TJA138" s="422"/>
      <c r="TJB138" s="422"/>
      <c r="TJC138" s="422"/>
      <c r="TJD138" s="422"/>
      <c r="TJE138" s="422"/>
      <c r="TJF138" s="422"/>
      <c r="TJG138" s="422"/>
      <c r="TJH138" s="422"/>
      <c r="TJI138" s="422"/>
      <c r="TJJ138" s="422"/>
      <c r="TJK138" s="422"/>
      <c r="TJL138" s="422"/>
      <c r="TJM138" s="422"/>
      <c r="TJN138" s="422"/>
      <c r="TJO138" s="422"/>
      <c r="TJP138" s="422"/>
      <c r="TJQ138" s="422"/>
      <c r="TJR138" s="422"/>
      <c r="TJS138" s="422"/>
      <c r="TJT138" s="422"/>
      <c r="TJU138" s="422"/>
      <c r="TJV138" s="422"/>
      <c r="TJW138" s="422"/>
      <c r="TJX138" s="422"/>
      <c r="TJY138" s="422"/>
      <c r="TJZ138" s="422"/>
      <c r="TKA138" s="422"/>
      <c r="TKB138" s="422"/>
      <c r="TKC138" s="422"/>
      <c r="TKD138" s="422"/>
      <c r="TKE138" s="422"/>
      <c r="TKF138" s="422"/>
      <c r="TKG138" s="422"/>
      <c r="TKH138" s="422"/>
      <c r="TKI138" s="422"/>
      <c r="TKJ138" s="422"/>
      <c r="TKK138" s="422"/>
      <c r="TKL138" s="422"/>
      <c r="TKM138" s="422"/>
      <c r="TKN138" s="422"/>
      <c r="TKO138" s="422"/>
      <c r="TKP138" s="422"/>
      <c r="TKQ138" s="422"/>
      <c r="TKR138" s="422"/>
      <c r="TKS138" s="422"/>
      <c r="TKT138" s="422"/>
      <c r="TKU138" s="422"/>
      <c r="TKV138" s="422"/>
      <c r="TKW138" s="422"/>
      <c r="TKX138" s="422"/>
      <c r="TKY138" s="422"/>
      <c r="TKZ138" s="422"/>
      <c r="TLA138" s="422"/>
      <c r="TLB138" s="422"/>
      <c r="TLC138" s="422"/>
      <c r="TLD138" s="422"/>
      <c r="TLE138" s="422"/>
      <c r="TLF138" s="422"/>
      <c r="TLG138" s="422"/>
      <c r="TLH138" s="422"/>
      <c r="TLI138" s="422"/>
      <c r="TLJ138" s="422"/>
      <c r="TLK138" s="422"/>
      <c r="TLL138" s="422"/>
      <c r="TLM138" s="422"/>
      <c r="TLN138" s="422"/>
      <c r="TLO138" s="422"/>
      <c r="TLP138" s="422"/>
      <c r="TLQ138" s="422"/>
      <c r="TLR138" s="422"/>
      <c r="TLS138" s="422"/>
      <c r="TLT138" s="422"/>
      <c r="TLU138" s="422"/>
      <c r="TLV138" s="422"/>
      <c r="TLW138" s="422"/>
      <c r="TLX138" s="422"/>
      <c r="TLY138" s="422"/>
      <c r="TLZ138" s="422"/>
      <c r="TMA138" s="422"/>
      <c r="TMB138" s="422"/>
      <c r="TMC138" s="422"/>
      <c r="TMD138" s="422"/>
      <c r="TME138" s="422"/>
      <c r="TMF138" s="422"/>
      <c r="TMG138" s="422"/>
      <c r="TMH138" s="422"/>
      <c r="TMI138" s="422"/>
      <c r="TMJ138" s="422"/>
      <c r="TMK138" s="422"/>
      <c r="TML138" s="422"/>
      <c r="TMM138" s="422"/>
      <c r="TMN138" s="422"/>
      <c r="TMO138" s="422"/>
      <c r="TMP138" s="422"/>
      <c r="TMQ138" s="422"/>
      <c r="TMR138" s="422"/>
      <c r="TMS138" s="422"/>
      <c r="TMT138" s="422"/>
      <c r="TMU138" s="422"/>
      <c r="TMV138" s="422"/>
      <c r="TMW138" s="422"/>
      <c r="TMX138" s="422"/>
      <c r="TMY138" s="422"/>
      <c r="TMZ138" s="422"/>
      <c r="TNA138" s="422"/>
      <c r="TNB138" s="422"/>
      <c r="TNC138" s="422"/>
      <c r="TND138" s="422"/>
      <c r="TNE138" s="422"/>
      <c r="TNF138" s="422"/>
      <c r="TNG138" s="422"/>
      <c r="TNH138" s="422"/>
      <c r="TNI138" s="422"/>
      <c r="TNJ138" s="422"/>
      <c r="TNK138" s="422"/>
      <c r="TNL138" s="422"/>
      <c r="TNM138" s="422"/>
      <c r="TNN138" s="422"/>
      <c r="TNO138" s="422"/>
      <c r="TNP138" s="422"/>
      <c r="TNQ138" s="422"/>
      <c r="TNR138" s="422"/>
      <c r="TNS138" s="422"/>
      <c r="TNT138" s="422"/>
      <c r="TNU138" s="422"/>
      <c r="TNV138" s="422"/>
      <c r="TNW138" s="422"/>
      <c r="TNX138" s="422"/>
      <c r="TNY138" s="422"/>
      <c r="TNZ138" s="422"/>
      <c r="TOA138" s="422"/>
      <c r="TOB138" s="422"/>
      <c r="TOC138" s="422"/>
      <c r="TOD138" s="422"/>
      <c r="TOE138" s="422"/>
      <c r="TOF138" s="422"/>
      <c r="TOG138" s="422"/>
      <c r="TOH138" s="422"/>
      <c r="TOI138" s="422"/>
      <c r="TOJ138" s="422"/>
      <c r="TOK138" s="422"/>
      <c r="TOL138" s="422"/>
      <c r="TOM138" s="422"/>
      <c r="TON138" s="422"/>
      <c r="TOO138" s="422"/>
      <c r="TOP138" s="422"/>
      <c r="TOQ138" s="422"/>
      <c r="TOR138" s="422"/>
      <c r="TOS138" s="422"/>
      <c r="TOT138" s="422"/>
      <c r="TOU138" s="422"/>
      <c r="TOV138" s="422"/>
      <c r="TOW138" s="422"/>
      <c r="TOX138" s="422"/>
      <c r="TOY138" s="422"/>
      <c r="TOZ138" s="422"/>
      <c r="TPA138" s="422"/>
      <c r="TPB138" s="422"/>
      <c r="TPC138" s="422"/>
      <c r="TPD138" s="422"/>
      <c r="TPE138" s="422"/>
      <c r="TPF138" s="422"/>
      <c r="TPG138" s="422"/>
      <c r="TPH138" s="422"/>
      <c r="TPI138" s="422"/>
      <c r="TPJ138" s="422"/>
      <c r="TPK138" s="422"/>
      <c r="TPL138" s="422"/>
      <c r="TPM138" s="422"/>
      <c r="TPN138" s="422"/>
      <c r="TPO138" s="422"/>
      <c r="TPP138" s="422"/>
      <c r="TPQ138" s="422"/>
      <c r="TPR138" s="422"/>
      <c r="TPS138" s="422"/>
      <c r="TPT138" s="422"/>
      <c r="TPU138" s="422"/>
      <c r="TPV138" s="422"/>
      <c r="TPW138" s="422"/>
      <c r="TPX138" s="422"/>
      <c r="TPY138" s="422"/>
      <c r="TPZ138" s="422"/>
      <c r="TQA138" s="422"/>
      <c r="TQB138" s="422"/>
      <c r="TQC138" s="422"/>
      <c r="TQD138" s="422"/>
      <c r="TQE138" s="422"/>
      <c r="TQF138" s="422"/>
      <c r="TQG138" s="422"/>
      <c r="TQH138" s="422"/>
      <c r="TQI138" s="422"/>
      <c r="TQJ138" s="422"/>
      <c r="TQK138" s="422"/>
      <c r="TQL138" s="422"/>
      <c r="TQM138" s="422"/>
      <c r="TQN138" s="422"/>
      <c r="TQO138" s="422"/>
      <c r="TQP138" s="422"/>
      <c r="TQQ138" s="422"/>
      <c r="TQR138" s="422"/>
      <c r="TQS138" s="422"/>
      <c r="TQT138" s="422"/>
      <c r="TQU138" s="422"/>
      <c r="TQV138" s="422"/>
      <c r="TQW138" s="422"/>
      <c r="TQX138" s="422"/>
      <c r="TQY138" s="422"/>
      <c r="TQZ138" s="422"/>
      <c r="TRA138" s="422"/>
      <c r="TRB138" s="422"/>
      <c r="TRC138" s="422"/>
      <c r="TRD138" s="422"/>
      <c r="TRE138" s="422"/>
      <c r="TRF138" s="422"/>
      <c r="TRG138" s="422"/>
      <c r="TRH138" s="422"/>
      <c r="TRI138" s="422"/>
      <c r="TRJ138" s="422"/>
      <c r="TRK138" s="422"/>
      <c r="TRL138" s="422"/>
      <c r="TRM138" s="422"/>
      <c r="TRN138" s="422"/>
      <c r="TRO138" s="422"/>
      <c r="TRP138" s="422"/>
      <c r="TRQ138" s="422"/>
      <c r="TRR138" s="422"/>
      <c r="TRS138" s="422"/>
      <c r="TRT138" s="422"/>
      <c r="TRU138" s="422"/>
      <c r="TRV138" s="422"/>
      <c r="TRW138" s="422"/>
      <c r="TRX138" s="422"/>
      <c r="TRY138" s="422"/>
      <c r="TRZ138" s="422"/>
      <c r="TSA138" s="422"/>
      <c r="TSB138" s="422"/>
      <c r="TSC138" s="422"/>
      <c r="TSD138" s="422"/>
      <c r="TSE138" s="422"/>
      <c r="TSF138" s="422"/>
      <c r="TSG138" s="422"/>
      <c r="TSH138" s="422"/>
      <c r="TSI138" s="422"/>
      <c r="TSJ138" s="422"/>
      <c r="TSK138" s="422"/>
      <c r="TSL138" s="422"/>
      <c r="TSM138" s="422"/>
      <c r="TSN138" s="422"/>
      <c r="TSO138" s="422"/>
      <c r="TSP138" s="422"/>
      <c r="TSQ138" s="422"/>
      <c r="TSR138" s="422"/>
      <c r="TSS138" s="422"/>
      <c r="TST138" s="422"/>
      <c r="TSU138" s="422"/>
      <c r="TSV138" s="422"/>
      <c r="TSW138" s="422"/>
      <c r="TSX138" s="422"/>
      <c r="TSY138" s="422"/>
      <c r="TSZ138" s="422"/>
      <c r="TTA138" s="422"/>
      <c r="TTB138" s="422"/>
      <c r="TTC138" s="422"/>
      <c r="TTD138" s="422"/>
      <c r="TTE138" s="422"/>
      <c r="TTF138" s="422"/>
      <c r="TTG138" s="422"/>
      <c r="TTH138" s="422"/>
      <c r="TTI138" s="422"/>
      <c r="TTJ138" s="422"/>
      <c r="TTK138" s="422"/>
      <c r="TTL138" s="422"/>
      <c r="TTM138" s="422"/>
      <c r="TTN138" s="422"/>
      <c r="TTO138" s="422"/>
      <c r="TTP138" s="422"/>
      <c r="TTQ138" s="422"/>
      <c r="TTR138" s="422"/>
      <c r="TTS138" s="422"/>
      <c r="TTT138" s="422"/>
      <c r="TTU138" s="422"/>
      <c r="TTV138" s="422"/>
      <c r="TTW138" s="422"/>
      <c r="TTX138" s="422"/>
      <c r="TTY138" s="422"/>
      <c r="TTZ138" s="422"/>
      <c r="TUA138" s="422"/>
      <c r="TUB138" s="422"/>
      <c r="TUC138" s="422"/>
      <c r="TUD138" s="422"/>
      <c r="TUE138" s="422"/>
      <c r="TUF138" s="422"/>
      <c r="TUG138" s="422"/>
      <c r="TUH138" s="422"/>
      <c r="TUI138" s="422"/>
      <c r="TUJ138" s="422"/>
      <c r="TUK138" s="422"/>
      <c r="TUL138" s="422"/>
      <c r="TUM138" s="422"/>
      <c r="TUN138" s="422"/>
      <c r="TUO138" s="422"/>
      <c r="TUP138" s="422"/>
      <c r="TUQ138" s="422"/>
      <c r="TUR138" s="422"/>
      <c r="TUS138" s="422"/>
      <c r="TUT138" s="422"/>
      <c r="TUU138" s="422"/>
      <c r="TUV138" s="422"/>
      <c r="TUW138" s="422"/>
      <c r="TUX138" s="422"/>
      <c r="TUY138" s="422"/>
      <c r="TUZ138" s="422"/>
      <c r="TVA138" s="422"/>
      <c r="TVB138" s="422"/>
      <c r="TVC138" s="422"/>
      <c r="TVD138" s="422"/>
      <c r="TVE138" s="422"/>
      <c r="TVF138" s="422"/>
      <c r="TVG138" s="422"/>
      <c r="TVH138" s="422"/>
      <c r="TVI138" s="422"/>
      <c r="TVJ138" s="422"/>
      <c r="TVK138" s="422"/>
      <c r="TVL138" s="422"/>
      <c r="TVM138" s="422"/>
      <c r="TVN138" s="422"/>
      <c r="TVO138" s="422"/>
      <c r="TVP138" s="422"/>
      <c r="TVQ138" s="422"/>
      <c r="TVR138" s="422"/>
      <c r="TVS138" s="422"/>
      <c r="TVT138" s="422"/>
      <c r="TVU138" s="422"/>
      <c r="TVV138" s="422"/>
      <c r="TVW138" s="422"/>
      <c r="TVX138" s="422"/>
      <c r="TVY138" s="422"/>
      <c r="TVZ138" s="422"/>
      <c r="TWA138" s="422"/>
      <c r="TWB138" s="422"/>
      <c r="TWC138" s="422"/>
      <c r="TWD138" s="422"/>
      <c r="TWE138" s="422"/>
      <c r="TWF138" s="422"/>
      <c r="TWG138" s="422"/>
      <c r="TWH138" s="422"/>
      <c r="TWI138" s="422"/>
      <c r="TWJ138" s="422"/>
      <c r="TWK138" s="422"/>
      <c r="TWL138" s="422"/>
      <c r="TWM138" s="422"/>
      <c r="TWN138" s="422"/>
      <c r="TWO138" s="422"/>
      <c r="TWP138" s="422"/>
      <c r="TWQ138" s="422"/>
      <c r="TWR138" s="422"/>
      <c r="TWS138" s="422"/>
      <c r="TWT138" s="422"/>
      <c r="TWU138" s="422"/>
      <c r="TWV138" s="422"/>
      <c r="TWW138" s="422"/>
      <c r="TWX138" s="422"/>
      <c r="TWY138" s="422"/>
      <c r="TWZ138" s="422"/>
      <c r="TXA138" s="422"/>
      <c r="TXB138" s="422"/>
      <c r="TXC138" s="422"/>
      <c r="TXD138" s="422"/>
      <c r="TXE138" s="422"/>
      <c r="TXF138" s="422"/>
      <c r="TXG138" s="422"/>
      <c r="TXH138" s="422"/>
      <c r="TXI138" s="422"/>
      <c r="TXJ138" s="422"/>
      <c r="TXK138" s="422"/>
      <c r="TXL138" s="422"/>
      <c r="TXM138" s="422"/>
      <c r="TXN138" s="422"/>
      <c r="TXO138" s="422"/>
      <c r="TXP138" s="422"/>
      <c r="TXQ138" s="422"/>
      <c r="TXR138" s="422"/>
      <c r="TXS138" s="422"/>
      <c r="TXT138" s="422"/>
      <c r="TXU138" s="422"/>
      <c r="TXV138" s="422"/>
      <c r="TXW138" s="422"/>
      <c r="TXX138" s="422"/>
      <c r="TXY138" s="422"/>
      <c r="TXZ138" s="422"/>
      <c r="TYA138" s="422"/>
      <c r="TYB138" s="422"/>
      <c r="TYC138" s="422"/>
      <c r="TYD138" s="422"/>
      <c r="TYE138" s="422"/>
      <c r="TYF138" s="422"/>
      <c r="TYG138" s="422"/>
      <c r="TYH138" s="422"/>
      <c r="TYI138" s="422"/>
      <c r="TYJ138" s="422"/>
      <c r="TYK138" s="422"/>
      <c r="TYL138" s="422"/>
      <c r="TYM138" s="422"/>
      <c r="TYN138" s="422"/>
      <c r="TYO138" s="422"/>
      <c r="TYP138" s="422"/>
      <c r="TYQ138" s="422"/>
      <c r="TYR138" s="422"/>
      <c r="TYS138" s="422"/>
      <c r="TYT138" s="422"/>
      <c r="TYU138" s="422"/>
      <c r="TYV138" s="422"/>
      <c r="TYW138" s="422"/>
      <c r="TYX138" s="422"/>
      <c r="TYY138" s="422"/>
      <c r="TYZ138" s="422"/>
      <c r="TZA138" s="422"/>
      <c r="TZB138" s="422"/>
      <c r="TZC138" s="422"/>
      <c r="TZD138" s="422"/>
      <c r="TZE138" s="422"/>
      <c r="TZF138" s="422"/>
      <c r="TZG138" s="422"/>
      <c r="TZH138" s="422"/>
      <c r="TZI138" s="422"/>
      <c r="TZJ138" s="422"/>
      <c r="TZK138" s="422"/>
      <c r="TZL138" s="422"/>
      <c r="TZM138" s="422"/>
      <c r="TZN138" s="422"/>
      <c r="TZO138" s="422"/>
      <c r="TZP138" s="422"/>
      <c r="TZQ138" s="422"/>
      <c r="TZR138" s="422"/>
      <c r="TZS138" s="422"/>
      <c r="TZT138" s="422"/>
      <c r="TZU138" s="422"/>
      <c r="TZV138" s="422"/>
      <c r="TZW138" s="422"/>
      <c r="TZX138" s="422"/>
      <c r="TZY138" s="422"/>
      <c r="TZZ138" s="422"/>
      <c r="UAA138" s="422"/>
      <c r="UAB138" s="422"/>
      <c r="UAC138" s="422"/>
      <c r="UAD138" s="422"/>
      <c r="UAE138" s="422"/>
      <c r="UAF138" s="422"/>
      <c r="UAG138" s="422"/>
      <c r="UAH138" s="422"/>
      <c r="UAI138" s="422"/>
      <c r="UAJ138" s="422"/>
      <c r="UAK138" s="422"/>
      <c r="UAL138" s="422"/>
      <c r="UAM138" s="422"/>
      <c r="UAN138" s="422"/>
      <c r="UAO138" s="422"/>
      <c r="UAP138" s="422"/>
      <c r="UAQ138" s="422"/>
      <c r="UAR138" s="422"/>
      <c r="UAS138" s="422"/>
      <c r="UAT138" s="422"/>
      <c r="UAU138" s="422"/>
      <c r="UAV138" s="422"/>
      <c r="UAW138" s="422"/>
      <c r="UAX138" s="422"/>
      <c r="UAY138" s="422"/>
      <c r="UAZ138" s="422"/>
      <c r="UBA138" s="422"/>
      <c r="UBB138" s="422"/>
      <c r="UBC138" s="422"/>
      <c r="UBD138" s="422"/>
      <c r="UBE138" s="422"/>
      <c r="UBF138" s="422"/>
      <c r="UBG138" s="422"/>
      <c r="UBH138" s="422"/>
      <c r="UBI138" s="422"/>
      <c r="UBJ138" s="422"/>
      <c r="UBK138" s="422"/>
      <c r="UBL138" s="422"/>
      <c r="UBM138" s="422"/>
      <c r="UBN138" s="422"/>
      <c r="UBO138" s="422"/>
      <c r="UBP138" s="422"/>
      <c r="UBQ138" s="422"/>
      <c r="UBR138" s="422"/>
      <c r="UBS138" s="422"/>
      <c r="UBT138" s="422"/>
      <c r="UBU138" s="422"/>
      <c r="UBV138" s="422"/>
      <c r="UBW138" s="422"/>
      <c r="UBX138" s="422"/>
      <c r="UBY138" s="422"/>
      <c r="UBZ138" s="422"/>
      <c r="UCA138" s="422"/>
      <c r="UCB138" s="422"/>
      <c r="UCC138" s="422"/>
      <c r="UCD138" s="422"/>
      <c r="UCE138" s="422"/>
      <c r="UCF138" s="422"/>
      <c r="UCG138" s="422"/>
      <c r="UCH138" s="422"/>
      <c r="UCI138" s="422"/>
      <c r="UCJ138" s="422"/>
      <c r="UCK138" s="422"/>
      <c r="UCL138" s="422"/>
      <c r="UCM138" s="422"/>
      <c r="UCN138" s="422"/>
      <c r="UCO138" s="422"/>
      <c r="UCP138" s="422"/>
      <c r="UCQ138" s="422"/>
      <c r="UCR138" s="422"/>
      <c r="UCS138" s="422"/>
      <c r="UCT138" s="422"/>
      <c r="UCU138" s="422"/>
      <c r="UCV138" s="422"/>
      <c r="UCW138" s="422"/>
      <c r="UCX138" s="422"/>
      <c r="UCY138" s="422"/>
      <c r="UCZ138" s="422"/>
      <c r="UDA138" s="422"/>
      <c r="UDB138" s="422"/>
      <c r="UDC138" s="422"/>
      <c r="UDD138" s="422"/>
      <c r="UDE138" s="422"/>
      <c r="UDF138" s="422"/>
      <c r="UDG138" s="422"/>
      <c r="UDH138" s="422"/>
      <c r="UDI138" s="422"/>
      <c r="UDJ138" s="422"/>
      <c r="UDK138" s="422"/>
      <c r="UDL138" s="422"/>
      <c r="UDM138" s="422"/>
      <c r="UDN138" s="422"/>
      <c r="UDO138" s="422"/>
      <c r="UDP138" s="422"/>
      <c r="UDQ138" s="422"/>
      <c r="UDR138" s="422"/>
      <c r="UDS138" s="422"/>
      <c r="UDT138" s="422"/>
      <c r="UDU138" s="422"/>
      <c r="UDV138" s="422"/>
      <c r="UDW138" s="422"/>
      <c r="UDX138" s="422"/>
      <c r="UDY138" s="422"/>
      <c r="UDZ138" s="422"/>
      <c r="UEA138" s="422"/>
      <c r="UEB138" s="422"/>
      <c r="UEC138" s="422"/>
      <c r="UED138" s="422"/>
      <c r="UEE138" s="422"/>
      <c r="UEF138" s="422"/>
      <c r="UEG138" s="422"/>
      <c r="UEH138" s="422"/>
      <c r="UEI138" s="422"/>
      <c r="UEJ138" s="422"/>
      <c r="UEK138" s="422"/>
      <c r="UEL138" s="422"/>
      <c r="UEM138" s="422"/>
      <c r="UEN138" s="422"/>
      <c r="UEO138" s="422"/>
      <c r="UEP138" s="422"/>
      <c r="UEQ138" s="422"/>
      <c r="UER138" s="422"/>
      <c r="UES138" s="422"/>
      <c r="UET138" s="422"/>
      <c r="UEU138" s="422"/>
      <c r="UEV138" s="422"/>
      <c r="UEW138" s="422"/>
      <c r="UEX138" s="422"/>
      <c r="UEY138" s="422"/>
      <c r="UEZ138" s="422"/>
      <c r="UFA138" s="422"/>
      <c r="UFB138" s="422"/>
      <c r="UFC138" s="422"/>
      <c r="UFD138" s="422"/>
      <c r="UFE138" s="422"/>
      <c r="UFF138" s="422"/>
      <c r="UFG138" s="422"/>
      <c r="UFH138" s="422"/>
      <c r="UFI138" s="422"/>
      <c r="UFJ138" s="422"/>
      <c r="UFK138" s="422"/>
      <c r="UFL138" s="422"/>
      <c r="UFM138" s="422"/>
      <c r="UFN138" s="422"/>
      <c r="UFO138" s="422"/>
      <c r="UFP138" s="422"/>
      <c r="UFQ138" s="422"/>
      <c r="UFR138" s="422"/>
      <c r="UFS138" s="422"/>
      <c r="UFT138" s="422"/>
      <c r="UFU138" s="422"/>
      <c r="UFV138" s="422"/>
      <c r="UFW138" s="422"/>
      <c r="UFX138" s="422"/>
      <c r="UFY138" s="422"/>
      <c r="UFZ138" s="422"/>
      <c r="UGA138" s="422"/>
      <c r="UGB138" s="422"/>
      <c r="UGC138" s="422"/>
      <c r="UGD138" s="422"/>
      <c r="UGE138" s="422"/>
      <c r="UGF138" s="422"/>
      <c r="UGG138" s="422"/>
      <c r="UGH138" s="422"/>
      <c r="UGI138" s="422"/>
      <c r="UGJ138" s="422"/>
      <c r="UGK138" s="422"/>
      <c r="UGL138" s="422"/>
      <c r="UGM138" s="422"/>
      <c r="UGN138" s="422"/>
      <c r="UGO138" s="422"/>
      <c r="UGP138" s="422"/>
      <c r="UGQ138" s="422"/>
      <c r="UGR138" s="422"/>
      <c r="UGS138" s="422"/>
      <c r="UGT138" s="422"/>
      <c r="UGU138" s="422"/>
      <c r="UGV138" s="422"/>
      <c r="UGW138" s="422"/>
      <c r="UGX138" s="422"/>
      <c r="UGY138" s="422"/>
      <c r="UGZ138" s="422"/>
      <c r="UHA138" s="422"/>
      <c r="UHB138" s="422"/>
      <c r="UHC138" s="422"/>
      <c r="UHD138" s="422"/>
      <c r="UHE138" s="422"/>
      <c r="UHF138" s="422"/>
      <c r="UHG138" s="422"/>
      <c r="UHH138" s="422"/>
      <c r="UHI138" s="422"/>
      <c r="UHJ138" s="422"/>
      <c r="UHK138" s="422"/>
      <c r="UHL138" s="422"/>
      <c r="UHM138" s="422"/>
      <c r="UHN138" s="422"/>
      <c r="UHO138" s="422"/>
      <c r="UHP138" s="422"/>
      <c r="UHQ138" s="422"/>
      <c r="UHR138" s="422"/>
      <c r="UHS138" s="422"/>
      <c r="UHT138" s="422"/>
      <c r="UHU138" s="422"/>
      <c r="UHV138" s="422"/>
      <c r="UHW138" s="422"/>
      <c r="UHX138" s="422"/>
      <c r="UHY138" s="422"/>
      <c r="UHZ138" s="422"/>
      <c r="UIA138" s="422"/>
      <c r="UIB138" s="422"/>
      <c r="UIC138" s="422"/>
      <c r="UID138" s="422"/>
      <c r="UIE138" s="422"/>
      <c r="UIF138" s="422"/>
      <c r="UIG138" s="422"/>
      <c r="UIH138" s="422"/>
      <c r="UII138" s="422"/>
      <c r="UIJ138" s="422"/>
      <c r="UIK138" s="422"/>
      <c r="UIL138" s="422"/>
      <c r="UIM138" s="422"/>
      <c r="UIN138" s="422"/>
      <c r="UIO138" s="422"/>
      <c r="UIP138" s="422"/>
      <c r="UIQ138" s="422"/>
      <c r="UIR138" s="422"/>
      <c r="UIS138" s="422"/>
      <c r="UIT138" s="422"/>
      <c r="UIU138" s="422"/>
      <c r="UIV138" s="422"/>
      <c r="UIW138" s="422"/>
      <c r="UIX138" s="422"/>
      <c r="UIY138" s="422"/>
      <c r="UIZ138" s="422"/>
      <c r="UJA138" s="422"/>
      <c r="UJB138" s="422"/>
      <c r="UJC138" s="422"/>
      <c r="UJD138" s="422"/>
      <c r="UJE138" s="422"/>
      <c r="UJF138" s="422"/>
      <c r="UJG138" s="422"/>
      <c r="UJH138" s="422"/>
      <c r="UJI138" s="422"/>
      <c r="UJJ138" s="422"/>
      <c r="UJK138" s="422"/>
      <c r="UJL138" s="422"/>
      <c r="UJM138" s="422"/>
      <c r="UJN138" s="422"/>
      <c r="UJO138" s="422"/>
      <c r="UJP138" s="422"/>
      <c r="UJQ138" s="422"/>
      <c r="UJR138" s="422"/>
      <c r="UJS138" s="422"/>
      <c r="UJT138" s="422"/>
      <c r="UJU138" s="422"/>
      <c r="UJV138" s="422"/>
      <c r="UJW138" s="422"/>
      <c r="UJX138" s="422"/>
      <c r="UJY138" s="422"/>
      <c r="UJZ138" s="422"/>
      <c r="UKA138" s="422"/>
      <c r="UKB138" s="422"/>
      <c r="UKC138" s="422"/>
      <c r="UKD138" s="422"/>
      <c r="UKE138" s="422"/>
      <c r="UKF138" s="422"/>
      <c r="UKG138" s="422"/>
      <c r="UKH138" s="422"/>
      <c r="UKI138" s="422"/>
      <c r="UKJ138" s="422"/>
      <c r="UKK138" s="422"/>
      <c r="UKL138" s="422"/>
      <c r="UKM138" s="422"/>
      <c r="UKN138" s="422"/>
      <c r="UKO138" s="422"/>
      <c r="UKP138" s="422"/>
      <c r="UKQ138" s="422"/>
      <c r="UKR138" s="422"/>
      <c r="UKS138" s="422"/>
      <c r="UKT138" s="422"/>
      <c r="UKU138" s="422"/>
      <c r="UKV138" s="422"/>
      <c r="UKW138" s="422"/>
      <c r="UKX138" s="422"/>
      <c r="UKY138" s="422"/>
      <c r="UKZ138" s="422"/>
      <c r="ULA138" s="422"/>
      <c r="ULB138" s="422"/>
      <c r="ULC138" s="422"/>
      <c r="ULD138" s="422"/>
      <c r="ULE138" s="422"/>
      <c r="ULF138" s="422"/>
      <c r="ULG138" s="422"/>
      <c r="ULH138" s="422"/>
      <c r="ULI138" s="422"/>
      <c r="ULJ138" s="422"/>
      <c r="ULK138" s="422"/>
      <c r="ULL138" s="422"/>
      <c r="ULM138" s="422"/>
      <c r="ULN138" s="422"/>
      <c r="ULO138" s="422"/>
      <c r="ULP138" s="422"/>
      <c r="ULQ138" s="422"/>
      <c r="ULR138" s="422"/>
      <c r="ULS138" s="422"/>
      <c r="ULT138" s="422"/>
      <c r="ULU138" s="422"/>
      <c r="ULV138" s="422"/>
      <c r="ULW138" s="422"/>
      <c r="ULX138" s="422"/>
      <c r="ULY138" s="422"/>
      <c r="ULZ138" s="422"/>
      <c r="UMA138" s="422"/>
      <c r="UMB138" s="422"/>
      <c r="UMC138" s="422"/>
      <c r="UMD138" s="422"/>
      <c r="UME138" s="422"/>
      <c r="UMF138" s="422"/>
      <c r="UMG138" s="422"/>
      <c r="UMH138" s="422"/>
      <c r="UMI138" s="422"/>
      <c r="UMJ138" s="422"/>
      <c r="UMK138" s="422"/>
      <c r="UML138" s="422"/>
      <c r="UMM138" s="422"/>
      <c r="UMN138" s="422"/>
      <c r="UMO138" s="422"/>
      <c r="UMP138" s="422"/>
      <c r="UMQ138" s="422"/>
      <c r="UMR138" s="422"/>
      <c r="UMS138" s="422"/>
      <c r="UMT138" s="422"/>
      <c r="UMU138" s="422"/>
      <c r="UMV138" s="422"/>
      <c r="UMW138" s="422"/>
      <c r="UMX138" s="422"/>
      <c r="UMY138" s="422"/>
      <c r="UMZ138" s="422"/>
      <c r="UNA138" s="422"/>
      <c r="UNB138" s="422"/>
      <c r="UNC138" s="422"/>
      <c r="UND138" s="422"/>
      <c r="UNE138" s="422"/>
      <c r="UNF138" s="422"/>
      <c r="UNG138" s="422"/>
      <c r="UNH138" s="422"/>
      <c r="UNI138" s="422"/>
      <c r="UNJ138" s="422"/>
      <c r="UNK138" s="422"/>
      <c r="UNL138" s="422"/>
      <c r="UNM138" s="422"/>
      <c r="UNN138" s="422"/>
      <c r="UNO138" s="422"/>
      <c r="UNP138" s="422"/>
      <c r="UNQ138" s="422"/>
      <c r="UNR138" s="422"/>
      <c r="UNS138" s="422"/>
      <c r="UNT138" s="422"/>
      <c r="UNU138" s="422"/>
      <c r="UNV138" s="422"/>
      <c r="UNW138" s="422"/>
      <c r="UNX138" s="422"/>
      <c r="UNY138" s="422"/>
      <c r="UNZ138" s="422"/>
      <c r="UOA138" s="422"/>
      <c r="UOB138" s="422"/>
      <c r="UOC138" s="422"/>
      <c r="UOD138" s="422"/>
      <c r="UOE138" s="422"/>
      <c r="UOF138" s="422"/>
      <c r="UOG138" s="422"/>
      <c r="UOH138" s="422"/>
      <c r="UOI138" s="422"/>
      <c r="UOJ138" s="422"/>
      <c r="UOK138" s="422"/>
      <c r="UOL138" s="422"/>
      <c r="UOM138" s="422"/>
      <c r="UON138" s="422"/>
      <c r="UOO138" s="422"/>
      <c r="UOP138" s="422"/>
      <c r="UOQ138" s="422"/>
      <c r="UOR138" s="422"/>
      <c r="UOS138" s="422"/>
      <c r="UOT138" s="422"/>
      <c r="UOU138" s="422"/>
      <c r="UOV138" s="422"/>
      <c r="UOW138" s="422"/>
      <c r="UOX138" s="422"/>
      <c r="UOY138" s="422"/>
      <c r="UOZ138" s="422"/>
      <c r="UPA138" s="422"/>
      <c r="UPB138" s="422"/>
      <c r="UPC138" s="422"/>
      <c r="UPD138" s="422"/>
      <c r="UPE138" s="422"/>
      <c r="UPF138" s="422"/>
      <c r="UPG138" s="422"/>
      <c r="UPH138" s="422"/>
      <c r="UPI138" s="422"/>
      <c r="UPJ138" s="422"/>
      <c r="UPK138" s="422"/>
      <c r="UPL138" s="422"/>
      <c r="UPM138" s="422"/>
      <c r="UPN138" s="422"/>
      <c r="UPO138" s="422"/>
      <c r="UPP138" s="422"/>
      <c r="UPQ138" s="422"/>
      <c r="UPR138" s="422"/>
      <c r="UPS138" s="422"/>
      <c r="UPT138" s="422"/>
      <c r="UPU138" s="422"/>
      <c r="UPV138" s="422"/>
      <c r="UPW138" s="422"/>
      <c r="UPX138" s="422"/>
      <c r="UPY138" s="422"/>
      <c r="UPZ138" s="422"/>
      <c r="UQA138" s="422"/>
      <c r="UQB138" s="422"/>
      <c r="UQC138" s="422"/>
      <c r="UQD138" s="422"/>
      <c r="UQE138" s="422"/>
      <c r="UQF138" s="422"/>
      <c r="UQG138" s="422"/>
      <c r="UQH138" s="422"/>
      <c r="UQI138" s="422"/>
      <c r="UQJ138" s="422"/>
      <c r="UQK138" s="422"/>
      <c r="UQL138" s="422"/>
      <c r="UQM138" s="422"/>
      <c r="UQN138" s="422"/>
      <c r="UQO138" s="422"/>
      <c r="UQP138" s="422"/>
      <c r="UQQ138" s="422"/>
      <c r="UQR138" s="422"/>
      <c r="UQS138" s="422"/>
      <c r="UQT138" s="422"/>
      <c r="UQU138" s="422"/>
      <c r="UQV138" s="422"/>
      <c r="UQW138" s="422"/>
      <c r="UQX138" s="422"/>
      <c r="UQY138" s="422"/>
      <c r="UQZ138" s="422"/>
      <c r="URA138" s="422"/>
      <c r="URB138" s="422"/>
      <c r="URC138" s="422"/>
      <c r="URD138" s="422"/>
      <c r="URE138" s="422"/>
      <c r="URF138" s="422"/>
      <c r="URG138" s="422"/>
      <c r="URH138" s="422"/>
      <c r="URI138" s="422"/>
      <c r="URJ138" s="422"/>
      <c r="URK138" s="422"/>
      <c r="URL138" s="422"/>
      <c r="URM138" s="422"/>
      <c r="URN138" s="422"/>
      <c r="URO138" s="422"/>
      <c r="URP138" s="422"/>
      <c r="URQ138" s="422"/>
      <c r="URR138" s="422"/>
      <c r="URS138" s="422"/>
      <c r="URT138" s="422"/>
      <c r="URU138" s="422"/>
      <c r="URV138" s="422"/>
      <c r="URW138" s="422"/>
      <c r="URX138" s="422"/>
      <c r="URY138" s="422"/>
      <c r="URZ138" s="422"/>
      <c r="USA138" s="422"/>
      <c r="USB138" s="422"/>
      <c r="USC138" s="422"/>
      <c r="USD138" s="422"/>
      <c r="USE138" s="422"/>
      <c r="USF138" s="422"/>
      <c r="USG138" s="422"/>
      <c r="USH138" s="422"/>
      <c r="USI138" s="422"/>
      <c r="USJ138" s="422"/>
      <c r="USK138" s="422"/>
      <c r="USL138" s="422"/>
      <c r="USM138" s="422"/>
      <c r="USN138" s="422"/>
      <c r="USO138" s="422"/>
      <c r="USP138" s="422"/>
      <c r="USQ138" s="422"/>
      <c r="USR138" s="422"/>
      <c r="USS138" s="422"/>
      <c r="UST138" s="422"/>
      <c r="USU138" s="422"/>
      <c r="USV138" s="422"/>
      <c r="USW138" s="422"/>
      <c r="USX138" s="422"/>
      <c r="USY138" s="422"/>
      <c r="USZ138" s="422"/>
      <c r="UTA138" s="422"/>
      <c r="UTB138" s="422"/>
      <c r="UTC138" s="422"/>
      <c r="UTD138" s="422"/>
      <c r="UTE138" s="422"/>
      <c r="UTF138" s="422"/>
      <c r="UTG138" s="422"/>
      <c r="UTH138" s="422"/>
      <c r="UTI138" s="422"/>
      <c r="UTJ138" s="422"/>
      <c r="UTK138" s="422"/>
      <c r="UTL138" s="422"/>
      <c r="UTM138" s="422"/>
      <c r="UTN138" s="422"/>
      <c r="UTO138" s="422"/>
      <c r="UTP138" s="422"/>
      <c r="UTQ138" s="422"/>
      <c r="UTR138" s="422"/>
      <c r="UTS138" s="422"/>
      <c r="UTT138" s="422"/>
      <c r="UTU138" s="422"/>
      <c r="UTV138" s="422"/>
      <c r="UTW138" s="422"/>
      <c r="UTX138" s="422"/>
      <c r="UTY138" s="422"/>
      <c r="UTZ138" s="422"/>
      <c r="UUA138" s="422"/>
      <c r="UUB138" s="422"/>
      <c r="UUC138" s="422"/>
      <c r="UUD138" s="422"/>
      <c r="UUE138" s="422"/>
      <c r="UUF138" s="422"/>
      <c r="UUG138" s="422"/>
      <c r="UUH138" s="422"/>
      <c r="UUI138" s="422"/>
      <c r="UUJ138" s="422"/>
      <c r="UUK138" s="422"/>
      <c r="UUL138" s="422"/>
      <c r="UUM138" s="422"/>
      <c r="UUN138" s="422"/>
      <c r="UUO138" s="422"/>
      <c r="UUP138" s="422"/>
      <c r="UUQ138" s="422"/>
      <c r="UUR138" s="422"/>
      <c r="UUS138" s="422"/>
      <c r="UUT138" s="422"/>
      <c r="UUU138" s="422"/>
      <c r="UUV138" s="422"/>
      <c r="UUW138" s="422"/>
      <c r="UUX138" s="422"/>
      <c r="UUY138" s="422"/>
      <c r="UUZ138" s="422"/>
      <c r="UVA138" s="422"/>
      <c r="UVB138" s="422"/>
      <c r="UVC138" s="422"/>
      <c r="UVD138" s="422"/>
      <c r="UVE138" s="422"/>
      <c r="UVF138" s="422"/>
      <c r="UVG138" s="422"/>
      <c r="UVH138" s="422"/>
      <c r="UVI138" s="422"/>
      <c r="UVJ138" s="422"/>
      <c r="UVK138" s="422"/>
      <c r="UVL138" s="422"/>
      <c r="UVM138" s="422"/>
      <c r="UVN138" s="422"/>
      <c r="UVO138" s="422"/>
      <c r="UVP138" s="422"/>
      <c r="UVQ138" s="422"/>
      <c r="UVR138" s="422"/>
      <c r="UVS138" s="422"/>
      <c r="UVT138" s="422"/>
      <c r="UVU138" s="422"/>
      <c r="UVV138" s="422"/>
      <c r="UVW138" s="422"/>
      <c r="UVX138" s="422"/>
      <c r="UVY138" s="422"/>
      <c r="UVZ138" s="422"/>
      <c r="UWA138" s="422"/>
      <c r="UWB138" s="422"/>
      <c r="UWC138" s="422"/>
      <c r="UWD138" s="422"/>
      <c r="UWE138" s="422"/>
      <c r="UWF138" s="422"/>
      <c r="UWG138" s="422"/>
      <c r="UWH138" s="422"/>
      <c r="UWI138" s="422"/>
      <c r="UWJ138" s="422"/>
      <c r="UWK138" s="422"/>
      <c r="UWL138" s="422"/>
      <c r="UWM138" s="422"/>
      <c r="UWN138" s="422"/>
      <c r="UWO138" s="422"/>
      <c r="UWP138" s="422"/>
      <c r="UWQ138" s="422"/>
      <c r="UWR138" s="422"/>
      <c r="UWS138" s="422"/>
      <c r="UWT138" s="422"/>
      <c r="UWU138" s="422"/>
      <c r="UWV138" s="422"/>
      <c r="UWW138" s="422"/>
      <c r="UWX138" s="422"/>
      <c r="UWY138" s="422"/>
      <c r="UWZ138" s="422"/>
      <c r="UXA138" s="422"/>
      <c r="UXB138" s="422"/>
      <c r="UXC138" s="422"/>
      <c r="UXD138" s="422"/>
      <c r="UXE138" s="422"/>
      <c r="UXF138" s="422"/>
      <c r="UXG138" s="422"/>
      <c r="UXH138" s="422"/>
      <c r="UXI138" s="422"/>
      <c r="UXJ138" s="422"/>
      <c r="UXK138" s="422"/>
      <c r="UXL138" s="422"/>
      <c r="UXM138" s="422"/>
      <c r="UXN138" s="422"/>
      <c r="UXO138" s="422"/>
      <c r="UXP138" s="422"/>
      <c r="UXQ138" s="422"/>
      <c r="UXR138" s="422"/>
      <c r="UXS138" s="422"/>
      <c r="UXT138" s="422"/>
      <c r="UXU138" s="422"/>
      <c r="UXV138" s="422"/>
      <c r="UXW138" s="422"/>
      <c r="UXX138" s="422"/>
      <c r="UXY138" s="422"/>
      <c r="UXZ138" s="422"/>
      <c r="UYA138" s="422"/>
      <c r="UYB138" s="422"/>
      <c r="UYC138" s="422"/>
      <c r="UYD138" s="422"/>
      <c r="UYE138" s="422"/>
      <c r="UYF138" s="422"/>
      <c r="UYG138" s="422"/>
      <c r="UYH138" s="422"/>
      <c r="UYI138" s="422"/>
      <c r="UYJ138" s="422"/>
      <c r="UYK138" s="422"/>
      <c r="UYL138" s="422"/>
      <c r="UYM138" s="422"/>
      <c r="UYN138" s="422"/>
      <c r="UYO138" s="422"/>
      <c r="UYP138" s="422"/>
      <c r="UYQ138" s="422"/>
      <c r="UYR138" s="422"/>
      <c r="UYS138" s="422"/>
      <c r="UYT138" s="422"/>
      <c r="UYU138" s="422"/>
      <c r="UYV138" s="422"/>
      <c r="UYW138" s="422"/>
      <c r="UYX138" s="422"/>
      <c r="UYY138" s="422"/>
      <c r="UYZ138" s="422"/>
      <c r="UZA138" s="422"/>
      <c r="UZB138" s="422"/>
      <c r="UZC138" s="422"/>
      <c r="UZD138" s="422"/>
      <c r="UZE138" s="422"/>
      <c r="UZF138" s="422"/>
      <c r="UZG138" s="422"/>
      <c r="UZH138" s="422"/>
      <c r="UZI138" s="422"/>
      <c r="UZJ138" s="422"/>
      <c r="UZK138" s="422"/>
      <c r="UZL138" s="422"/>
      <c r="UZM138" s="422"/>
      <c r="UZN138" s="422"/>
      <c r="UZO138" s="422"/>
      <c r="UZP138" s="422"/>
      <c r="UZQ138" s="422"/>
      <c r="UZR138" s="422"/>
      <c r="UZS138" s="422"/>
      <c r="UZT138" s="422"/>
      <c r="UZU138" s="422"/>
      <c r="UZV138" s="422"/>
      <c r="UZW138" s="422"/>
      <c r="UZX138" s="422"/>
      <c r="UZY138" s="422"/>
      <c r="UZZ138" s="422"/>
      <c r="VAA138" s="422"/>
      <c r="VAB138" s="422"/>
      <c r="VAC138" s="422"/>
      <c r="VAD138" s="422"/>
      <c r="VAE138" s="422"/>
      <c r="VAF138" s="422"/>
      <c r="VAG138" s="422"/>
      <c r="VAH138" s="422"/>
      <c r="VAI138" s="422"/>
      <c r="VAJ138" s="422"/>
      <c r="VAK138" s="422"/>
      <c r="VAL138" s="422"/>
      <c r="VAM138" s="422"/>
      <c r="VAN138" s="422"/>
      <c r="VAO138" s="422"/>
      <c r="VAP138" s="422"/>
      <c r="VAQ138" s="422"/>
      <c r="VAR138" s="422"/>
      <c r="VAS138" s="422"/>
      <c r="VAT138" s="422"/>
      <c r="VAU138" s="422"/>
      <c r="VAV138" s="422"/>
      <c r="VAW138" s="422"/>
      <c r="VAX138" s="422"/>
      <c r="VAY138" s="422"/>
      <c r="VAZ138" s="422"/>
      <c r="VBA138" s="422"/>
      <c r="VBB138" s="422"/>
      <c r="VBC138" s="422"/>
      <c r="VBD138" s="422"/>
      <c r="VBE138" s="422"/>
      <c r="VBF138" s="422"/>
      <c r="VBG138" s="422"/>
      <c r="VBH138" s="422"/>
      <c r="VBI138" s="422"/>
      <c r="VBJ138" s="422"/>
      <c r="VBK138" s="422"/>
      <c r="VBL138" s="422"/>
      <c r="VBM138" s="422"/>
      <c r="VBN138" s="422"/>
      <c r="VBO138" s="422"/>
      <c r="VBP138" s="422"/>
      <c r="VBQ138" s="422"/>
      <c r="VBR138" s="422"/>
      <c r="VBS138" s="422"/>
      <c r="VBT138" s="422"/>
      <c r="VBU138" s="422"/>
      <c r="VBV138" s="422"/>
      <c r="VBW138" s="422"/>
      <c r="VBX138" s="422"/>
      <c r="VBY138" s="422"/>
      <c r="VBZ138" s="422"/>
      <c r="VCA138" s="422"/>
      <c r="VCB138" s="422"/>
      <c r="VCC138" s="422"/>
      <c r="VCD138" s="422"/>
      <c r="VCE138" s="422"/>
      <c r="VCF138" s="422"/>
      <c r="VCG138" s="422"/>
      <c r="VCH138" s="422"/>
      <c r="VCI138" s="422"/>
      <c r="VCJ138" s="422"/>
      <c r="VCK138" s="422"/>
      <c r="VCL138" s="422"/>
      <c r="VCM138" s="422"/>
      <c r="VCN138" s="422"/>
      <c r="VCO138" s="422"/>
      <c r="VCP138" s="422"/>
      <c r="VCQ138" s="422"/>
      <c r="VCR138" s="422"/>
      <c r="VCS138" s="422"/>
      <c r="VCT138" s="422"/>
      <c r="VCU138" s="422"/>
      <c r="VCV138" s="422"/>
      <c r="VCW138" s="422"/>
      <c r="VCX138" s="422"/>
      <c r="VCY138" s="422"/>
      <c r="VCZ138" s="422"/>
      <c r="VDA138" s="422"/>
      <c r="VDB138" s="422"/>
      <c r="VDC138" s="422"/>
      <c r="VDD138" s="422"/>
      <c r="VDE138" s="422"/>
      <c r="VDF138" s="422"/>
      <c r="VDG138" s="422"/>
      <c r="VDH138" s="422"/>
      <c r="VDI138" s="422"/>
      <c r="VDJ138" s="422"/>
      <c r="VDK138" s="422"/>
      <c r="VDL138" s="422"/>
      <c r="VDM138" s="422"/>
      <c r="VDN138" s="422"/>
      <c r="VDO138" s="422"/>
      <c r="VDP138" s="422"/>
      <c r="VDQ138" s="422"/>
      <c r="VDR138" s="422"/>
      <c r="VDS138" s="422"/>
      <c r="VDT138" s="422"/>
      <c r="VDU138" s="422"/>
      <c r="VDV138" s="422"/>
      <c r="VDW138" s="422"/>
      <c r="VDX138" s="422"/>
      <c r="VDY138" s="422"/>
      <c r="VDZ138" s="422"/>
      <c r="VEA138" s="422"/>
      <c r="VEB138" s="422"/>
      <c r="VEC138" s="422"/>
      <c r="VED138" s="422"/>
      <c r="VEE138" s="422"/>
      <c r="VEF138" s="422"/>
      <c r="VEG138" s="422"/>
      <c r="VEH138" s="422"/>
      <c r="VEI138" s="422"/>
      <c r="VEJ138" s="422"/>
      <c r="VEK138" s="422"/>
      <c r="VEL138" s="422"/>
      <c r="VEM138" s="422"/>
      <c r="VEN138" s="422"/>
      <c r="VEO138" s="422"/>
      <c r="VEP138" s="422"/>
      <c r="VEQ138" s="422"/>
      <c r="VER138" s="422"/>
      <c r="VES138" s="422"/>
      <c r="VET138" s="422"/>
      <c r="VEU138" s="422"/>
      <c r="VEV138" s="422"/>
      <c r="VEW138" s="422"/>
      <c r="VEX138" s="422"/>
      <c r="VEY138" s="422"/>
      <c r="VEZ138" s="422"/>
      <c r="VFA138" s="422"/>
      <c r="VFB138" s="422"/>
      <c r="VFC138" s="422"/>
      <c r="VFD138" s="422"/>
      <c r="VFE138" s="422"/>
      <c r="VFF138" s="422"/>
      <c r="VFG138" s="422"/>
      <c r="VFH138" s="422"/>
      <c r="VFI138" s="422"/>
      <c r="VFJ138" s="422"/>
      <c r="VFK138" s="422"/>
      <c r="VFL138" s="422"/>
      <c r="VFM138" s="422"/>
      <c r="VFN138" s="422"/>
      <c r="VFO138" s="422"/>
      <c r="VFP138" s="422"/>
      <c r="VFQ138" s="422"/>
      <c r="VFR138" s="422"/>
      <c r="VFS138" s="422"/>
      <c r="VFT138" s="422"/>
      <c r="VFU138" s="422"/>
      <c r="VFV138" s="422"/>
      <c r="VFW138" s="422"/>
      <c r="VFX138" s="422"/>
      <c r="VFY138" s="422"/>
      <c r="VFZ138" s="422"/>
      <c r="VGA138" s="422"/>
      <c r="VGB138" s="422"/>
      <c r="VGC138" s="422"/>
      <c r="VGD138" s="422"/>
      <c r="VGE138" s="422"/>
      <c r="VGF138" s="422"/>
      <c r="VGG138" s="422"/>
      <c r="VGH138" s="422"/>
      <c r="VGI138" s="422"/>
      <c r="VGJ138" s="422"/>
      <c r="VGK138" s="422"/>
      <c r="VGL138" s="422"/>
      <c r="VGM138" s="422"/>
      <c r="VGN138" s="422"/>
      <c r="VGO138" s="422"/>
      <c r="VGP138" s="422"/>
      <c r="VGQ138" s="422"/>
      <c r="VGR138" s="422"/>
      <c r="VGS138" s="422"/>
      <c r="VGT138" s="422"/>
      <c r="VGU138" s="422"/>
      <c r="VGV138" s="422"/>
      <c r="VGW138" s="422"/>
      <c r="VGX138" s="422"/>
      <c r="VGY138" s="422"/>
      <c r="VGZ138" s="422"/>
      <c r="VHA138" s="422"/>
      <c r="VHB138" s="422"/>
      <c r="VHC138" s="422"/>
      <c r="VHD138" s="422"/>
      <c r="VHE138" s="422"/>
      <c r="VHF138" s="422"/>
      <c r="VHG138" s="422"/>
      <c r="VHH138" s="422"/>
      <c r="VHI138" s="422"/>
      <c r="VHJ138" s="422"/>
      <c r="VHK138" s="422"/>
      <c r="VHL138" s="422"/>
      <c r="VHM138" s="422"/>
      <c r="VHN138" s="422"/>
      <c r="VHO138" s="422"/>
      <c r="VHP138" s="422"/>
      <c r="VHQ138" s="422"/>
      <c r="VHR138" s="422"/>
      <c r="VHS138" s="422"/>
      <c r="VHT138" s="422"/>
      <c r="VHU138" s="422"/>
      <c r="VHV138" s="422"/>
      <c r="VHW138" s="422"/>
      <c r="VHX138" s="422"/>
      <c r="VHY138" s="422"/>
      <c r="VHZ138" s="422"/>
      <c r="VIA138" s="422"/>
      <c r="VIB138" s="422"/>
      <c r="VIC138" s="422"/>
      <c r="VID138" s="422"/>
      <c r="VIE138" s="422"/>
      <c r="VIF138" s="422"/>
      <c r="VIG138" s="422"/>
      <c r="VIH138" s="422"/>
      <c r="VII138" s="422"/>
      <c r="VIJ138" s="422"/>
      <c r="VIK138" s="422"/>
      <c r="VIL138" s="422"/>
      <c r="VIM138" s="422"/>
      <c r="VIN138" s="422"/>
      <c r="VIO138" s="422"/>
      <c r="VIP138" s="422"/>
      <c r="VIQ138" s="422"/>
      <c r="VIR138" s="422"/>
      <c r="VIS138" s="422"/>
      <c r="VIT138" s="422"/>
      <c r="VIU138" s="422"/>
      <c r="VIV138" s="422"/>
      <c r="VIW138" s="422"/>
      <c r="VIX138" s="422"/>
      <c r="VIY138" s="422"/>
      <c r="VIZ138" s="422"/>
      <c r="VJA138" s="422"/>
      <c r="VJB138" s="422"/>
      <c r="VJC138" s="422"/>
      <c r="VJD138" s="422"/>
      <c r="VJE138" s="422"/>
      <c r="VJF138" s="422"/>
      <c r="VJG138" s="422"/>
      <c r="VJH138" s="422"/>
      <c r="VJI138" s="422"/>
      <c r="VJJ138" s="422"/>
      <c r="VJK138" s="422"/>
      <c r="VJL138" s="422"/>
      <c r="VJM138" s="422"/>
      <c r="VJN138" s="422"/>
      <c r="VJO138" s="422"/>
      <c r="VJP138" s="422"/>
      <c r="VJQ138" s="422"/>
      <c r="VJR138" s="422"/>
      <c r="VJS138" s="422"/>
      <c r="VJT138" s="422"/>
      <c r="VJU138" s="422"/>
      <c r="VJV138" s="422"/>
      <c r="VJW138" s="422"/>
      <c r="VJX138" s="422"/>
      <c r="VJY138" s="422"/>
      <c r="VJZ138" s="422"/>
      <c r="VKA138" s="422"/>
      <c r="VKB138" s="422"/>
      <c r="VKC138" s="422"/>
      <c r="VKD138" s="422"/>
      <c r="VKE138" s="422"/>
      <c r="VKF138" s="422"/>
      <c r="VKG138" s="422"/>
      <c r="VKH138" s="422"/>
      <c r="VKI138" s="422"/>
      <c r="VKJ138" s="422"/>
      <c r="VKK138" s="422"/>
      <c r="VKL138" s="422"/>
      <c r="VKM138" s="422"/>
      <c r="VKN138" s="422"/>
      <c r="VKO138" s="422"/>
      <c r="VKP138" s="422"/>
      <c r="VKQ138" s="422"/>
      <c r="VKR138" s="422"/>
      <c r="VKS138" s="422"/>
      <c r="VKT138" s="422"/>
      <c r="VKU138" s="422"/>
      <c r="VKV138" s="422"/>
      <c r="VKW138" s="422"/>
      <c r="VKX138" s="422"/>
      <c r="VKY138" s="422"/>
      <c r="VKZ138" s="422"/>
      <c r="VLA138" s="422"/>
      <c r="VLB138" s="422"/>
      <c r="VLC138" s="422"/>
      <c r="VLD138" s="422"/>
      <c r="VLE138" s="422"/>
      <c r="VLF138" s="422"/>
      <c r="VLG138" s="422"/>
      <c r="VLH138" s="422"/>
      <c r="VLI138" s="422"/>
      <c r="VLJ138" s="422"/>
      <c r="VLK138" s="422"/>
      <c r="VLL138" s="422"/>
      <c r="VLM138" s="422"/>
      <c r="VLN138" s="422"/>
      <c r="VLO138" s="422"/>
      <c r="VLP138" s="422"/>
      <c r="VLQ138" s="422"/>
      <c r="VLR138" s="422"/>
      <c r="VLS138" s="422"/>
      <c r="VLT138" s="422"/>
      <c r="VLU138" s="422"/>
      <c r="VLV138" s="422"/>
      <c r="VLW138" s="422"/>
      <c r="VLX138" s="422"/>
      <c r="VLY138" s="422"/>
      <c r="VLZ138" s="422"/>
      <c r="VMA138" s="422"/>
      <c r="VMB138" s="422"/>
      <c r="VMC138" s="422"/>
      <c r="VMD138" s="422"/>
      <c r="VME138" s="422"/>
      <c r="VMF138" s="422"/>
      <c r="VMG138" s="422"/>
      <c r="VMH138" s="422"/>
      <c r="VMI138" s="422"/>
      <c r="VMJ138" s="422"/>
      <c r="VMK138" s="422"/>
      <c r="VML138" s="422"/>
      <c r="VMM138" s="422"/>
      <c r="VMN138" s="422"/>
      <c r="VMO138" s="422"/>
      <c r="VMP138" s="422"/>
      <c r="VMQ138" s="422"/>
      <c r="VMR138" s="422"/>
      <c r="VMS138" s="422"/>
      <c r="VMT138" s="422"/>
      <c r="VMU138" s="422"/>
      <c r="VMV138" s="422"/>
      <c r="VMW138" s="422"/>
      <c r="VMX138" s="422"/>
      <c r="VMY138" s="422"/>
      <c r="VMZ138" s="422"/>
      <c r="VNA138" s="422"/>
      <c r="VNB138" s="422"/>
      <c r="VNC138" s="422"/>
      <c r="VND138" s="422"/>
      <c r="VNE138" s="422"/>
      <c r="VNF138" s="422"/>
      <c r="VNG138" s="422"/>
      <c r="VNH138" s="422"/>
      <c r="VNI138" s="422"/>
      <c r="VNJ138" s="422"/>
      <c r="VNK138" s="422"/>
      <c r="VNL138" s="422"/>
      <c r="VNM138" s="422"/>
      <c r="VNN138" s="422"/>
      <c r="VNO138" s="422"/>
      <c r="VNP138" s="422"/>
      <c r="VNQ138" s="422"/>
      <c r="VNR138" s="422"/>
      <c r="VNS138" s="422"/>
      <c r="VNT138" s="422"/>
      <c r="VNU138" s="422"/>
      <c r="VNV138" s="422"/>
      <c r="VNW138" s="422"/>
      <c r="VNX138" s="422"/>
      <c r="VNY138" s="422"/>
      <c r="VNZ138" s="422"/>
      <c r="VOA138" s="422"/>
      <c r="VOB138" s="422"/>
      <c r="VOC138" s="422"/>
      <c r="VOD138" s="422"/>
      <c r="VOE138" s="422"/>
      <c r="VOF138" s="422"/>
      <c r="VOG138" s="422"/>
      <c r="VOH138" s="422"/>
      <c r="VOI138" s="422"/>
      <c r="VOJ138" s="422"/>
      <c r="VOK138" s="422"/>
      <c r="VOL138" s="422"/>
      <c r="VOM138" s="422"/>
      <c r="VON138" s="422"/>
      <c r="VOO138" s="422"/>
      <c r="VOP138" s="422"/>
      <c r="VOQ138" s="422"/>
      <c r="VOR138" s="422"/>
      <c r="VOS138" s="422"/>
      <c r="VOT138" s="422"/>
      <c r="VOU138" s="422"/>
      <c r="VOV138" s="422"/>
      <c r="VOW138" s="422"/>
      <c r="VOX138" s="422"/>
      <c r="VOY138" s="422"/>
      <c r="VOZ138" s="422"/>
      <c r="VPA138" s="422"/>
      <c r="VPB138" s="422"/>
      <c r="VPC138" s="422"/>
      <c r="VPD138" s="422"/>
      <c r="VPE138" s="422"/>
      <c r="VPF138" s="422"/>
      <c r="VPG138" s="422"/>
      <c r="VPH138" s="422"/>
      <c r="VPI138" s="422"/>
      <c r="VPJ138" s="422"/>
      <c r="VPK138" s="422"/>
      <c r="VPL138" s="422"/>
      <c r="VPM138" s="422"/>
      <c r="VPN138" s="422"/>
      <c r="VPO138" s="422"/>
      <c r="VPP138" s="422"/>
      <c r="VPQ138" s="422"/>
      <c r="VPR138" s="422"/>
      <c r="VPS138" s="422"/>
      <c r="VPT138" s="422"/>
      <c r="VPU138" s="422"/>
      <c r="VPV138" s="422"/>
      <c r="VPW138" s="422"/>
      <c r="VPX138" s="422"/>
      <c r="VPY138" s="422"/>
      <c r="VPZ138" s="422"/>
      <c r="VQA138" s="422"/>
      <c r="VQB138" s="422"/>
      <c r="VQC138" s="422"/>
      <c r="VQD138" s="422"/>
      <c r="VQE138" s="422"/>
      <c r="VQF138" s="422"/>
      <c r="VQG138" s="422"/>
      <c r="VQH138" s="422"/>
      <c r="VQI138" s="422"/>
      <c r="VQJ138" s="422"/>
      <c r="VQK138" s="422"/>
      <c r="VQL138" s="422"/>
      <c r="VQM138" s="422"/>
      <c r="VQN138" s="422"/>
      <c r="VQO138" s="422"/>
      <c r="VQP138" s="422"/>
      <c r="VQQ138" s="422"/>
      <c r="VQR138" s="422"/>
      <c r="VQS138" s="422"/>
      <c r="VQT138" s="422"/>
      <c r="VQU138" s="422"/>
      <c r="VQV138" s="422"/>
      <c r="VQW138" s="422"/>
      <c r="VQX138" s="422"/>
      <c r="VQY138" s="422"/>
      <c r="VQZ138" s="422"/>
      <c r="VRA138" s="422"/>
      <c r="VRB138" s="422"/>
      <c r="VRC138" s="422"/>
      <c r="VRD138" s="422"/>
      <c r="VRE138" s="422"/>
      <c r="VRF138" s="422"/>
      <c r="VRG138" s="422"/>
      <c r="VRH138" s="422"/>
      <c r="VRI138" s="422"/>
      <c r="VRJ138" s="422"/>
      <c r="VRK138" s="422"/>
      <c r="VRL138" s="422"/>
      <c r="VRM138" s="422"/>
      <c r="VRN138" s="422"/>
      <c r="VRO138" s="422"/>
      <c r="VRP138" s="422"/>
      <c r="VRQ138" s="422"/>
      <c r="VRR138" s="422"/>
      <c r="VRS138" s="422"/>
      <c r="VRT138" s="422"/>
      <c r="VRU138" s="422"/>
      <c r="VRV138" s="422"/>
      <c r="VRW138" s="422"/>
      <c r="VRX138" s="422"/>
      <c r="VRY138" s="422"/>
      <c r="VRZ138" s="422"/>
      <c r="VSA138" s="422"/>
      <c r="VSB138" s="422"/>
      <c r="VSC138" s="422"/>
      <c r="VSD138" s="422"/>
      <c r="VSE138" s="422"/>
      <c r="VSF138" s="422"/>
      <c r="VSG138" s="422"/>
      <c r="VSH138" s="422"/>
      <c r="VSI138" s="422"/>
      <c r="VSJ138" s="422"/>
      <c r="VSK138" s="422"/>
      <c r="VSL138" s="422"/>
      <c r="VSM138" s="422"/>
      <c r="VSN138" s="422"/>
      <c r="VSO138" s="422"/>
      <c r="VSP138" s="422"/>
      <c r="VSQ138" s="422"/>
      <c r="VSR138" s="422"/>
      <c r="VSS138" s="422"/>
      <c r="VST138" s="422"/>
      <c r="VSU138" s="422"/>
      <c r="VSV138" s="422"/>
      <c r="VSW138" s="422"/>
      <c r="VSX138" s="422"/>
      <c r="VSY138" s="422"/>
      <c r="VSZ138" s="422"/>
      <c r="VTA138" s="422"/>
      <c r="VTB138" s="422"/>
      <c r="VTC138" s="422"/>
      <c r="VTD138" s="422"/>
      <c r="VTE138" s="422"/>
      <c r="VTF138" s="422"/>
      <c r="VTG138" s="422"/>
      <c r="VTH138" s="422"/>
      <c r="VTI138" s="422"/>
      <c r="VTJ138" s="422"/>
      <c r="VTK138" s="422"/>
      <c r="VTL138" s="422"/>
      <c r="VTM138" s="422"/>
      <c r="VTN138" s="422"/>
      <c r="VTO138" s="422"/>
      <c r="VTP138" s="422"/>
      <c r="VTQ138" s="422"/>
      <c r="VTR138" s="422"/>
      <c r="VTS138" s="422"/>
      <c r="VTT138" s="422"/>
      <c r="VTU138" s="422"/>
      <c r="VTV138" s="422"/>
      <c r="VTW138" s="422"/>
      <c r="VTX138" s="422"/>
      <c r="VTY138" s="422"/>
      <c r="VTZ138" s="422"/>
      <c r="VUA138" s="422"/>
      <c r="VUB138" s="422"/>
      <c r="VUC138" s="422"/>
      <c r="VUD138" s="422"/>
      <c r="VUE138" s="422"/>
      <c r="VUF138" s="422"/>
      <c r="VUG138" s="422"/>
      <c r="VUH138" s="422"/>
      <c r="VUI138" s="422"/>
      <c r="VUJ138" s="422"/>
      <c r="VUK138" s="422"/>
      <c r="VUL138" s="422"/>
      <c r="VUM138" s="422"/>
      <c r="VUN138" s="422"/>
      <c r="VUO138" s="422"/>
      <c r="VUP138" s="422"/>
      <c r="VUQ138" s="422"/>
      <c r="VUR138" s="422"/>
      <c r="VUS138" s="422"/>
      <c r="VUT138" s="422"/>
      <c r="VUU138" s="422"/>
      <c r="VUV138" s="422"/>
      <c r="VUW138" s="422"/>
      <c r="VUX138" s="422"/>
      <c r="VUY138" s="422"/>
      <c r="VUZ138" s="422"/>
      <c r="VVA138" s="422"/>
      <c r="VVB138" s="422"/>
      <c r="VVC138" s="422"/>
      <c r="VVD138" s="422"/>
      <c r="VVE138" s="422"/>
      <c r="VVF138" s="422"/>
      <c r="VVG138" s="422"/>
      <c r="VVH138" s="422"/>
      <c r="VVI138" s="422"/>
      <c r="VVJ138" s="422"/>
      <c r="VVK138" s="422"/>
      <c r="VVL138" s="422"/>
      <c r="VVM138" s="422"/>
      <c r="VVN138" s="422"/>
      <c r="VVO138" s="422"/>
      <c r="VVP138" s="422"/>
      <c r="VVQ138" s="422"/>
      <c r="VVR138" s="422"/>
      <c r="VVS138" s="422"/>
      <c r="VVT138" s="422"/>
      <c r="VVU138" s="422"/>
      <c r="VVV138" s="422"/>
      <c r="VVW138" s="422"/>
      <c r="VVX138" s="422"/>
      <c r="VVY138" s="422"/>
      <c r="VVZ138" s="422"/>
      <c r="VWA138" s="422"/>
      <c r="VWB138" s="422"/>
      <c r="VWC138" s="422"/>
      <c r="VWD138" s="422"/>
      <c r="VWE138" s="422"/>
      <c r="VWF138" s="422"/>
      <c r="VWG138" s="422"/>
      <c r="VWH138" s="422"/>
      <c r="VWI138" s="422"/>
      <c r="VWJ138" s="422"/>
      <c r="VWK138" s="422"/>
      <c r="VWL138" s="422"/>
      <c r="VWM138" s="422"/>
      <c r="VWN138" s="422"/>
      <c r="VWO138" s="422"/>
      <c r="VWP138" s="422"/>
      <c r="VWQ138" s="422"/>
      <c r="VWR138" s="422"/>
      <c r="VWS138" s="422"/>
      <c r="VWT138" s="422"/>
      <c r="VWU138" s="422"/>
      <c r="VWV138" s="422"/>
      <c r="VWW138" s="422"/>
      <c r="VWX138" s="422"/>
      <c r="VWY138" s="422"/>
      <c r="VWZ138" s="422"/>
      <c r="VXA138" s="422"/>
      <c r="VXB138" s="422"/>
      <c r="VXC138" s="422"/>
      <c r="VXD138" s="422"/>
      <c r="VXE138" s="422"/>
      <c r="VXF138" s="422"/>
      <c r="VXG138" s="422"/>
      <c r="VXH138" s="422"/>
      <c r="VXI138" s="422"/>
      <c r="VXJ138" s="422"/>
      <c r="VXK138" s="422"/>
      <c r="VXL138" s="422"/>
      <c r="VXM138" s="422"/>
      <c r="VXN138" s="422"/>
      <c r="VXO138" s="422"/>
      <c r="VXP138" s="422"/>
      <c r="VXQ138" s="422"/>
      <c r="VXR138" s="422"/>
      <c r="VXS138" s="422"/>
      <c r="VXT138" s="422"/>
      <c r="VXU138" s="422"/>
      <c r="VXV138" s="422"/>
      <c r="VXW138" s="422"/>
      <c r="VXX138" s="422"/>
      <c r="VXY138" s="422"/>
      <c r="VXZ138" s="422"/>
      <c r="VYA138" s="422"/>
      <c r="VYB138" s="422"/>
      <c r="VYC138" s="422"/>
      <c r="VYD138" s="422"/>
      <c r="VYE138" s="422"/>
      <c r="VYF138" s="422"/>
      <c r="VYG138" s="422"/>
      <c r="VYH138" s="422"/>
      <c r="VYI138" s="422"/>
      <c r="VYJ138" s="422"/>
      <c r="VYK138" s="422"/>
      <c r="VYL138" s="422"/>
      <c r="VYM138" s="422"/>
      <c r="VYN138" s="422"/>
      <c r="VYO138" s="422"/>
      <c r="VYP138" s="422"/>
      <c r="VYQ138" s="422"/>
      <c r="VYR138" s="422"/>
      <c r="VYS138" s="422"/>
      <c r="VYT138" s="422"/>
      <c r="VYU138" s="422"/>
      <c r="VYV138" s="422"/>
      <c r="VYW138" s="422"/>
      <c r="VYX138" s="422"/>
      <c r="VYY138" s="422"/>
      <c r="VYZ138" s="422"/>
      <c r="VZA138" s="422"/>
      <c r="VZB138" s="422"/>
      <c r="VZC138" s="422"/>
      <c r="VZD138" s="422"/>
      <c r="VZE138" s="422"/>
      <c r="VZF138" s="422"/>
      <c r="VZG138" s="422"/>
      <c r="VZH138" s="422"/>
      <c r="VZI138" s="422"/>
      <c r="VZJ138" s="422"/>
      <c r="VZK138" s="422"/>
      <c r="VZL138" s="422"/>
      <c r="VZM138" s="422"/>
      <c r="VZN138" s="422"/>
      <c r="VZO138" s="422"/>
      <c r="VZP138" s="422"/>
      <c r="VZQ138" s="422"/>
      <c r="VZR138" s="422"/>
      <c r="VZS138" s="422"/>
      <c r="VZT138" s="422"/>
      <c r="VZU138" s="422"/>
      <c r="VZV138" s="422"/>
      <c r="VZW138" s="422"/>
      <c r="VZX138" s="422"/>
      <c r="VZY138" s="422"/>
      <c r="VZZ138" s="422"/>
      <c r="WAA138" s="422"/>
      <c r="WAB138" s="422"/>
      <c r="WAC138" s="422"/>
      <c r="WAD138" s="422"/>
      <c r="WAE138" s="422"/>
      <c r="WAF138" s="422"/>
      <c r="WAG138" s="422"/>
      <c r="WAH138" s="422"/>
      <c r="WAI138" s="422"/>
      <c r="WAJ138" s="422"/>
      <c r="WAK138" s="422"/>
      <c r="WAL138" s="422"/>
      <c r="WAM138" s="422"/>
      <c r="WAN138" s="422"/>
      <c r="WAO138" s="422"/>
      <c r="WAP138" s="422"/>
      <c r="WAQ138" s="422"/>
      <c r="WAR138" s="422"/>
      <c r="WAS138" s="422"/>
      <c r="WAT138" s="422"/>
      <c r="WAU138" s="422"/>
      <c r="WAV138" s="422"/>
      <c r="WAW138" s="422"/>
      <c r="WAX138" s="422"/>
      <c r="WAY138" s="422"/>
      <c r="WAZ138" s="422"/>
      <c r="WBA138" s="422"/>
      <c r="WBB138" s="422"/>
      <c r="WBC138" s="422"/>
      <c r="WBD138" s="422"/>
      <c r="WBE138" s="422"/>
      <c r="WBF138" s="422"/>
      <c r="WBG138" s="422"/>
      <c r="WBH138" s="422"/>
      <c r="WBI138" s="422"/>
      <c r="WBJ138" s="422"/>
      <c r="WBK138" s="422"/>
      <c r="WBL138" s="422"/>
      <c r="WBM138" s="422"/>
      <c r="WBN138" s="422"/>
      <c r="WBO138" s="422"/>
      <c r="WBP138" s="422"/>
      <c r="WBQ138" s="422"/>
      <c r="WBR138" s="422"/>
      <c r="WBS138" s="422"/>
      <c r="WBT138" s="422"/>
      <c r="WBU138" s="422"/>
      <c r="WBV138" s="422"/>
      <c r="WBW138" s="422"/>
      <c r="WBX138" s="422"/>
      <c r="WBY138" s="422"/>
      <c r="WBZ138" s="422"/>
      <c r="WCA138" s="422"/>
      <c r="WCB138" s="422"/>
      <c r="WCC138" s="422"/>
      <c r="WCD138" s="422"/>
      <c r="WCE138" s="422"/>
      <c r="WCF138" s="422"/>
      <c r="WCG138" s="422"/>
      <c r="WCH138" s="422"/>
      <c r="WCI138" s="422"/>
      <c r="WCJ138" s="422"/>
      <c r="WCK138" s="422"/>
      <c r="WCL138" s="422"/>
      <c r="WCM138" s="422"/>
      <c r="WCN138" s="422"/>
      <c r="WCO138" s="422"/>
      <c r="WCP138" s="422"/>
      <c r="WCQ138" s="422"/>
      <c r="WCR138" s="422"/>
      <c r="WCS138" s="422"/>
      <c r="WCT138" s="422"/>
      <c r="WCU138" s="422"/>
      <c r="WCV138" s="422"/>
      <c r="WCW138" s="422"/>
      <c r="WCX138" s="422"/>
      <c r="WCY138" s="422"/>
      <c r="WCZ138" s="422"/>
      <c r="WDA138" s="422"/>
      <c r="WDB138" s="422"/>
      <c r="WDC138" s="422"/>
      <c r="WDD138" s="422"/>
      <c r="WDE138" s="422"/>
      <c r="WDF138" s="422"/>
      <c r="WDG138" s="422"/>
      <c r="WDH138" s="422"/>
      <c r="WDI138" s="422"/>
      <c r="WDJ138" s="422"/>
      <c r="WDK138" s="422"/>
      <c r="WDL138" s="422"/>
      <c r="WDM138" s="422"/>
      <c r="WDN138" s="422"/>
      <c r="WDO138" s="422"/>
      <c r="WDP138" s="422"/>
      <c r="WDQ138" s="422"/>
      <c r="WDR138" s="422"/>
      <c r="WDS138" s="422"/>
      <c r="WDT138" s="422"/>
      <c r="WDU138" s="422"/>
      <c r="WDV138" s="422"/>
      <c r="WDW138" s="422"/>
      <c r="WDX138" s="422"/>
      <c r="WDY138" s="422"/>
      <c r="WDZ138" s="422"/>
      <c r="WEA138" s="422"/>
      <c r="WEB138" s="422"/>
      <c r="WEC138" s="422"/>
      <c r="WED138" s="422"/>
      <c r="WEE138" s="422"/>
      <c r="WEF138" s="422"/>
      <c r="WEG138" s="422"/>
      <c r="WEH138" s="422"/>
      <c r="WEI138" s="422"/>
      <c r="WEJ138" s="422"/>
      <c r="WEK138" s="422"/>
      <c r="WEL138" s="422"/>
      <c r="WEM138" s="422"/>
      <c r="WEN138" s="422"/>
      <c r="WEO138" s="422"/>
      <c r="WEP138" s="422"/>
      <c r="WEQ138" s="422"/>
      <c r="WER138" s="422"/>
      <c r="WES138" s="422"/>
      <c r="WET138" s="422"/>
      <c r="WEU138" s="422"/>
      <c r="WEV138" s="422"/>
      <c r="WEW138" s="422"/>
      <c r="WEX138" s="422"/>
      <c r="WEY138" s="422"/>
      <c r="WEZ138" s="422"/>
      <c r="WFA138" s="422"/>
      <c r="WFB138" s="422"/>
      <c r="WFC138" s="422"/>
      <c r="WFD138" s="422"/>
      <c r="WFE138" s="422"/>
      <c r="WFF138" s="422"/>
      <c r="WFG138" s="422"/>
      <c r="WFH138" s="422"/>
      <c r="WFI138" s="422"/>
      <c r="WFJ138" s="422"/>
      <c r="WFK138" s="422"/>
      <c r="WFL138" s="422"/>
      <c r="WFM138" s="422"/>
      <c r="WFN138" s="422"/>
      <c r="WFO138" s="422"/>
      <c r="WFP138" s="422"/>
      <c r="WFQ138" s="422"/>
      <c r="WFR138" s="422"/>
      <c r="WFS138" s="422"/>
      <c r="WFT138" s="422"/>
      <c r="WFU138" s="422"/>
      <c r="WFV138" s="422"/>
      <c r="WFW138" s="422"/>
      <c r="WFX138" s="422"/>
      <c r="WFY138" s="422"/>
      <c r="WFZ138" s="422"/>
      <c r="WGA138" s="422"/>
      <c r="WGB138" s="422"/>
      <c r="WGC138" s="422"/>
      <c r="WGD138" s="422"/>
      <c r="WGE138" s="422"/>
      <c r="WGF138" s="422"/>
      <c r="WGG138" s="422"/>
      <c r="WGH138" s="422"/>
      <c r="WGI138" s="422"/>
      <c r="WGJ138" s="422"/>
      <c r="WGK138" s="422"/>
      <c r="WGL138" s="422"/>
      <c r="WGM138" s="422"/>
      <c r="WGN138" s="422"/>
      <c r="WGO138" s="422"/>
      <c r="WGP138" s="422"/>
      <c r="WGQ138" s="422"/>
      <c r="WGR138" s="422"/>
      <c r="WGS138" s="422"/>
      <c r="WGT138" s="422"/>
      <c r="WGU138" s="422"/>
      <c r="WGV138" s="422"/>
      <c r="WGW138" s="422"/>
      <c r="WGX138" s="422"/>
      <c r="WGY138" s="422"/>
      <c r="WGZ138" s="422"/>
      <c r="WHA138" s="422"/>
      <c r="WHB138" s="422"/>
      <c r="WHC138" s="422"/>
      <c r="WHD138" s="422"/>
      <c r="WHE138" s="422"/>
      <c r="WHF138" s="422"/>
      <c r="WHG138" s="422"/>
      <c r="WHH138" s="422"/>
      <c r="WHI138" s="422"/>
      <c r="WHJ138" s="422"/>
      <c r="WHK138" s="422"/>
      <c r="WHL138" s="422"/>
      <c r="WHM138" s="422"/>
      <c r="WHN138" s="422"/>
      <c r="WHO138" s="422"/>
      <c r="WHP138" s="422"/>
      <c r="WHQ138" s="422"/>
      <c r="WHR138" s="422"/>
      <c r="WHS138" s="422"/>
      <c r="WHT138" s="422"/>
      <c r="WHU138" s="422"/>
      <c r="WHV138" s="422"/>
      <c r="WHW138" s="422"/>
      <c r="WHX138" s="422"/>
      <c r="WHY138" s="422"/>
      <c r="WHZ138" s="422"/>
      <c r="WIA138" s="422"/>
      <c r="WIB138" s="422"/>
      <c r="WIC138" s="422"/>
      <c r="WID138" s="422"/>
      <c r="WIE138" s="422"/>
      <c r="WIF138" s="422"/>
      <c r="WIG138" s="422"/>
      <c r="WIH138" s="422"/>
      <c r="WII138" s="422"/>
      <c r="WIJ138" s="422"/>
      <c r="WIK138" s="422"/>
      <c r="WIL138" s="422"/>
      <c r="WIM138" s="422"/>
      <c r="WIN138" s="422"/>
      <c r="WIO138" s="422"/>
      <c r="WIP138" s="422"/>
      <c r="WIQ138" s="422"/>
      <c r="WIR138" s="422"/>
      <c r="WIS138" s="422"/>
      <c r="WIT138" s="422"/>
      <c r="WIU138" s="422"/>
      <c r="WIV138" s="422"/>
      <c r="WIW138" s="422"/>
      <c r="WIX138" s="422"/>
      <c r="WIY138" s="422"/>
      <c r="WIZ138" s="422"/>
      <c r="WJA138" s="422"/>
      <c r="WJB138" s="422"/>
      <c r="WJC138" s="422"/>
      <c r="WJD138" s="422"/>
      <c r="WJE138" s="422"/>
      <c r="WJF138" s="422"/>
      <c r="WJG138" s="422"/>
      <c r="WJH138" s="422"/>
      <c r="WJI138" s="422"/>
      <c r="WJJ138" s="422"/>
      <c r="WJK138" s="422"/>
      <c r="WJL138" s="422"/>
      <c r="WJM138" s="422"/>
      <c r="WJN138" s="422"/>
      <c r="WJO138" s="422"/>
      <c r="WJP138" s="422"/>
      <c r="WJQ138" s="422"/>
      <c r="WJR138" s="422"/>
      <c r="WJS138" s="422"/>
      <c r="WJT138" s="422"/>
      <c r="WJU138" s="422"/>
      <c r="WJV138" s="422"/>
      <c r="WJW138" s="422"/>
      <c r="WJX138" s="422"/>
      <c r="WJY138" s="422"/>
      <c r="WJZ138" s="422"/>
      <c r="WKA138" s="422"/>
      <c r="WKB138" s="422"/>
      <c r="WKC138" s="422"/>
      <c r="WKD138" s="422"/>
      <c r="WKE138" s="422"/>
      <c r="WKF138" s="422"/>
      <c r="WKG138" s="422"/>
      <c r="WKH138" s="422"/>
      <c r="WKI138" s="422"/>
      <c r="WKJ138" s="422"/>
      <c r="WKK138" s="422"/>
      <c r="WKL138" s="422"/>
      <c r="WKM138" s="422"/>
      <c r="WKN138" s="422"/>
      <c r="WKO138" s="422"/>
      <c r="WKP138" s="422"/>
      <c r="WKQ138" s="422"/>
      <c r="WKR138" s="422"/>
      <c r="WKS138" s="422"/>
      <c r="WKT138" s="422"/>
      <c r="WKU138" s="422"/>
      <c r="WKV138" s="422"/>
      <c r="WKW138" s="422"/>
      <c r="WKX138" s="422"/>
      <c r="WKY138" s="422"/>
      <c r="WKZ138" s="422"/>
      <c r="WLA138" s="422"/>
      <c r="WLB138" s="422"/>
      <c r="WLC138" s="422"/>
      <c r="WLD138" s="422"/>
      <c r="WLE138" s="422"/>
      <c r="WLF138" s="422"/>
      <c r="WLG138" s="422"/>
      <c r="WLH138" s="422"/>
      <c r="WLI138" s="422"/>
      <c r="WLJ138" s="422"/>
      <c r="WLK138" s="422"/>
      <c r="WLL138" s="422"/>
      <c r="WLM138" s="422"/>
      <c r="WLN138" s="422"/>
      <c r="WLO138" s="422"/>
      <c r="WLP138" s="422"/>
      <c r="WLQ138" s="422"/>
      <c r="WLR138" s="422"/>
      <c r="WLS138" s="422"/>
      <c r="WLT138" s="422"/>
      <c r="WLU138" s="422"/>
      <c r="WLV138" s="422"/>
      <c r="WLW138" s="422"/>
      <c r="WLX138" s="422"/>
      <c r="WLY138" s="422"/>
      <c r="WLZ138" s="422"/>
      <c r="WMA138" s="422"/>
      <c r="WMB138" s="422"/>
      <c r="WMC138" s="422"/>
      <c r="WMD138" s="422"/>
      <c r="WME138" s="422"/>
      <c r="WMF138" s="422"/>
      <c r="WMG138" s="422"/>
      <c r="WMH138" s="422"/>
      <c r="WMI138" s="422"/>
      <c r="WMJ138" s="422"/>
      <c r="WMK138" s="422"/>
      <c r="WML138" s="422"/>
      <c r="WMM138" s="422"/>
      <c r="WMN138" s="422"/>
      <c r="WMO138" s="422"/>
      <c r="WMP138" s="422"/>
      <c r="WMQ138" s="422"/>
      <c r="WMR138" s="422"/>
      <c r="WMS138" s="422"/>
      <c r="WMT138" s="422"/>
      <c r="WMU138" s="422"/>
      <c r="WMV138" s="422"/>
      <c r="WMW138" s="422"/>
      <c r="WMX138" s="422"/>
      <c r="WMY138" s="422"/>
      <c r="WMZ138" s="422"/>
      <c r="WNA138" s="422"/>
      <c r="WNB138" s="422"/>
      <c r="WNC138" s="422"/>
      <c r="WND138" s="422"/>
      <c r="WNE138" s="422"/>
      <c r="WNF138" s="422"/>
      <c r="WNG138" s="422"/>
      <c r="WNH138" s="422"/>
      <c r="WNI138" s="422"/>
      <c r="WNJ138" s="422"/>
      <c r="WNK138" s="422"/>
      <c r="WNL138" s="422"/>
      <c r="WNM138" s="422"/>
      <c r="WNN138" s="422"/>
      <c r="WNO138" s="422"/>
      <c r="WNP138" s="422"/>
      <c r="WNQ138" s="422"/>
      <c r="WNR138" s="422"/>
      <c r="WNS138" s="422"/>
      <c r="WNT138" s="422"/>
      <c r="WNU138" s="422"/>
      <c r="WNV138" s="422"/>
      <c r="WNW138" s="422"/>
      <c r="WNX138" s="422"/>
      <c r="WNY138" s="422"/>
      <c r="WNZ138" s="422"/>
      <c r="WOA138" s="422"/>
      <c r="WOB138" s="422"/>
      <c r="WOC138" s="422"/>
      <c r="WOD138" s="422"/>
      <c r="WOE138" s="422"/>
      <c r="WOF138" s="422"/>
      <c r="WOG138" s="422"/>
      <c r="WOH138" s="422"/>
      <c r="WOI138" s="422"/>
      <c r="WOJ138" s="422"/>
      <c r="WOK138" s="422"/>
      <c r="WOL138" s="422"/>
      <c r="WOM138" s="422"/>
      <c r="WON138" s="422"/>
      <c r="WOO138" s="422"/>
      <c r="WOP138" s="422"/>
      <c r="WOQ138" s="422"/>
      <c r="WOR138" s="422"/>
      <c r="WOS138" s="422"/>
      <c r="WOT138" s="422"/>
      <c r="WOU138" s="422"/>
      <c r="WOV138" s="422"/>
      <c r="WOW138" s="422"/>
      <c r="WOX138" s="422"/>
      <c r="WOY138" s="422"/>
      <c r="WOZ138" s="422"/>
      <c r="WPA138" s="422"/>
      <c r="WPB138" s="422"/>
      <c r="WPC138" s="422"/>
      <c r="WPD138" s="422"/>
      <c r="WPE138" s="422"/>
      <c r="WPF138" s="422"/>
      <c r="WPG138" s="422"/>
      <c r="WPH138" s="422"/>
      <c r="WPI138" s="422"/>
      <c r="WPJ138" s="422"/>
      <c r="WPK138" s="422"/>
      <c r="WPL138" s="422"/>
      <c r="WPM138" s="422"/>
      <c r="WPN138" s="422"/>
      <c r="WPO138" s="422"/>
      <c r="WPP138" s="422"/>
      <c r="WPQ138" s="422"/>
      <c r="WPR138" s="422"/>
      <c r="WPS138" s="422"/>
      <c r="WPT138" s="422"/>
      <c r="WPU138" s="422"/>
      <c r="WPV138" s="422"/>
      <c r="WPW138" s="422"/>
      <c r="WPX138" s="422"/>
      <c r="WPY138" s="422"/>
      <c r="WPZ138" s="422"/>
      <c r="WQA138" s="422"/>
      <c r="WQB138" s="422"/>
      <c r="WQC138" s="422"/>
      <c r="WQD138" s="422"/>
      <c r="WQE138" s="422"/>
      <c r="WQF138" s="422"/>
      <c r="WQG138" s="422"/>
      <c r="WQH138" s="422"/>
      <c r="WQI138" s="422"/>
      <c r="WQJ138" s="422"/>
      <c r="WQK138" s="422"/>
      <c r="WQL138" s="422"/>
      <c r="WQM138" s="422"/>
      <c r="WQN138" s="422"/>
      <c r="WQO138" s="422"/>
      <c r="WQP138" s="422"/>
      <c r="WQQ138" s="422"/>
      <c r="WQR138" s="422"/>
      <c r="WQS138" s="422"/>
      <c r="WQT138" s="422"/>
      <c r="WQU138" s="422"/>
      <c r="WQV138" s="422"/>
      <c r="WQW138" s="422"/>
      <c r="WQX138" s="422"/>
      <c r="WQY138" s="422"/>
      <c r="WQZ138" s="422"/>
      <c r="WRA138" s="422"/>
      <c r="WRB138" s="422"/>
      <c r="WRC138" s="422"/>
      <c r="WRD138" s="422"/>
      <c r="WRE138" s="422"/>
      <c r="WRF138" s="422"/>
      <c r="WRG138" s="422"/>
      <c r="WRH138" s="422"/>
      <c r="WRI138" s="422"/>
      <c r="WRJ138" s="422"/>
      <c r="WRK138" s="422"/>
      <c r="WRL138" s="422"/>
      <c r="WRM138" s="422"/>
      <c r="WRN138" s="422"/>
      <c r="WRO138" s="422"/>
      <c r="WRP138" s="422"/>
      <c r="WRQ138" s="422"/>
      <c r="WRR138" s="422"/>
      <c r="WRS138" s="422"/>
      <c r="WRT138" s="422"/>
      <c r="WRU138" s="422"/>
      <c r="WRV138" s="422"/>
      <c r="WRW138" s="422"/>
      <c r="WRX138" s="422"/>
      <c r="WRY138" s="422"/>
      <c r="WRZ138" s="422"/>
      <c r="WSA138" s="422"/>
      <c r="WSB138" s="422"/>
      <c r="WSC138" s="422"/>
      <c r="WSD138" s="422"/>
      <c r="WSE138" s="422"/>
      <c r="WSF138" s="422"/>
      <c r="WSG138" s="422"/>
      <c r="WSH138" s="422"/>
      <c r="WSI138" s="422"/>
      <c r="WSJ138" s="422"/>
      <c r="WSK138" s="422"/>
      <c r="WSL138" s="422"/>
      <c r="WSM138" s="422"/>
      <c r="WSN138" s="422"/>
      <c r="WSO138" s="422"/>
      <c r="WSP138" s="422"/>
      <c r="WSQ138" s="422"/>
      <c r="WSR138" s="422"/>
      <c r="WSS138" s="422"/>
      <c r="WST138" s="422"/>
      <c r="WSU138" s="422"/>
      <c r="WSV138" s="422"/>
      <c r="WSW138" s="422"/>
      <c r="WSX138" s="422"/>
      <c r="WSY138" s="422"/>
      <c r="WSZ138" s="422"/>
      <c r="WTA138" s="422"/>
      <c r="WTB138" s="422"/>
      <c r="WTC138" s="422"/>
      <c r="WTD138" s="422"/>
      <c r="WTE138" s="422"/>
      <c r="WTF138" s="422"/>
      <c r="WTG138" s="422"/>
      <c r="WTH138" s="422"/>
      <c r="WTI138" s="422"/>
      <c r="WTJ138" s="422"/>
      <c r="WTK138" s="422"/>
      <c r="WTL138" s="422"/>
      <c r="WTM138" s="422"/>
      <c r="WTN138" s="422"/>
      <c r="WTO138" s="422"/>
      <c r="WTP138" s="422"/>
      <c r="WTQ138" s="422"/>
      <c r="WTR138" s="422"/>
      <c r="WTS138" s="422"/>
      <c r="WTT138" s="422"/>
      <c r="WTU138" s="422"/>
      <c r="WTV138" s="422"/>
      <c r="WTW138" s="422"/>
      <c r="WTX138" s="422"/>
      <c r="WTY138" s="422"/>
      <c r="WTZ138" s="422"/>
      <c r="WUA138" s="422"/>
      <c r="WUB138" s="422"/>
      <c r="WUC138" s="422"/>
      <c r="WUD138" s="422"/>
      <c r="WUE138" s="422"/>
      <c r="WUF138" s="422"/>
      <c r="WUG138" s="422"/>
      <c r="WUH138" s="422"/>
      <c r="WUI138" s="422"/>
      <c r="WUJ138" s="422"/>
      <c r="WUK138" s="422"/>
      <c r="WUL138" s="422"/>
      <c r="WUM138" s="422"/>
      <c r="WUN138" s="422"/>
      <c r="WUO138" s="422"/>
      <c r="WUP138" s="422"/>
      <c r="WUQ138" s="422"/>
      <c r="WUR138" s="422"/>
      <c r="WUS138" s="422"/>
      <c r="WUT138" s="422"/>
      <c r="WUU138" s="422"/>
      <c r="WUV138" s="422"/>
      <c r="WUW138" s="422"/>
      <c r="WUX138" s="422"/>
      <c r="WUY138" s="422"/>
      <c r="WUZ138" s="422"/>
      <c r="WVA138" s="422"/>
      <c r="WVB138" s="422"/>
      <c r="WVC138" s="422"/>
      <c r="WVD138" s="422"/>
      <c r="WVE138" s="422"/>
      <c r="WVF138" s="422"/>
      <c r="WVG138" s="422"/>
      <c r="WVH138" s="422"/>
      <c r="WVI138" s="422"/>
      <c r="WVJ138" s="422"/>
      <c r="WVK138" s="422"/>
      <c r="WVL138" s="422"/>
      <c r="WVM138" s="422"/>
      <c r="WVN138" s="422"/>
      <c r="WVO138" s="422"/>
      <c r="WVP138" s="422"/>
      <c r="WVQ138" s="422"/>
      <c r="WVR138" s="422"/>
      <c r="WVS138" s="422"/>
      <c r="WVT138" s="422"/>
      <c r="WVU138" s="422"/>
      <c r="WVV138" s="422"/>
      <c r="WVW138" s="422"/>
      <c r="WVX138" s="422"/>
      <c r="WVY138" s="422"/>
      <c r="WVZ138" s="422"/>
      <c r="WWA138" s="422"/>
      <c r="WWB138" s="422"/>
      <c r="WWC138" s="422"/>
      <c r="WWD138" s="422"/>
      <c r="WWE138" s="422"/>
      <c r="WWF138" s="422"/>
      <c r="WWG138" s="422"/>
      <c r="WWH138" s="422"/>
      <c r="WWI138" s="422"/>
      <c r="WWJ138" s="422"/>
      <c r="WWK138" s="422"/>
      <c r="WWL138" s="422"/>
      <c r="WWM138" s="422"/>
      <c r="WWN138" s="422"/>
      <c r="WWO138" s="422"/>
      <c r="WWP138" s="422"/>
      <c r="WWQ138" s="422"/>
      <c r="WWR138" s="422"/>
      <c r="WWS138" s="422"/>
      <c r="WWT138" s="422"/>
      <c r="WWU138" s="422"/>
      <c r="WWV138" s="422"/>
      <c r="WWW138" s="422"/>
      <c r="WWX138" s="422"/>
      <c r="WWY138" s="422"/>
      <c r="WWZ138" s="422"/>
      <c r="WXA138" s="422"/>
      <c r="WXB138" s="422"/>
      <c r="WXC138" s="422"/>
      <c r="WXD138" s="422"/>
      <c r="WXE138" s="422"/>
      <c r="WXF138" s="422"/>
      <c r="WXG138" s="422"/>
      <c r="WXH138" s="422"/>
      <c r="WXI138" s="422"/>
      <c r="WXJ138" s="422"/>
      <c r="WXK138" s="422"/>
      <c r="WXL138" s="422"/>
      <c r="WXM138" s="422"/>
      <c r="WXN138" s="422"/>
      <c r="WXO138" s="422"/>
      <c r="WXP138" s="422"/>
      <c r="WXQ138" s="422"/>
      <c r="WXR138" s="422"/>
      <c r="WXS138" s="422"/>
      <c r="WXT138" s="422"/>
      <c r="WXU138" s="422"/>
      <c r="WXV138" s="422"/>
      <c r="WXW138" s="422"/>
      <c r="WXX138" s="422"/>
      <c r="WXY138" s="422"/>
      <c r="WXZ138" s="422"/>
      <c r="WYA138" s="422"/>
      <c r="WYB138" s="422"/>
      <c r="WYC138" s="422"/>
      <c r="WYD138" s="422"/>
      <c r="WYE138" s="422"/>
      <c r="WYF138" s="422"/>
      <c r="WYG138" s="422"/>
      <c r="WYH138" s="422"/>
      <c r="WYI138" s="422"/>
      <c r="WYJ138" s="422"/>
      <c r="WYK138" s="422"/>
      <c r="WYL138" s="422"/>
      <c r="WYM138" s="422"/>
      <c r="WYN138" s="422"/>
      <c r="WYO138" s="422"/>
      <c r="WYP138" s="422"/>
      <c r="WYQ138" s="422"/>
      <c r="WYR138" s="422"/>
      <c r="WYS138" s="422"/>
      <c r="WYT138" s="422"/>
      <c r="WYU138" s="422"/>
      <c r="WYV138" s="422"/>
      <c r="WYW138" s="422"/>
      <c r="WYX138" s="422"/>
      <c r="WYY138" s="422"/>
      <c r="WYZ138" s="422"/>
      <c r="WZA138" s="422"/>
      <c r="WZB138" s="422"/>
      <c r="WZC138" s="422"/>
      <c r="WZD138" s="422"/>
      <c r="WZE138" s="422"/>
      <c r="WZF138" s="422"/>
      <c r="WZG138" s="422"/>
      <c r="WZH138" s="422"/>
      <c r="WZI138" s="422"/>
      <c r="WZJ138" s="422"/>
      <c r="WZK138" s="422"/>
      <c r="WZL138" s="422"/>
      <c r="WZM138" s="422"/>
      <c r="WZN138" s="422"/>
      <c r="WZO138" s="422"/>
      <c r="WZP138" s="422"/>
      <c r="WZQ138" s="422"/>
      <c r="WZR138" s="422"/>
      <c r="WZS138" s="422"/>
      <c r="WZT138" s="422"/>
      <c r="WZU138" s="422"/>
      <c r="WZV138" s="422"/>
      <c r="WZW138" s="422"/>
      <c r="WZX138" s="422"/>
      <c r="WZY138" s="422"/>
      <c r="WZZ138" s="422"/>
      <c r="XAA138" s="422"/>
      <c r="XAB138" s="422"/>
      <c r="XAC138" s="422"/>
      <c r="XAD138" s="422"/>
      <c r="XAE138" s="422"/>
      <c r="XAF138" s="422"/>
      <c r="XAG138" s="422"/>
      <c r="XAH138" s="422"/>
      <c r="XAI138" s="422"/>
      <c r="XAJ138" s="422"/>
      <c r="XAK138" s="422"/>
      <c r="XAL138" s="422"/>
      <c r="XAM138" s="422"/>
      <c r="XAN138" s="422"/>
      <c r="XAO138" s="422"/>
      <c r="XAP138" s="422"/>
      <c r="XAQ138" s="422"/>
      <c r="XAR138" s="422"/>
      <c r="XAS138" s="422"/>
      <c r="XAT138" s="422"/>
      <c r="XAU138" s="422"/>
      <c r="XAV138" s="422"/>
      <c r="XAW138" s="422"/>
      <c r="XAX138" s="422"/>
      <c r="XAY138" s="422"/>
      <c r="XAZ138" s="422"/>
      <c r="XBA138" s="422"/>
      <c r="XBB138" s="422"/>
      <c r="XBC138" s="422"/>
      <c r="XBD138" s="422"/>
      <c r="XBE138" s="422"/>
      <c r="XBF138" s="422"/>
      <c r="XBG138" s="422"/>
      <c r="XBH138" s="422"/>
      <c r="XBI138" s="422"/>
      <c r="XBJ138" s="422"/>
      <c r="XBK138" s="422"/>
      <c r="XBL138" s="422"/>
      <c r="XBM138" s="422"/>
      <c r="XBN138" s="422"/>
      <c r="XBO138" s="422"/>
      <c r="XBP138" s="422"/>
      <c r="XBQ138" s="422"/>
      <c r="XBR138" s="422"/>
      <c r="XBS138" s="422"/>
      <c r="XBT138" s="422"/>
      <c r="XBU138" s="422"/>
      <c r="XBV138" s="422"/>
      <c r="XBW138" s="422"/>
      <c r="XBX138" s="422"/>
      <c r="XBY138" s="422"/>
      <c r="XBZ138" s="422"/>
      <c r="XCA138" s="422"/>
      <c r="XCB138" s="422"/>
      <c r="XCC138" s="422"/>
      <c r="XCD138" s="422"/>
      <c r="XCE138" s="422"/>
      <c r="XCF138" s="422"/>
      <c r="XCG138" s="422"/>
      <c r="XCH138" s="422"/>
      <c r="XCI138" s="422"/>
      <c r="XCJ138" s="422"/>
      <c r="XCK138" s="422"/>
      <c r="XCL138" s="422"/>
      <c r="XCM138" s="422"/>
      <c r="XCN138" s="422"/>
      <c r="XCO138" s="422"/>
      <c r="XCP138" s="422"/>
      <c r="XCQ138" s="422"/>
      <c r="XCR138" s="422"/>
      <c r="XCS138" s="422"/>
      <c r="XCT138" s="422"/>
      <c r="XCU138" s="422"/>
      <c r="XCV138" s="422"/>
      <c r="XCW138" s="422"/>
      <c r="XCX138" s="422"/>
      <c r="XCY138" s="422"/>
      <c r="XCZ138" s="422"/>
      <c r="XDA138" s="422"/>
      <c r="XDB138" s="422"/>
      <c r="XDC138" s="422"/>
      <c r="XDD138" s="422"/>
      <c r="XDE138" s="422"/>
      <c r="XDF138" s="422"/>
      <c r="XDG138" s="422"/>
      <c r="XDH138" s="422"/>
      <c r="XDI138" s="422"/>
      <c r="XDJ138" s="422"/>
      <c r="XDK138" s="422"/>
      <c r="XDL138" s="422"/>
      <c r="XDM138" s="422"/>
      <c r="XDN138" s="422"/>
      <c r="XDO138" s="422"/>
      <c r="XDP138" s="422"/>
      <c r="XDQ138" s="422"/>
      <c r="XDR138" s="422"/>
      <c r="XDS138" s="422"/>
      <c r="XDT138" s="422"/>
      <c r="XDU138" s="422"/>
      <c r="XDV138" s="422"/>
      <c r="XDW138" s="422"/>
      <c r="XDX138" s="422"/>
      <c r="XDY138" s="422"/>
      <c r="XDZ138" s="422"/>
      <c r="XEA138" s="422"/>
      <c r="XEB138" s="422"/>
      <c r="XEC138" s="422"/>
      <c r="XED138" s="422"/>
      <c r="XEE138" s="422"/>
      <c r="XEF138" s="422"/>
      <c r="XEG138" s="422"/>
      <c r="XEH138" s="422"/>
      <c r="XEI138" s="422"/>
      <c r="XEJ138" s="422"/>
      <c r="XEK138" s="422"/>
      <c r="XEL138" s="422"/>
      <c r="XEM138" s="422"/>
      <c r="XEN138" s="422"/>
      <c r="XEO138" s="422"/>
      <c r="XEP138" s="422"/>
      <c r="XEQ138" s="422"/>
      <c r="XER138" s="422"/>
      <c r="XES138" s="422"/>
      <c r="XET138" s="422"/>
      <c r="XEU138" s="422"/>
      <c r="XEV138" s="422"/>
      <c r="XEW138" s="422"/>
      <c r="XEX138" s="422"/>
      <c r="XEY138" s="422"/>
      <c r="XEZ138" s="422"/>
      <c r="XFA138" s="422"/>
      <c r="XFB138" s="492"/>
      <c r="XFC138" s="492"/>
      <c r="XFD138" s="497"/>
    </row>
    <row r="139" spans="1:16384" s="58" customFormat="1" ht="15" hidden="1" customHeight="1">
      <c r="A139" s="560" t="s">
        <v>363</v>
      </c>
      <c r="B139" s="114" t="s">
        <v>553</v>
      </c>
      <c r="C139" s="114"/>
      <c r="D139" s="119"/>
      <c r="E139" s="121">
        <v>1407.95</v>
      </c>
      <c r="F139" s="125" t="s">
        <v>551</v>
      </c>
      <c r="G139" s="350" t="s">
        <v>551</v>
      </c>
      <c r="H139" s="119" t="s">
        <v>19</v>
      </c>
      <c r="I139" s="70"/>
      <c r="J139" s="565"/>
      <c r="K139" s="566"/>
      <c r="L139" s="427"/>
      <c r="M139" s="113"/>
      <c r="N139" s="403"/>
      <c r="O139" s="403"/>
      <c r="P139" s="70"/>
      <c r="Q139" s="404"/>
      <c r="R139" s="404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</row>
    <row r="140" spans="1:16384" s="58" customFormat="1" ht="15" hidden="1" customHeight="1">
      <c r="A140" s="560" t="s">
        <v>363</v>
      </c>
      <c r="B140" s="114" t="s">
        <v>554</v>
      </c>
      <c r="C140" s="114"/>
      <c r="D140" s="119"/>
      <c r="E140" s="121">
        <v>5054.22</v>
      </c>
      <c r="F140" s="125" t="s">
        <v>551</v>
      </c>
      <c r="G140" s="350" t="s">
        <v>551</v>
      </c>
      <c r="H140" s="119" t="s">
        <v>19</v>
      </c>
      <c r="I140" s="70"/>
      <c r="J140" s="565"/>
      <c r="K140" s="566"/>
      <c r="L140" s="427"/>
      <c r="M140" s="113"/>
      <c r="N140" s="403"/>
      <c r="O140" s="403"/>
      <c r="P140" s="70"/>
      <c r="Q140" s="404"/>
      <c r="R140" s="404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</row>
    <row r="141" spans="1:16384" s="58" customFormat="1" ht="15" hidden="1" customHeight="1">
      <c r="A141" s="560" t="s">
        <v>363</v>
      </c>
      <c r="B141" s="114" t="s">
        <v>527</v>
      </c>
      <c r="C141" s="114"/>
      <c r="D141" s="119"/>
      <c r="E141" s="121">
        <v>2837.94</v>
      </c>
      <c r="F141" s="125" t="s">
        <v>551</v>
      </c>
      <c r="G141" s="350" t="s">
        <v>551</v>
      </c>
      <c r="H141" s="119" t="s">
        <v>19</v>
      </c>
      <c r="I141" s="70"/>
      <c r="J141" s="565"/>
      <c r="K141" s="566"/>
      <c r="L141" s="427"/>
      <c r="M141" s="113"/>
      <c r="N141" s="403"/>
      <c r="O141" s="403"/>
      <c r="P141" s="70"/>
      <c r="Q141" s="404"/>
      <c r="R141" s="404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</row>
    <row r="142" spans="1:16384" s="58" customFormat="1" ht="15" hidden="1" customHeight="1">
      <c r="A142" s="560" t="s">
        <v>363</v>
      </c>
      <c r="B142" s="114" t="s">
        <v>531</v>
      </c>
      <c r="C142" s="114"/>
      <c r="D142" s="119"/>
      <c r="E142" s="121">
        <v>1563.64</v>
      </c>
      <c r="F142" s="125" t="s">
        <v>555</v>
      </c>
      <c r="G142" s="350" t="s">
        <v>555</v>
      </c>
      <c r="H142" s="119" t="s">
        <v>19</v>
      </c>
      <c r="I142" s="487"/>
      <c r="J142" s="565"/>
      <c r="K142" s="566"/>
      <c r="L142" s="488"/>
      <c r="M142" s="158"/>
      <c r="N142" s="416"/>
      <c r="O142" s="77"/>
      <c r="P142" s="41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418"/>
      <c r="AL142" s="418"/>
      <c r="AM142" s="418"/>
      <c r="AN142" s="418"/>
      <c r="AO142" s="418"/>
      <c r="AP142" s="418"/>
      <c r="AQ142" s="418"/>
      <c r="AR142" s="418"/>
      <c r="AS142" s="418"/>
      <c r="AT142" s="418"/>
      <c r="AU142" s="418"/>
      <c r="AV142" s="418"/>
      <c r="AW142" s="418"/>
      <c r="AX142" s="418"/>
      <c r="AY142" s="418"/>
      <c r="AZ142" s="418"/>
      <c r="BA142" s="418"/>
      <c r="BB142" s="418"/>
      <c r="BC142" s="418"/>
      <c r="BD142" s="418"/>
      <c r="BE142" s="418"/>
      <c r="BF142" s="418"/>
      <c r="BG142" s="418"/>
      <c r="BH142" s="418"/>
      <c r="BI142" s="418"/>
      <c r="BJ142" s="418"/>
      <c r="BK142" s="418"/>
      <c r="BL142" s="418"/>
      <c r="BM142" s="418"/>
      <c r="BN142" s="418"/>
      <c r="BO142" s="418"/>
      <c r="BP142" s="418"/>
      <c r="BQ142" s="418"/>
      <c r="BR142" s="418"/>
      <c r="BS142" s="418"/>
      <c r="BT142" s="418"/>
      <c r="BU142" s="418"/>
      <c r="BV142" s="418"/>
      <c r="BW142" s="418"/>
      <c r="BX142" s="418"/>
      <c r="BY142" s="418"/>
      <c r="BZ142" s="418"/>
      <c r="CA142" s="418"/>
      <c r="CB142" s="418"/>
      <c r="CC142" s="418"/>
      <c r="CD142" s="418"/>
      <c r="CE142" s="418"/>
      <c r="CF142" s="418"/>
      <c r="CG142" s="418"/>
      <c r="CH142" s="418"/>
      <c r="CI142" s="418"/>
      <c r="CJ142" s="418"/>
      <c r="CK142" s="418"/>
      <c r="CL142" s="418"/>
      <c r="CM142" s="418"/>
      <c r="CN142" s="418"/>
      <c r="CO142" s="418"/>
      <c r="CP142" s="418"/>
      <c r="CQ142" s="418"/>
      <c r="CR142" s="418"/>
      <c r="CS142" s="418"/>
      <c r="CT142" s="418"/>
      <c r="CU142" s="418"/>
      <c r="CV142" s="418"/>
      <c r="CW142" s="418"/>
      <c r="CX142" s="418"/>
      <c r="CY142" s="418"/>
      <c r="CZ142" s="418"/>
      <c r="DA142" s="418"/>
      <c r="DB142" s="418"/>
      <c r="DC142" s="418"/>
      <c r="DD142" s="418"/>
      <c r="DE142" s="418"/>
      <c r="DF142" s="418"/>
      <c r="DG142" s="418"/>
      <c r="DH142" s="418"/>
      <c r="DI142" s="418"/>
      <c r="DJ142" s="418"/>
      <c r="DK142" s="418"/>
      <c r="DL142" s="418"/>
      <c r="DM142" s="418"/>
      <c r="DN142" s="418"/>
      <c r="DO142" s="418"/>
      <c r="DP142" s="418"/>
      <c r="DQ142" s="418"/>
      <c r="DR142" s="418"/>
      <c r="DS142" s="418"/>
      <c r="DT142" s="418"/>
      <c r="DU142" s="418"/>
      <c r="DV142" s="418"/>
      <c r="DW142" s="418"/>
      <c r="DX142" s="418"/>
      <c r="DY142" s="418"/>
      <c r="DZ142" s="418"/>
      <c r="EA142" s="418"/>
      <c r="EB142" s="418"/>
      <c r="EC142" s="418"/>
      <c r="ED142" s="418"/>
      <c r="EE142" s="418"/>
      <c r="EF142" s="418"/>
      <c r="EG142" s="418"/>
      <c r="EH142" s="418"/>
      <c r="EI142" s="418"/>
      <c r="EJ142" s="418"/>
      <c r="EK142" s="418"/>
      <c r="EL142" s="418"/>
      <c r="EM142" s="418"/>
      <c r="EN142" s="418"/>
      <c r="EO142" s="418"/>
      <c r="EP142" s="418"/>
      <c r="EQ142" s="418"/>
      <c r="ER142" s="418"/>
      <c r="ES142" s="418"/>
      <c r="ET142" s="418"/>
      <c r="EU142" s="418"/>
      <c r="EV142" s="418"/>
      <c r="EW142" s="418"/>
      <c r="EX142" s="418"/>
      <c r="EY142" s="418"/>
      <c r="EZ142" s="418"/>
      <c r="FA142" s="418"/>
      <c r="FB142" s="418"/>
      <c r="FC142" s="418"/>
      <c r="FD142" s="418"/>
      <c r="FE142" s="418"/>
      <c r="FF142" s="418"/>
      <c r="FG142" s="418"/>
      <c r="FH142" s="418"/>
      <c r="FI142" s="418"/>
      <c r="FJ142" s="418"/>
      <c r="FK142" s="418"/>
      <c r="FL142" s="418"/>
      <c r="FM142" s="418"/>
      <c r="FN142" s="418"/>
      <c r="FO142" s="418"/>
      <c r="FP142" s="418"/>
      <c r="FQ142" s="418"/>
      <c r="FR142" s="418"/>
      <c r="FS142" s="418"/>
      <c r="FT142" s="418"/>
      <c r="FU142" s="418"/>
      <c r="FV142" s="418"/>
      <c r="FW142" s="418"/>
      <c r="FX142" s="418"/>
      <c r="FY142" s="418"/>
      <c r="FZ142" s="418"/>
      <c r="GA142" s="418"/>
      <c r="GB142" s="418"/>
      <c r="GC142" s="418"/>
      <c r="GD142" s="418"/>
      <c r="GE142" s="418"/>
      <c r="GF142" s="418"/>
      <c r="GG142" s="418"/>
      <c r="GH142" s="418"/>
      <c r="GI142" s="418"/>
      <c r="GJ142" s="418"/>
      <c r="GK142" s="418"/>
      <c r="GL142" s="418"/>
      <c r="GM142" s="418"/>
      <c r="GN142" s="418"/>
      <c r="GO142" s="418"/>
      <c r="GP142" s="418"/>
      <c r="GQ142" s="418"/>
      <c r="GR142" s="418"/>
      <c r="GS142" s="418"/>
      <c r="GT142" s="418"/>
      <c r="GU142" s="418"/>
      <c r="GV142" s="418"/>
      <c r="GW142" s="418"/>
      <c r="GX142" s="418"/>
      <c r="GY142" s="418"/>
      <c r="GZ142" s="418"/>
      <c r="HA142" s="418"/>
      <c r="HB142" s="418"/>
      <c r="HC142" s="418"/>
      <c r="HD142" s="418"/>
      <c r="HE142" s="418"/>
      <c r="HF142" s="418"/>
      <c r="HG142" s="418"/>
      <c r="HH142" s="418"/>
      <c r="HI142" s="418"/>
      <c r="HJ142" s="418"/>
      <c r="HK142" s="418"/>
      <c r="HL142" s="418"/>
      <c r="HM142" s="418"/>
      <c r="HN142" s="418"/>
      <c r="HO142" s="418"/>
      <c r="HP142" s="418"/>
      <c r="HQ142" s="418"/>
      <c r="HR142" s="418"/>
      <c r="HS142" s="418"/>
      <c r="HT142" s="418"/>
      <c r="HU142" s="418"/>
      <c r="HV142" s="418"/>
      <c r="HW142" s="418"/>
      <c r="HX142" s="418"/>
      <c r="HY142" s="418"/>
      <c r="HZ142" s="418"/>
      <c r="IA142" s="418"/>
      <c r="IB142" s="418"/>
      <c r="IC142" s="418"/>
      <c r="ID142" s="418"/>
      <c r="IE142" s="418"/>
      <c r="IF142" s="418"/>
      <c r="IG142" s="418"/>
      <c r="IH142" s="418"/>
      <c r="II142" s="418"/>
      <c r="IJ142" s="418"/>
      <c r="IK142" s="418"/>
      <c r="IL142" s="418"/>
      <c r="IM142" s="418"/>
      <c r="IN142" s="418"/>
      <c r="IO142" s="418"/>
      <c r="IP142" s="418"/>
      <c r="IQ142" s="418"/>
      <c r="IR142" s="418"/>
      <c r="IS142" s="418"/>
      <c r="IT142" s="418"/>
      <c r="IU142" s="418"/>
      <c r="IV142" s="418"/>
      <c r="IW142" s="418"/>
      <c r="IX142" s="418"/>
      <c r="IY142" s="418"/>
      <c r="IZ142" s="418"/>
      <c r="JA142" s="418"/>
      <c r="JB142" s="418"/>
      <c r="JC142" s="418"/>
      <c r="JD142" s="418"/>
      <c r="JE142" s="418"/>
      <c r="JF142" s="418"/>
      <c r="JG142" s="418"/>
      <c r="JH142" s="418"/>
      <c r="JI142" s="418"/>
      <c r="JJ142" s="418"/>
      <c r="JK142" s="418"/>
      <c r="JL142" s="418"/>
      <c r="JM142" s="418"/>
      <c r="JN142" s="418"/>
      <c r="JO142" s="418"/>
      <c r="JP142" s="418"/>
      <c r="JQ142" s="418"/>
      <c r="JR142" s="418"/>
      <c r="JS142" s="418"/>
      <c r="JT142" s="418"/>
      <c r="JU142" s="418"/>
      <c r="JV142" s="418"/>
      <c r="JW142" s="418"/>
      <c r="JX142" s="418"/>
      <c r="JY142" s="418"/>
      <c r="JZ142" s="418"/>
      <c r="KA142" s="418"/>
      <c r="KB142" s="418"/>
      <c r="KC142" s="418"/>
      <c r="KD142" s="418"/>
      <c r="KE142" s="418"/>
      <c r="KF142" s="418"/>
      <c r="KG142" s="418"/>
      <c r="KH142" s="418"/>
      <c r="KI142" s="418"/>
      <c r="KJ142" s="418"/>
      <c r="KK142" s="418"/>
      <c r="KL142" s="418"/>
      <c r="KM142" s="418"/>
      <c r="KN142" s="418"/>
      <c r="KO142" s="418"/>
      <c r="KP142" s="418"/>
      <c r="KQ142" s="418"/>
      <c r="KR142" s="418"/>
      <c r="KS142" s="418"/>
      <c r="KT142" s="418"/>
      <c r="KU142" s="418"/>
      <c r="KV142" s="418"/>
      <c r="KW142" s="418"/>
      <c r="KX142" s="418"/>
      <c r="KY142" s="418"/>
      <c r="KZ142" s="418"/>
      <c r="LA142" s="418"/>
      <c r="LB142" s="418"/>
      <c r="LC142" s="418"/>
      <c r="LD142" s="418"/>
      <c r="LE142" s="418"/>
      <c r="LF142" s="418"/>
      <c r="LG142" s="418"/>
      <c r="LH142" s="418"/>
      <c r="LI142" s="418"/>
      <c r="LJ142" s="418"/>
      <c r="LK142" s="418"/>
      <c r="LL142" s="418"/>
      <c r="LM142" s="418"/>
      <c r="LN142" s="418"/>
      <c r="LO142" s="418"/>
      <c r="LP142" s="418"/>
      <c r="LQ142" s="418"/>
      <c r="LR142" s="418"/>
      <c r="LS142" s="418"/>
      <c r="LT142" s="418"/>
      <c r="LU142" s="418"/>
      <c r="LV142" s="418"/>
      <c r="LW142" s="418"/>
      <c r="LX142" s="418"/>
      <c r="LY142" s="418"/>
      <c r="LZ142" s="418"/>
      <c r="MA142" s="418"/>
      <c r="MB142" s="418"/>
      <c r="MC142" s="418"/>
      <c r="MD142" s="418"/>
      <c r="ME142" s="418"/>
      <c r="MF142" s="418"/>
      <c r="MG142" s="418"/>
      <c r="MH142" s="418"/>
      <c r="MI142" s="418"/>
      <c r="MJ142" s="418"/>
      <c r="MK142" s="418"/>
      <c r="ML142" s="418"/>
      <c r="MM142" s="418"/>
      <c r="MN142" s="418"/>
      <c r="MO142" s="418"/>
      <c r="MP142" s="418"/>
      <c r="MQ142" s="418"/>
      <c r="MR142" s="418"/>
      <c r="MS142" s="418"/>
      <c r="MT142" s="418"/>
      <c r="MU142" s="418"/>
      <c r="MV142" s="418"/>
      <c r="MW142" s="418"/>
      <c r="MX142" s="418"/>
      <c r="MY142" s="418"/>
      <c r="MZ142" s="418"/>
      <c r="NA142" s="418"/>
      <c r="NB142" s="418"/>
      <c r="NC142" s="418"/>
      <c r="ND142" s="418"/>
      <c r="NE142" s="418"/>
      <c r="NF142" s="418"/>
      <c r="NG142" s="418"/>
      <c r="NH142" s="418"/>
      <c r="NI142" s="418"/>
      <c r="NJ142" s="418"/>
      <c r="NK142" s="418"/>
      <c r="NL142" s="418"/>
      <c r="NM142" s="418"/>
      <c r="NN142" s="418"/>
      <c r="NO142" s="418"/>
      <c r="NP142" s="418"/>
      <c r="NQ142" s="418"/>
      <c r="NR142" s="418"/>
      <c r="NS142" s="418"/>
      <c r="NT142" s="418"/>
      <c r="NU142" s="418"/>
      <c r="NV142" s="418"/>
      <c r="NW142" s="418"/>
      <c r="NX142" s="418"/>
      <c r="NY142" s="418"/>
      <c r="NZ142" s="418"/>
      <c r="OA142" s="418"/>
      <c r="OB142" s="418"/>
      <c r="OC142" s="418"/>
      <c r="OD142" s="418"/>
      <c r="OE142" s="418"/>
      <c r="OF142" s="418"/>
      <c r="OG142" s="418"/>
      <c r="OH142" s="418"/>
      <c r="OI142" s="418"/>
      <c r="OJ142" s="418"/>
      <c r="OK142" s="418"/>
      <c r="OL142" s="418"/>
      <c r="OM142" s="418"/>
      <c r="ON142" s="418"/>
      <c r="OO142" s="418"/>
      <c r="OP142" s="418"/>
      <c r="OQ142" s="418"/>
      <c r="OR142" s="418"/>
      <c r="OS142" s="418"/>
      <c r="OT142" s="418"/>
      <c r="OU142" s="418"/>
      <c r="OV142" s="418"/>
      <c r="OW142" s="418"/>
      <c r="OX142" s="418"/>
      <c r="OY142" s="418"/>
      <c r="OZ142" s="418"/>
      <c r="PA142" s="418"/>
      <c r="PB142" s="418"/>
      <c r="PC142" s="418"/>
      <c r="PD142" s="418"/>
      <c r="PE142" s="418"/>
      <c r="PF142" s="418"/>
      <c r="PG142" s="418"/>
      <c r="PH142" s="418"/>
      <c r="PI142" s="418"/>
      <c r="PJ142" s="418"/>
      <c r="PK142" s="418"/>
      <c r="PL142" s="418"/>
      <c r="PM142" s="418"/>
      <c r="PN142" s="418"/>
      <c r="PO142" s="418"/>
      <c r="PP142" s="418"/>
      <c r="PQ142" s="418"/>
      <c r="PR142" s="418"/>
      <c r="PS142" s="418"/>
      <c r="PT142" s="418"/>
      <c r="PU142" s="418"/>
      <c r="PV142" s="418"/>
      <c r="PW142" s="418"/>
      <c r="PX142" s="418"/>
      <c r="PY142" s="418"/>
      <c r="PZ142" s="418"/>
      <c r="QA142" s="418"/>
      <c r="QB142" s="418"/>
      <c r="QC142" s="418"/>
      <c r="QD142" s="418"/>
      <c r="QE142" s="418"/>
      <c r="QF142" s="418"/>
      <c r="QG142" s="418"/>
      <c r="QH142" s="418"/>
      <c r="QI142" s="418"/>
      <c r="QJ142" s="418"/>
      <c r="QK142" s="418"/>
      <c r="QL142" s="418"/>
      <c r="QM142" s="418"/>
      <c r="QN142" s="418"/>
      <c r="QO142" s="418"/>
      <c r="QP142" s="418"/>
      <c r="QQ142" s="418"/>
      <c r="QR142" s="418"/>
      <c r="QS142" s="418"/>
      <c r="QT142" s="418"/>
      <c r="QU142" s="418"/>
      <c r="QV142" s="418"/>
      <c r="QW142" s="418"/>
      <c r="QX142" s="418"/>
      <c r="QY142" s="418"/>
      <c r="QZ142" s="418"/>
      <c r="RA142" s="418"/>
      <c r="RB142" s="418"/>
      <c r="RC142" s="418"/>
      <c r="RD142" s="418"/>
      <c r="RE142" s="418"/>
      <c r="RF142" s="418"/>
      <c r="RG142" s="418"/>
      <c r="RH142" s="418"/>
      <c r="RI142" s="418"/>
      <c r="RJ142" s="418"/>
      <c r="RK142" s="418"/>
      <c r="RL142" s="418"/>
      <c r="RM142" s="418"/>
      <c r="RN142" s="418"/>
      <c r="RO142" s="418"/>
      <c r="RP142" s="418"/>
      <c r="RQ142" s="418"/>
      <c r="RR142" s="418"/>
      <c r="RS142" s="418"/>
      <c r="RT142" s="418"/>
      <c r="RU142" s="418"/>
      <c r="RV142" s="418"/>
      <c r="RW142" s="418"/>
      <c r="RX142" s="418"/>
      <c r="RY142" s="418"/>
      <c r="RZ142" s="418"/>
      <c r="SA142" s="418"/>
      <c r="SB142" s="418"/>
      <c r="SC142" s="418"/>
      <c r="SD142" s="418"/>
      <c r="SE142" s="418"/>
      <c r="SF142" s="418"/>
      <c r="SG142" s="418"/>
      <c r="SH142" s="418"/>
      <c r="SI142" s="418"/>
      <c r="SJ142" s="418"/>
      <c r="SK142" s="418"/>
      <c r="SL142" s="418"/>
      <c r="SM142" s="418"/>
      <c r="SN142" s="418"/>
      <c r="SO142" s="418"/>
      <c r="SP142" s="418"/>
      <c r="SQ142" s="418"/>
      <c r="SR142" s="418"/>
      <c r="SS142" s="418"/>
      <c r="ST142" s="418"/>
      <c r="SU142" s="418"/>
      <c r="SV142" s="418"/>
      <c r="SW142" s="418"/>
      <c r="SX142" s="418"/>
      <c r="SY142" s="418"/>
      <c r="SZ142" s="418"/>
      <c r="TA142" s="418"/>
      <c r="TB142" s="418"/>
      <c r="TC142" s="418"/>
      <c r="TD142" s="418"/>
      <c r="TE142" s="418"/>
      <c r="TF142" s="418"/>
      <c r="TG142" s="418"/>
      <c r="TH142" s="418"/>
      <c r="TI142" s="418"/>
      <c r="TJ142" s="418"/>
      <c r="TK142" s="418"/>
      <c r="TL142" s="418"/>
      <c r="TM142" s="418"/>
      <c r="TN142" s="418"/>
      <c r="TO142" s="418"/>
      <c r="TP142" s="418"/>
      <c r="TQ142" s="418"/>
      <c r="TR142" s="418"/>
      <c r="TS142" s="418"/>
      <c r="TT142" s="418"/>
      <c r="TU142" s="418"/>
      <c r="TV142" s="418"/>
      <c r="TW142" s="418"/>
      <c r="TX142" s="418"/>
      <c r="TY142" s="418"/>
      <c r="TZ142" s="418"/>
      <c r="UA142" s="418"/>
      <c r="UB142" s="418"/>
      <c r="UC142" s="418"/>
      <c r="UD142" s="418"/>
      <c r="UE142" s="418"/>
      <c r="UF142" s="418"/>
      <c r="UG142" s="418"/>
      <c r="UH142" s="418"/>
      <c r="UI142" s="418"/>
      <c r="UJ142" s="418"/>
      <c r="UK142" s="418"/>
      <c r="UL142" s="418"/>
      <c r="UM142" s="418"/>
      <c r="UN142" s="418"/>
      <c r="UO142" s="418"/>
      <c r="UP142" s="418"/>
      <c r="UQ142" s="418"/>
      <c r="UR142" s="418"/>
      <c r="US142" s="418"/>
      <c r="UT142" s="418"/>
      <c r="UU142" s="418"/>
      <c r="UV142" s="418"/>
      <c r="UW142" s="418"/>
      <c r="UX142" s="418"/>
      <c r="UY142" s="418"/>
      <c r="UZ142" s="418"/>
      <c r="VA142" s="418"/>
      <c r="VB142" s="418"/>
      <c r="VC142" s="418"/>
      <c r="VD142" s="418"/>
      <c r="VE142" s="418"/>
      <c r="VF142" s="418"/>
      <c r="VG142" s="418"/>
      <c r="VH142" s="418"/>
      <c r="VI142" s="418"/>
      <c r="VJ142" s="418"/>
      <c r="VK142" s="418"/>
      <c r="VL142" s="418"/>
      <c r="VM142" s="418"/>
      <c r="VN142" s="418"/>
      <c r="VO142" s="418"/>
      <c r="VP142" s="418"/>
      <c r="VQ142" s="418"/>
      <c r="VR142" s="418"/>
      <c r="VS142" s="418"/>
      <c r="VT142" s="418"/>
      <c r="VU142" s="418"/>
      <c r="VV142" s="418"/>
      <c r="VW142" s="418"/>
      <c r="VX142" s="418"/>
      <c r="VY142" s="418"/>
      <c r="VZ142" s="418"/>
      <c r="WA142" s="418"/>
      <c r="WB142" s="418"/>
      <c r="WC142" s="418"/>
      <c r="WD142" s="418"/>
      <c r="WE142" s="418"/>
      <c r="WF142" s="418"/>
      <c r="WG142" s="418"/>
      <c r="WH142" s="418"/>
      <c r="WI142" s="418"/>
      <c r="WJ142" s="418"/>
      <c r="WK142" s="418"/>
      <c r="WL142" s="418"/>
      <c r="WM142" s="418"/>
      <c r="WN142" s="418"/>
      <c r="WO142" s="418"/>
      <c r="WP142" s="418"/>
      <c r="WQ142" s="418"/>
      <c r="WR142" s="418"/>
      <c r="WS142" s="418"/>
      <c r="WT142" s="418"/>
      <c r="WU142" s="418"/>
      <c r="WV142" s="418"/>
      <c r="WW142" s="418"/>
      <c r="WX142" s="418"/>
      <c r="WY142" s="418"/>
      <c r="WZ142" s="418"/>
      <c r="XA142" s="418"/>
      <c r="XB142" s="418"/>
      <c r="XC142" s="418"/>
      <c r="XD142" s="418"/>
      <c r="XE142" s="418"/>
      <c r="XF142" s="418"/>
      <c r="XG142" s="418"/>
      <c r="XH142" s="418"/>
      <c r="XI142" s="418"/>
      <c r="XJ142" s="418"/>
      <c r="XK142" s="418"/>
      <c r="XL142" s="418"/>
      <c r="XM142" s="418"/>
      <c r="XN142" s="418"/>
      <c r="XO142" s="418"/>
      <c r="XP142" s="418"/>
      <c r="XQ142" s="418"/>
      <c r="XR142" s="418"/>
      <c r="XS142" s="418"/>
      <c r="XT142" s="418"/>
      <c r="XU142" s="418"/>
      <c r="XV142" s="418"/>
      <c r="XW142" s="418"/>
      <c r="XX142" s="418"/>
      <c r="XY142" s="418"/>
      <c r="XZ142" s="418"/>
      <c r="YA142" s="418"/>
      <c r="YB142" s="418"/>
      <c r="YC142" s="418"/>
      <c r="YD142" s="418"/>
      <c r="YE142" s="418"/>
      <c r="YF142" s="418"/>
      <c r="YG142" s="418"/>
      <c r="YH142" s="418"/>
      <c r="YI142" s="418"/>
      <c r="YJ142" s="418"/>
      <c r="YK142" s="418"/>
      <c r="YL142" s="418"/>
      <c r="YM142" s="418"/>
      <c r="YN142" s="418"/>
      <c r="YO142" s="418"/>
      <c r="YP142" s="418"/>
      <c r="YQ142" s="418"/>
      <c r="YR142" s="418"/>
      <c r="YS142" s="418"/>
      <c r="YT142" s="418"/>
      <c r="YU142" s="418"/>
      <c r="YV142" s="418"/>
      <c r="YW142" s="418"/>
      <c r="YX142" s="418"/>
      <c r="YY142" s="418"/>
      <c r="YZ142" s="418"/>
      <c r="ZA142" s="418"/>
      <c r="ZB142" s="418"/>
      <c r="ZC142" s="418"/>
      <c r="ZD142" s="418"/>
      <c r="ZE142" s="418"/>
      <c r="ZF142" s="418"/>
      <c r="ZG142" s="418"/>
      <c r="ZH142" s="418"/>
      <c r="ZI142" s="418"/>
      <c r="ZJ142" s="418"/>
      <c r="ZK142" s="418"/>
      <c r="ZL142" s="418"/>
      <c r="ZM142" s="418"/>
      <c r="ZN142" s="418"/>
      <c r="ZO142" s="418"/>
      <c r="ZP142" s="418"/>
      <c r="ZQ142" s="418"/>
      <c r="ZR142" s="418"/>
      <c r="ZS142" s="418"/>
      <c r="ZT142" s="418"/>
      <c r="ZU142" s="418"/>
      <c r="ZV142" s="418"/>
      <c r="ZW142" s="418"/>
      <c r="ZX142" s="418"/>
      <c r="ZY142" s="418"/>
      <c r="ZZ142" s="418"/>
      <c r="AAA142" s="418"/>
      <c r="AAB142" s="418"/>
      <c r="AAC142" s="418"/>
      <c r="AAD142" s="418"/>
      <c r="AAE142" s="418"/>
      <c r="AAF142" s="418"/>
      <c r="AAG142" s="418"/>
      <c r="AAH142" s="418"/>
      <c r="AAI142" s="418"/>
      <c r="AAJ142" s="418"/>
      <c r="AAK142" s="418"/>
      <c r="AAL142" s="418"/>
      <c r="AAM142" s="418"/>
      <c r="AAN142" s="418"/>
      <c r="AAO142" s="418"/>
      <c r="AAP142" s="418"/>
      <c r="AAQ142" s="418"/>
      <c r="AAR142" s="418"/>
      <c r="AAS142" s="418"/>
      <c r="AAT142" s="418"/>
      <c r="AAU142" s="418"/>
      <c r="AAV142" s="418"/>
      <c r="AAW142" s="418"/>
      <c r="AAX142" s="418"/>
      <c r="AAY142" s="418"/>
      <c r="AAZ142" s="418"/>
      <c r="ABA142" s="418"/>
      <c r="ABB142" s="418"/>
      <c r="ABC142" s="418"/>
      <c r="ABD142" s="418"/>
      <c r="ABE142" s="418"/>
      <c r="ABF142" s="418"/>
      <c r="ABG142" s="418"/>
      <c r="ABH142" s="418"/>
      <c r="ABI142" s="418"/>
      <c r="ABJ142" s="418"/>
      <c r="ABK142" s="418"/>
      <c r="ABL142" s="418"/>
      <c r="ABM142" s="418"/>
      <c r="ABN142" s="418"/>
      <c r="ABO142" s="418"/>
      <c r="ABP142" s="418"/>
      <c r="ABQ142" s="418"/>
      <c r="ABR142" s="418"/>
      <c r="ABS142" s="418"/>
      <c r="ABT142" s="418"/>
      <c r="ABU142" s="418"/>
      <c r="ABV142" s="418"/>
      <c r="ABW142" s="418"/>
      <c r="ABX142" s="418"/>
      <c r="ABY142" s="418"/>
      <c r="ABZ142" s="418"/>
      <c r="ACA142" s="418"/>
      <c r="ACB142" s="418"/>
      <c r="ACC142" s="418"/>
      <c r="ACD142" s="418"/>
      <c r="ACE142" s="418"/>
      <c r="ACF142" s="418"/>
      <c r="ACG142" s="418"/>
      <c r="ACH142" s="418"/>
      <c r="ACI142" s="418"/>
      <c r="ACJ142" s="418"/>
      <c r="ACK142" s="418"/>
      <c r="ACL142" s="418"/>
      <c r="ACM142" s="418"/>
      <c r="ACN142" s="418"/>
      <c r="ACO142" s="418"/>
      <c r="ACP142" s="418"/>
      <c r="ACQ142" s="418"/>
      <c r="ACR142" s="418"/>
      <c r="ACS142" s="418"/>
      <c r="ACT142" s="418"/>
      <c r="ACU142" s="418"/>
      <c r="ACV142" s="418"/>
      <c r="ACW142" s="418"/>
      <c r="ACX142" s="418"/>
      <c r="ACY142" s="418"/>
      <c r="ACZ142" s="418"/>
      <c r="ADA142" s="418"/>
      <c r="ADB142" s="418"/>
      <c r="ADC142" s="418"/>
      <c r="ADD142" s="418"/>
      <c r="ADE142" s="418"/>
      <c r="ADF142" s="418"/>
      <c r="ADG142" s="418"/>
      <c r="ADH142" s="418"/>
      <c r="ADI142" s="418"/>
      <c r="ADJ142" s="418"/>
      <c r="ADK142" s="418"/>
      <c r="ADL142" s="418"/>
      <c r="ADM142" s="418"/>
      <c r="ADN142" s="418"/>
      <c r="ADO142" s="418"/>
      <c r="ADP142" s="418"/>
      <c r="ADQ142" s="418"/>
      <c r="ADR142" s="418"/>
      <c r="ADS142" s="418"/>
      <c r="ADT142" s="418"/>
      <c r="ADU142" s="418"/>
      <c r="ADV142" s="418"/>
      <c r="ADW142" s="418"/>
      <c r="ADX142" s="418"/>
      <c r="ADY142" s="418"/>
      <c r="ADZ142" s="418"/>
      <c r="AEA142" s="418"/>
      <c r="AEB142" s="418"/>
      <c r="AEC142" s="418"/>
      <c r="AED142" s="418"/>
      <c r="AEE142" s="418"/>
      <c r="AEF142" s="418"/>
      <c r="AEG142" s="418"/>
      <c r="AEH142" s="418"/>
      <c r="AEI142" s="418"/>
      <c r="AEJ142" s="418"/>
      <c r="AEK142" s="418"/>
      <c r="AEL142" s="418"/>
      <c r="AEM142" s="418"/>
      <c r="AEN142" s="418"/>
      <c r="AEO142" s="418"/>
      <c r="AEP142" s="418"/>
      <c r="AEQ142" s="418"/>
      <c r="AER142" s="418"/>
      <c r="AES142" s="418"/>
      <c r="AET142" s="418"/>
      <c r="AEU142" s="418"/>
      <c r="AEV142" s="418"/>
      <c r="AEW142" s="418"/>
      <c r="AEX142" s="418"/>
      <c r="AEY142" s="418"/>
      <c r="AEZ142" s="418"/>
      <c r="AFA142" s="418"/>
      <c r="AFB142" s="418"/>
      <c r="AFC142" s="418"/>
      <c r="AFD142" s="418"/>
      <c r="AFE142" s="418"/>
      <c r="AFF142" s="418"/>
      <c r="AFG142" s="418"/>
      <c r="AFH142" s="418"/>
      <c r="AFI142" s="418"/>
      <c r="AFJ142" s="418"/>
      <c r="AFK142" s="418"/>
      <c r="AFL142" s="418"/>
      <c r="AFM142" s="418"/>
      <c r="AFN142" s="418"/>
      <c r="AFO142" s="418"/>
      <c r="AFP142" s="418"/>
      <c r="AFQ142" s="418"/>
      <c r="AFR142" s="418"/>
      <c r="AFS142" s="418"/>
      <c r="AFT142" s="418"/>
      <c r="AFU142" s="418"/>
      <c r="AFV142" s="418"/>
      <c r="AFW142" s="418"/>
      <c r="AFX142" s="418"/>
      <c r="AFY142" s="418"/>
      <c r="AFZ142" s="418"/>
      <c r="AGA142" s="418"/>
      <c r="AGB142" s="418"/>
      <c r="AGC142" s="418"/>
      <c r="AGD142" s="418"/>
      <c r="AGE142" s="418"/>
      <c r="AGF142" s="418"/>
      <c r="AGG142" s="418"/>
      <c r="AGH142" s="418"/>
      <c r="AGI142" s="418"/>
      <c r="AGJ142" s="418"/>
      <c r="AGK142" s="418"/>
      <c r="AGL142" s="418"/>
      <c r="AGM142" s="418"/>
      <c r="AGN142" s="418"/>
      <c r="AGO142" s="418"/>
      <c r="AGP142" s="418"/>
      <c r="AGQ142" s="418"/>
      <c r="AGR142" s="418"/>
      <c r="AGS142" s="418"/>
      <c r="AGT142" s="418"/>
      <c r="AGU142" s="418"/>
      <c r="AGV142" s="418"/>
      <c r="AGW142" s="418"/>
      <c r="AGX142" s="418"/>
      <c r="AGY142" s="418"/>
      <c r="AGZ142" s="418"/>
      <c r="AHA142" s="418"/>
      <c r="AHB142" s="418"/>
      <c r="AHC142" s="418"/>
      <c r="AHD142" s="418"/>
      <c r="AHE142" s="418"/>
      <c r="AHF142" s="418"/>
      <c r="AHG142" s="418"/>
      <c r="AHH142" s="418"/>
      <c r="AHI142" s="418"/>
      <c r="AHJ142" s="418"/>
      <c r="AHK142" s="418"/>
      <c r="AHL142" s="418"/>
      <c r="AHM142" s="418"/>
      <c r="AHN142" s="418"/>
      <c r="AHO142" s="418"/>
      <c r="AHP142" s="418"/>
      <c r="AHQ142" s="418"/>
      <c r="AHR142" s="418"/>
      <c r="AHS142" s="418"/>
      <c r="AHT142" s="418"/>
      <c r="AHU142" s="418"/>
      <c r="AHV142" s="418"/>
      <c r="AHW142" s="418"/>
      <c r="AHX142" s="418"/>
      <c r="AHY142" s="418"/>
      <c r="AHZ142" s="418"/>
      <c r="AIA142" s="418"/>
      <c r="AIB142" s="418"/>
      <c r="AIC142" s="418"/>
      <c r="AID142" s="418"/>
      <c r="AIE142" s="418"/>
      <c r="AIF142" s="418"/>
      <c r="AIG142" s="418"/>
      <c r="AIH142" s="418"/>
      <c r="AII142" s="418"/>
      <c r="AIJ142" s="418"/>
      <c r="AIK142" s="418"/>
      <c r="AIL142" s="418"/>
      <c r="AIM142" s="418"/>
      <c r="AIN142" s="418"/>
      <c r="AIO142" s="418"/>
      <c r="AIP142" s="418"/>
      <c r="AIQ142" s="418"/>
      <c r="AIR142" s="418"/>
      <c r="AIS142" s="418"/>
      <c r="AIT142" s="418"/>
      <c r="AIU142" s="418"/>
      <c r="AIV142" s="418"/>
      <c r="AIW142" s="418"/>
      <c r="AIX142" s="418"/>
      <c r="AIY142" s="418"/>
      <c r="AIZ142" s="418"/>
      <c r="AJA142" s="418"/>
      <c r="AJB142" s="418"/>
      <c r="AJC142" s="418"/>
      <c r="AJD142" s="418"/>
      <c r="AJE142" s="418"/>
      <c r="AJF142" s="418"/>
      <c r="AJG142" s="418"/>
      <c r="AJH142" s="418"/>
      <c r="AJI142" s="418"/>
      <c r="AJJ142" s="418"/>
      <c r="AJK142" s="418"/>
      <c r="AJL142" s="418"/>
      <c r="AJM142" s="418"/>
      <c r="AJN142" s="418"/>
      <c r="AJO142" s="418"/>
      <c r="AJP142" s="418"/>
      <c r="AJQ142" s="418"/>
      <c r="AJR142" s="418"/>
      <c r="AJS142" s="418"/>
      <c r="AJT142" s="418"/>
      <c r="AJU142" s="418"/>
      <c r="AJV142" s="418"/>
      <c r="AJW142" s="418"/>
      <c r="AJX142" s="418"/>
      <c r="AJY142" s="418"/>
      <c r="AJZ142" s="418"/>
      <c r="AKA142" s="418"/>
      <c r="AKB142" s="418"/>
      <c r="AKC142" s="418"/>
      <c r="AKD142" s="418"/>
      <c r="AKE142" s="418"/>
      <c r="AKF142" s="418"/>
      <c r="AKG142" s="418"/>
      <c r="AKH142" s="418"/>
      <c r="AKI142" s="418"/>
      <c r="AKJ142" s="418"/>
      <c r="AKK142" s="418"/>
      <c r="AKL142" s="418"/>
      <c r="AKM142" s="418"/>
      <c r="AKN142" s="418"/>
      <c r="AKO142" s="418"/>
      <c r="AKP142" s="418"/>
      <c r="AKQ142" s="418"/>
      <c r="AKR142" s="418"/>
      <c r="AKS142" s="418"/>
      <c r="AKT142" s="418"/>
      <c r="AKU142" s="418"/>
      <c r="AKV142" s="418"/>
      <c r="AKW142" s="418"/>
      <c r="AKX142" s="418"/>
      <c r="AKY142" s="418"/>
      <c r="AKZ142" s="418"/>
      <c r="ALA142" s="418"/>
      <c r="ALB142" s="418"/>
      <c r="ALC142" s="418"/>
      <c r="ALD142" s="418"/>
      <c r="ALE142" s="418"/>
      <c r="ALF142" s="418"/>
      <c r="ALG142" s="418"/>
      <c r="ALH142" s="418"/>
      <c r="ALI142" s="418"/>
      <c r="ALJ142" s="418"/>
      <c r="ALK142" s="418"/>
      <c r="ALL142" s="418"/>
      <c r="ALM142" s="418"/>
      <c r="ALN142" s="418"/>
      <c r="ALO142" s="418"/>
      <c r="ALP142" s="418"/>
      <c r="ALQ142" s="418"/>
      <c r="ALR142" s="418"/>
      <c r="ALS142" s="418"/>
      <c r="ALT142" s="418"/>
      <c r="ALU142" s="418"/>
      <c r="ALV142" s="418"/>
      <c r="ALW142" s="418"/>
      <c r="ALX142" s="418"/>
      <c r="ALY142" s="418"/>
      <c r="ALZ142" s="418"/>
      <c r="AMA142" s="418"/>
      <c r="AMB142" s="418"/>
      <c r="AMC142" s="418"/>
      <c r="AMD142" s="418"/>
      <c r="AME142" s="418"/>
      <c r="AMF142" s="418"/>
      <c r="AMG142" s="418"/>
      <c r="AMH142" s="418"/>
      <c r="AMI142" s="418"/>
      <c r="AMJ142" s="418"/>
      <c r="AMK142" s="418"/>
      <c r="AML142" s="418"/>
      <c r="AMM142" s="418"/>
      <c r="AMN142" s="418"/>
      <c r="AMO142" s="418"/>
      <c r="AMP142" s="418"/>
      <c r="AMQ142" s="418"/>
      <c r="AMR142" s="418"/>
      <c r="AMS142" s="418"/>
      <c r="AMT142" s="418"/>
      <c r="AMU142" s="418"/>
      <c r="AMV142" s="418"/>
      <c r="AMW142" s="418"/>
      <c r="AMX142" s="418"/>
      <c r="AMY142" s="418"/>
      <c r="AMZ142" s="418"/>
      <c r="ANA142" s="418"/>
      <c r="ANB142" s="418"/>
      <c r="ANC142" s="418"/>
      <c r="AND142" s="418"/>
      <c r="ANE142" s="418"/>
      <c r="ANF142" s="418"/>
      <c r="ANG142" s="418"/>
      <c r="ANH142" s="418"/>
      <c r="ANI142" s="418"/>
      <c r="ANJ142" s="418"/>
      <c r="ANK142" s="418"/>
      <c r="ANL142" s="418"/>
      <c r="ANM142" s="418"/>
      <c r="ANN142" s="418"/>
      <c r="ANO142" s="418"/>
      <c r="ANP142" s="418"/>
      <c r="ANQ142" s="418"/>
      <c r="ANR142" s="418"/>
      <c r="ANS142" s="418"/>
      <c r="ANT142" s="418"/>
      <c r="ANU142" s="418"/>
      <c r="ANV142" s="418"/>
      <c r="ANW142" s="418"/>
      <c r="ANX142" s="418"/>
      <c r="ANY142" s="418"/>
      <c r="ANZ142" s="418"/>
      <c r="AOA142" s="418"/>
      <c r="AOB142" s="418"/>
      <c r="AOC142" s="418"/>
      <c r="AOD142" s="418"/>
      <c r="AOE142" s="418"/>
      <c r="AOF142" s="418"/>
      <c r="AOG142" s="418"/>
      <c r="AOH142" s="418"/>
      <c r="AOI142" s="418"/>
      <c r="AOJ142" s="418"/>
      <c r="AOK142" s="418"/>
      <c r="AOL142" s="418"/>
      <c r="AOM142" s="418"/>
      <c r="AON142" s="418"/>
      <c r="AOO142" s="418"/>
      <c r="AOP142" s="418"/>
      <c r="AOQ142" s="418"/>
      <c r="AOR142" s="418"/>
      <c r="AOS142" s="418"/>
      <c r="AOT142" s="418"/>
      <c r="AOU142" s="418"/>
      <c r="AOV142" s="418"/>
      <c r="AOW142" s="418"/>
      <c r="AOX142" s="418"/>
      <c r="AOY142" s="418"/>
      <c r="AOZ142" s="418"/>
      <c r="APA142" s="418"/>
      <c r="APB142" s="418"/>
      <c r="APC142" s="418"/>
      <c r="APD142" s="418"/>
      <c r="APE142" s="418"/>
      <c r="APF142" s="418"/>
      <c r="APG142" s="418"/>
      <c r="APH142" s="418"/>
      <c r="API142" s="418"/>
      <c r="APJ142" s="418"/>
      <c r="APK142" s="418"/>
      <c r="APL142" s="418"/>
      <c r="APM142" s="418"/>
      <c r="APN142" s="418"/>
      <c r="APO142" s="418"/>
      <c r="APP142" s="418"/>
      <c r="APQ142" s="418"/>
      <c r="APR142" s="418"/>
      <c r="APS142" s="418"/>
      <c r="APT142" s="418"/>
      <c r="APU142" s="418"/>
      <c r="APV142" s="418"/>
      <c r="APW142" s="418"/>
      <c r="APX142" s="418"/>
      <c r="APY142" s="418"/>
      <c r="APZ142" s="418"/>
      <c r="AQA142" s="418"/>
      <c r="AQB142" s="418"/>
      <c r="AQC142" s="418"/>
      <c r="AQD142" s="418"/>
      <c r="AQE142" s="418"/>
      <c r="AQF142" s="418"/>
      <c r="AQG142" s="418"/>
      <c r="AQH142" s="418"/>
      <c r="AQI142" s="418"/>
      <c r="AQJ142" s="418"/>
      <c r="AQK142" s="418"/>
      <c r="AQL142" s="418"/>
      <c r="AQM142" s="418"/>
      <c r="AQN142" s="418"/>
      <c r="AQO142" s="418"/>
      <c r="AQP142" s="418"/>
      <c r="AQQ142" s="418"/>
      <c r="AQR142" s="418"/>
      <c r="AQS142" s="418"/>
      <c r="AQT142" s="418"/>
      <c r="AQU142" s="418"/>
      <c r="AQV142" s="418"/>
      <c r="AQW142" s="418"/>
      <c r="AQX142" s="418"/>
      <c r="AQY142" s="418"/>
      <c r="AQZ142" s="418"/>
      <c r="ARA142" s="418"/>
      <c r="ARB142" s="418"/>
      <c r="ARC142" s="418"/>
      <c r="ARD142" s="418"/>
      <c r="ARE142" s="418"/>
      <c r="ARF142" s="418"/>
      <c r="ARG142" s="418"/>
      <c r="ARH142" s="418"/>
      <c r="ARI142" s="418"/>
      <c r="ARJ142" s="418"/>
      <c r="ARK142" s="418"/>
      <c r="ARL142" s="418"/>
      <c r="ARM142" s="418"/>
      <c r="ARN142" s="418"/>
      <c r="ARO142" s="418"/>
      <c r="ARP142" s="418"/>
      <c r="ARQ142" s="418"/>
      <c r="ARR142" s="418"/>
      <c r="ARS142" s="418"/>
      <c r="ART142" s="418"/>
      <c r="ARU142" s="418"/>
      <c r="ARV142" s="418"/>
      <c r="ARW142" s="418"/>
      <c r="ARX142" s="418"/>
      <c r="ARY142" s="418"/>
      <c r="ARZ142" s="418"/>
      <c r="ASA142" s="418"/>
      <c r="ASB142" s="418"/>
      <c r="ASC142" s="418"/>
      <c r="ASD142" s="418"/>
      <c r="ASE142" s="418"/>
      <c r="ASF142" s="418"/>
      <c r="ASG142" s="418"/>
      <c r="ASH142" s="418"/>
      <c r="ASI142" s="418"/>
      <c r="ASJ142" s="418"/>
      <c r="ASK142" s="418"/>
      <c r="ASL142" s="418"/>
      <c r="ASM142" s="418"/>
      <c r="ASN142" s="418"/>
      <c r="ASO142" s="418"/>
      <c r="ASP142" s="418"/>
      <c r="ASQ142" s="418"/>
      <c r="ASR142" s="418"/>
      <c r="ASS142" s="418"/>
      <c r="AST142" s="418"/>
      <c r="ASU142" s="418"/>
      <c r="ASV142" s="418"/>
      <c r="ASW142" s="418"/>
      <c r="ASX142" s="418"/>
      <c r="ASY142" s="418"/>
      <c r="ASZ142" s="418"/>
      <c r="ATA142" s="418"/>
      <c r="ATB142" s="418"/>
      <c r="ATC142" s="418"/>
      <c r="ATD142" s="418"/>
      <c r="ATE142" s="418"/>
      <c r="ATF142" s="418"/>
      <c r="ATG142" s="418"/>
      <c r="ATH142" s="418"/>
      <c r="ATI142" s="418"/>
      <c r="ATJ142" s="418"/>
      <c r="ATK142" s="418"/>
      <c r="ATL142" s="418"/>
      <c r="ATM142" s="418"/>
      <c r="ATN142" s="418"/>
      <c r="ATO142" s="418"/>
      <c r="ATP142" s="418"/>
      <c r="ATQ142" s="418"/>
      <c r="ATR142" s="418"/>
      <c r="ATS142" s="418"/>
      <c r="ATT142" s="418"/>
      <c r="ATU142" s="418"/>
      <c r="ATV142" s="418"/>
      <c r="ATW142" s="418"/>
      <c r="ATX142" s="418"/>
      <c r="ATY142" s="418"/>
      <c r="ATZ142" s="418"/>
      <c r="AUA142" s="418"/>
      <c r="AUB142" s="418"/>
      <c r="AUC142" s="418"/>
      <c r="AUD142" s="418"/>
      <c r="AUE142" s="418"/>
      <c r="AUF142" s="418"/>
      <c r="AUG142" s="418"/>
      <c r="AUH142" s="418"/>
      <c r="AUI142" s="418"/>
      <c r="AUJ142" s="418"/>
      <c r="AUK142" s="418"/>
      <c r="AUL142" s="418"/>
      <c r="AUM142" s="418"/>
      <c r="AUN142" s="418"/>
      <c r="AUO142" s="418"/>
      <c r="AUP142" s="418"/>
      <c r="AUQ142" s="418"/>
      <c r="AUR142" s="418"/>
      <c r="AUS142" s="418"/>
      <c r="AUT142" s="418"/>
      <c r="AUU142" s="418"/>
      <c r="AUV142" s="418"/>
      <c r="AUW142" s="418"/>
      <c r="AUX142" s="418"/>
      <c r="AUY142" s="418"/>
      <c r="AUZ142" s="418"/>
      <c r="AVA142" s="418"/>
      <c r="AVB142" s="418"/>
      <c r="AVC142" s="418"/>
      <c r="AVD142" s="418"/>
      <c r="AVE142" s="418"/>
      <c r="AVF142" s="418"/>
      <c r="AVG142" s="418"/>
      <c r="AVH142" s="418"/>
      <c r="AVI142" s="418"/>
      <c r="AVJ142" s="418"/>
      <c r="AVK142" s="418"/>
      <c r="AVL142" s="418"/>
      <c r="AVM142" s="418"/>
      <c r="AVN142" s="418"/>
      <c r="AVO142" s="418"/>
      <c r="AVP142" s="418"/>
      <c r="AVQ142" s="418"/>
      <c r="AVR142" s="418"/>
      <c r="AVS142" s="418"/>
      <c r="AVT142" s="418"/>
      <c r="AVU142" s="418"/>
      <c r="AVV142" s="418"/>
      <c r="AVW142" s="418"/>
      <c r="AVX142" s="418"/>
      <c r="AVY142" s="418"/>
      <c r="AVZ142" s="418"/>
      <c r="AWA142" s="418"/>
      <c r="AWB142" s="418"/>
      <c r="AWC142" s="418"/>
      <c r="AWD142" s="418"/>
      <c r="AWE142" s="418"/>
      <c r="AWF142" s="418"/>
      <c r="AWG142" s="418"/>
      <c r="AWH142" s="418"/>
      <c r="AWI142" s="418"/>
      <c r="AWJ142" s="418"/>
      <c r="AWK142" s="418"/>
      <c r="AWL142" s="418"/>
      <c r="AWM142" s="418"/>
      <c r="AWN142" s="418"/>
      <c r="AWO142" s="418"/>
      <c r="AWP142" s="418"/>
      <c r="AWQ142" s="418"/>
      <c r="AWR142" s="418"/>
      <c r="AWS142" s="418"/>
      <c r="AWT142" s="418"/>
      <c r="AWU142" s="418"/>
      <c r="AWV142" s="418"/>
      <c r="AWW142" s="418"/>
      <c r="AWX142" s="418"/>
      <c r="AWY142" s="418"/>
      <c r="AWZ142" s="418"/>
      <c r="AXA142" s="418"/>
      <c r="AXB142" s="418"/>
      <c r="AXC142" s="418"/>
      <c r="AXD142" s="418"/>
      <c r="AXE142" s="418"/>
      <c r="AXF142" s="418"/>
      <c r="AXG142" s="418"/>
      <c r="AXH142" s="418"/>
      <c r="AXI142" s="418"/>
      <c r="AXJ142" s="418"/>
      <c r="AXK142" s="418"/>
      <c r="AXL142" s="418"/>
      <c r="AXM142" s="418"/>
      <c r="AXN142" s="418"/>
      <c r="AXO142" s="418"/>
      <c r="AXP142" s="418"/>
      <c r="AXQ142" s="418"/>
      <c r="AXR142" s="418"/>
      <c r="AXS142" s="418"/>
      <c r="AXT142" s="418"/>
      <c r="AXU142" s="418"/>
      <c r="AXV142" s="418"/>
      <c r="AXW142" s="418"/>
      <c r="AXX142" s="418"/>
      <c r="AXY142" s="418"/>
      <c r="AXZ142" s="418"/>
      <c r="AYA142" s="418"/>
      <c r="AYB142" s="418"/>
      <c r="AYC142" s="418"/>
      <c r="AYD142" s="418"/>
      <c r="AYE142" s="418"/>
      <c r="AYF142" s="418"/>
      <c r="AYG142" s="418"/>
      <c r="AYH142" s="418"/>
      <c r="AYI142" s="418"/>
      <c r="AYJ142" s="418"/>
      <c r="AYK142" s="418"/>
      <c r="AYL142" s="418"/>
      <c r="AYM142" s="418"/>
      <c r="AYN142" s="418"/>
      <c r="AYO142" s="418"/>
      <c r="AYP142" s="418"/>
      <c r="AYQ142" s="418"/>
      <c r="AYR142" s="418"/>
      <c r="AYS142" s="418"/>
      <c r="AYT142" s="418"/>
      <c r="AYU142" s="418"/>
      <c r="AYV142" s="418"/>
      <c r="AYW142" s="418"/>
      <c r="AYX142" s="418"/>
      <c r="AYY142" s="418"/>
      <c r="AYZ142" s="418"/>
      <c r="AZA142" s="418"/>
      <c r="AZB142" s="418"/>
      <c r="AZC142" s="418"/>
      <c r="AZD142" s="418"/>
      <c r="AZE142" s="418"/>
      <c r="AZF142" s="418"/>
      <c r="AZG142" s="418"/>
      <c r="AZH142" s="418"/>
      <c r="AZI142" s="418"/>
      <c r="AZJ142" s="418"/>
      <c r="AZK142" s="418"/>
      <c r="AZL142" s="418"/>
      <c r="AZM142" s="418"/>
      <c r="AZN142" s="418"/>
      <c r="AZO142" s="418"/>
      <c r="AZP142" s="418"/>
      <c r="AZQ142" s="418"/>
      <c r="AZR142" s="418"/>
      <c r="AZS142" s="418"/>
      <c r="AZT142" s="418"/>
      <c r="AZU142" s="418"/>
      <c r="AZV142" s="418"/>
      <c r="AZW142" s="418"/>
      <c r="AZX142" s="418"/>
      <c r="AZY142" s="418"/>
      <c r="AZZ142" s="418"/>
      <c r="BAA142" s="418"/>
      <c r="BAB142" s="418"/>
      <c r="BAC142" s="418"/>
      <c r="BAD142" s="418"/>
      <c r="BAE142" s="418"/>
      <c r="BAF142" s="418"/>
      <c r="BAG142" s="418"/>
      <c r="BAH142" s="418"/>
      <c r="BAI142" s="418"/>
      <c r="BAJ142" s="418"/>
      <c r="BAK142" s="418"/>
      <c r="BAL142" s="418"/>
      <c r="BAM142" s="418"/>
      <c r="BAN142" s="418"/>
      <c r="BAO142" s="418"/>
      <c r="BAP142" s="418"/>
      <c r="BAQ142" s="418"/>
      <c r="BAR142" s="418"/>
      <c r="BAS142" s="418"/>
      <c r="BAT142" s="418"/>
      <c r="BAU142" s="418"/>
      <c r="BAV142" s="418"/>
      <c r="BAW142" s="418"/>
      <c r="BAX142" s="418"/>
      <c r="BAY142" s="418"/>
      <c r="BAZ142" s="418"/>
      <c r="BBA142" s="418"/>
      <c r="BBB142" s="418"/>
      <c r="BBC142" s="418"/>
      <c r="BBD142" s="418"/>
      <c r="BBE142" s="418"/>
      <c r="BBF142" s="418"/>
      <c r="BBG142" s="418"/>
      <c r="BBH142" s="418"/>
      <c r="BBI142" s="418"/>
      <c r="BBJ142" s="418"/>
      <c r="BBK142" s="418"/>
      <c r="BBL142" s="418"/>
      <c r="BBM142" s="418"/>
      <c r="BBN142" s="418"/>
      <c r="BBO142" s="418"/>
      <c r="BBP142" s="418"/>
      <c r="BBQ142" s="418"/>
      <c r="BBR142" s="418"/>
      <c r="BBS142" s="418"/>
      <c r="BBT142" s="418"/>
      <c r="BBU142" s="418"/>
      <c r="BBV142" s="418"/>
      <c r="BBW142" s="418"/>
      <c r="BBX142" s="418"/>
      <c r="BBY142" s="418"/>
      <c r="BBZ142" s="418"/>
      <c r="BCA142" s="418"/>
      <c r="BCB142" s="418"/>
      <c r="BCC142" s="418"/>
      <c r="BCD142" s="418"/>
      <c r="BCE142" s="418"/>
      <c r="BCF142" s="418"/>
      <c r="BCG142" s="418"/>
      <c r="BCH142" s="418"/>
      <c r="BCI142" s="418"/>
      <c r="BCJ142" s="418"/>
      <c r="BCK142" s="418"/>
      <c r="BCL142" s="418"/>
      <c r="BCM142" s="418"/>
      <c r="BCN142" s="418"/>
      <c r="BCO142" s="418"/>
      <c r="BCP142" s="418"/>
      <c r="BCQ142" s="418"/>
      <c r="BCR142" s="418"/>
      <c r="BCS142" s="418"/>
      <c r="BCT142" s="418"/>
      <c r="BCU142" s="418"/>
      <c r="BCV142" s="418"/>
      <c r="BCW142" s="418"/>
      <c r="BCX142" s="418"/>
      <c r="BCY142" s="418"/>
      <c r="BCZ142" s="418"/>
      <c r="BDA142" s="418"/>
      <c r="BDB142" s="418"/>
      <c r="BDC142" s="418"/>
      <c r="BDD142" s="418"/>
      <c r="BDE142" s="418"/>
      <c r="BDF142" s="418"/>
      <c r="BDG142" s="418"/>
      <c r="BDH142" s="418"/>
      <c r="BDI142" s="418"/>
      <c r="BDJ142" s="418"/>
      <c r="BDK142" s="418"/>
      <c r="BDL142" s="418"/>
      <c r="BDM142" s="418"/>
      <c r="BDN142" s="418"/>
      <c r="BDO142" s="418"/>
      <c r="BDP142" s="418"/>
      <c r="BDQ142" s="418"/>
      <c r="BDR142" s="418"/>
      <c r="BDS142" s="418"/>
      <c r="BDT142" s="418"/>
      <c r="BDU142" s="418"/>
      <c r="BDV142" s="418"/>
      <c r="BDW142" s="418"/>
      <c r="BDX142" s="418"/>
      <c r="BDY142" s="418"/>
      <c r="BDZ142" s="418"/>
      <c r="BEA142" s="418"/>
      <c r="BEB142" s="418"/>
      <c r="BEC142" s="418"/>
      <c r="BED142" s="418"/>
      <c r="BEE142" s="418"/>
      <c r="BEF142" s="418"/>
      <c r="BEG142" s="418"/>
      <c r="BEH142" s="418"/>
      <c r="BEI142" s="418"/>
      <c r="BEJ142" s="418"/>
      <c r="BEK142" s="418"/>
      <c r="BEL142" s="418"/>
      <c r="BEM142" s="418"/>
      <c r="BEN142" s="418"/>
      <c r="BEO142" s="418"/>
      <c r="BEP142" s="418"/>
      <c r="BEQ142" s="418"/>
      <c r="BER142" s="418"/>
      <c r="BES142" s="418"/>
      <c r="BET142" s="418"/>
      <c r="BEU142" s="418"/>
      <c r="BEV142" s="418"/>
      <c r="BEW142" s="418"/>
      <c r="BEX142" s="418"/>
      <c r="BEY142" s="418"/>
      <c r="BEZ142" s="418"/>
      <c r="BFA142" s="418"/>
      <c r="BFB142" s="418"/>
      <c r="BFC142" s="418"/>
      <c r="BFD142" s="418"/>
      <c r="BFE142" s="418"/>
      <c r="BFF142" s="418"/>
      <c r="BFG142" s="418"/>
      <c r="BFH142" s="418"/>
      <c r="BFI142" s="418"/>
      <c r="BFJ142" s="418"/>
      <c r="BFK142" s="418"/>
      <c r="BFL142" s="418"/>
      <c r="BFM142" s="418"/>
      <c r="BFN142" s="418"/>
      <c r="BFO142" s="418"/>
      <c r="BFP142" s="418"/>
      <c r="BFQ142" s="418"/>
      <c r="BFR142" s="418"/>
      <c r="BFS142" s="418"/>
      <c r="BFT142" s="418"/>
      <c r="BFU142" s="418"/>
      <c r="BFV142" s="418"/>
      <c r="BFW142" s="418"/>
      <c r="BFX142" s="418"/>
      <c r="BFY142" s="418"/>
      <c r="BFZ142" s="418"/>
      <c r="BGA142" s="418"/>
      <c r="BGB142" s="418"/>
      <c r="BGC142" s="418"/>
      <c r="BGD142" s="418"/>
      <c r="BGE142" s="418"/>
      <c r="BGF142" s="418"/>
      <c r="BGG142" s="418"/>
      <c r="BGH142" s="418"/>
      <c r="BGI142" s="418"/>
      <c r="BGJ142" s="418"/>
      <c r="BGK142" s="418"/>
      <c r="BGL142" s="418"/>
      <c r="BGM142" s="418"/>
      <c r="BGN142" s="418"/>
      <c r="BGO142" s="418"/>
      <c r="BGP142" s="418"/>
      <c r="BGQ142" s="418"/>
      <c r="BGR142" s="418"/>
      <c r="BGS142" s="418"/>
      <c r="BGT142" s="418"/>
      <c r="BGU142" s="418"/>
      <c r="BGV142" s="418"/>
      <c r="BGW142" s="418"/>
      <c r="BGX142" s="418"/>
      <c r="BGY142" s="418"/>
      <c r="BGZ142" s="418"/>
      <c r="BHA142" s="418"/>
      <c r="BHB142" s="418"/>
      <c r="BHC142" s="418"/>
      <c r="BHD142" s="418"/>
      <c r="BHE142" s="418"/>
      <c r="BHF142" s="418"/>
      <c r="BHG142" s="418"/>
      <c r="BHH142" s="418"/>
      <c r="BHI142" s="418"/>
      <c r="BHJ142" s="418"/>
      <c r="BHK142" s="418"/>
      <c r="BHL142" s="418"/>
      <c r="BHM142" s="418"/>
      <c r="BHN142" s="418"/>
      <c r="BHO142" s="418"/>
      <c r="BHP142" s="418"/>
      <c r="BHQ142" s="418"/>
      <c r="BHR142" s="418"/>
      <c r="BHS142" s="418"/>
      <c r="BHT142" s="418"/>
      <c r="BHU142" s="418"/>
      <c r="BHV142" s="418"/>
      <c r="BHW142" s="418"/>
      <c r="BHX142" s="418"/>
      <c r="BHY142" s="418"/>
      <c r="BHZ142" s="418"/>
      <c r="BIA142" s="418"/>
      <c r="BIB142" s="418"/>
      <c r="BIC142" s="418"/>
      <c r="BID142" s="418"/>
      <c r="BIE142" s="418"/>
      <c r="BIF142" s="418"/>
      <c r="BIG142" s="418"/>
      <c r="BIH142" s="418"/>
      <c r="BII142" s="418"/>
      <c r="BIJ142" s="418"/>
      <c r="BIK142" s="418"/>
      <c r="BIL142" s="418"/>
      <c r="BIM142" s="418"/>
      <c r="BIN142" s="418"/>
      <c r="BIO142" s="418"/>
      <c r="BIP142" s="418"/>
      <c r="BIQ142" s="418"/>
      <c r="BIR142" s="418"/>
      <c r="BIS142" s="418"/>
      <c r="BIT142" s="418"/>
      <c r="BIU142" s="418"/>
      <c r="BIV142" s="418"/>
      <c r="BIW142" s="418"/>
      <c r="BIX142" s="418"/>
      <c r="BIY142" s="418"/>
      <c r="BIZ142" s="418"/>
      <c r="BJA142" s="418"/>
      <c r="BJB142" s="418"/>
      <c r="BJC142" s="418"/>
      <c r="BJD142" s="418"/>
      <c r="BJE142" s="418"/>
      <c r="BJF142" s="418"/>
      <c r="BJG142" s="418"/>
      <c r="BJH142" s="418"/>
      <c r="BJI142" s="418"/>
      <c r="BJJ142" s="418"/>
      <c r="BJK142" s="418"/>
      <c r="BJL142" s="418"/>
      <c r="BJM142" s="418"/>
      <c r="BJN142" s="418"/>
      <c r="BJO142" s="418"/>
      <c r="BJP142" s="418"/>
      <c r="BJQ142" s="418"/>
      <c r="BJR142" s="418"/>
      <c r="BJS142" s="418"/>
      <c r="BJT142" s="418"/>
      <c r="BJU142" s="418"/>
      <c r="BJV142" s="418"/>
      <c r="BJW142" s="418"/>
      <c r="BJX142" s="418"/>
      <c r="BJY142" s="418"/>
      <c r="BJZ142" s="418"/>
      <c r="BKA142" s="418"/>
      <c r="BKB142" s="418"/>
      <c r="BKC142" s="418"/>
      <c r="BKD142" s="418"/>
      <c r="BKE142" s="418"/>
      <c r="BKF142" s="418"/>
      <c r="BKG142" s="418"/>
      <c r="BKH142" s="418"/>
      <c r="BKI142" s="418"/>
      <c r="BKJ142" s="418"/>
      <c r="BKK142" s="418"/>
      <c r="BKL142" s="418"/>
      <c r="BKM142" s="418"/>
      <c r="BKN142" s="418"/>
      <c r="BKO142" s="418"/>
      <c r="BKP142" s="418"/>
      <c r="BKQ142" s="418"/>
      <c r="BKR142" s="418"/>
      <c r="BKS142" s="418"/>
      <c r="BKT142" s="418"/>
      <c r="BKU142" s="418"/>
      <c r="BKV142" s="418"/>
      <c r="BKW142" s="418"/>
      <c r="BKX142" s="418"/>
      <c r="BKY142" s="418"/>
      <c r="BKZ142" s="418"/>
      <c r="BLA142" s="418"/>
      <c r="BLB142" s="418"/>
      <c r="BLC142" s="418"/>
      <c r="BLD142" s="418"/>
      <c r="BLE142" s="418"/>
      <c r="BLF142" s="418"/>
      <c r="BLG142" s="418"/>
      <c r="BLH142" s="418"/>
      <c r="BLI142" s="418"/>
      <c r="BLJ142" s="418"/>
      <c r="BLK142" s="418"/>
      <c r="BLL142" s="418"/>
      <c r="BLM142" s="418"/>
      <c r="BLN142" s="418"/>
      <c r="BLO142" s="418"/>
      <c r="BLP142" s="418"/>
      <c r="BLQ142" s="418"/>
      <c r="BLR142" s="418"/>
      <c r="BLS142" s="418"/>
      <c r="BLT142" s="418"/>
      <c r="BLU142" s="418"/>
      <c r="BLV142" s="418"/>
      <c r="BLW142" s="418"/>
      <c r="BLX142" s="418"/>
      <c r="BLY142" s="418"/>
      <c r="BLZ142" s="418"/>
      <c r="BMA142" s="418"/>
      <c r="BMB142" s="418"/>
      <c r="BMC142" s="418"/>
      <c r="BMD142" s="418"/>
      <c r="BME142" s="418"/>
      <c r="BMF142" s="418"/>
      <c r="BMG142" s="418"/>
      <c r="BMH142" s="418"/>
      <c r="BMI142" s="418"/>
      <c r="BMJ142" s="418"/>
      <c r="BMK142" s="418"/>
      <c r="BML142" s="418"/>
      <c r="BMM142" s="418"/>
      <c r="BMN142" s="418"/>
      <c r="BMO142" s="418"/>
      <c r="BMP142" s="418"/>
      <c r="BMQ142" s="418"/>
      <c r="BMR142" s="418"/>
      <c r="BMS142" s="418"/>
      <c r="BMT142" s="418"/>
      <c r="BMU142" s="418"/>
      <c r="BMV142" s="418"/>
      <c r="BMW142" s="418"/>
      <c r="BMX142" s="418"/>
      <c r="BMY142" s="418"/>
      <c r="BMZ142" s="418"/>
      <c r="BNA142" s="418"/>
      <c r="BNB142" s="418"/>
      <c r="BNC142" s="418"/>
      <c r="BND142" s="418"/>
      <c r="BNE142" s="418"/>
      <c r="BNF142" s="418"/>
      <c r="BNG142" s="418"/>
      <c r="BNH142" s="418"/>
      <c r="BNI142" s="418"/>
      <c r="BNJ142" s="418"/>
      <c r="BNK142" s="418"/>
      <c r="BNL142" s="418"/>
      <c r="BNM142" s="418"/>
      <c r="BNN142" s="418"/>
      <c r="BNO142" s="418"/>
      <c r="BNP142" s="418"/>
      <c r="BNQ142" s="418"/>
      <c r="BNR142" s="418"/>
      <c r="BNS142" s="418"/>
      <c r="BNT142" s="418"/>
      <c r="BNU142" s="418"/>
      <c r="BNV142" s="418"/>
      <c r="BNW142" s="418"/>
      <c r="BNX142" s="418"/>
      <c r="BNY142" s="418"/>
      <c r="BNZ142" s="418"/>
      <c r="BOA142" s="418"/>
      <c r="BOB142" s="418"/>
      <c r="BOC142" s="418"/>
      <c r="BOD142" s="418"/>
      <c r="BOE142" s="418"/>
      <c r="BOF142" s="418"/>
      <c r="BOG142" s="418"/>
      <c r="BOH142" s="418"/>
      <c r="BOI142" s="418"/>
      <c r="BOJ142" s="418"/>
      <c r="BOK142" s="418"/>
      <c r="BOL142" s="418"/>
      <c r="BOM142" s="418"/>
      <c r="BON142" s="418"/>
      <c r="BOO142" s="418"/>
      <c r="BOP142" s="418"/>
      <c r="BOQ142" s="418"/>
      <c r="BOR142" s="418"/>
      <c r="BOS142" s="418"/>
      <c r="BOT142" s="418"/>
      <c r="BOU142" s="418"/>
      <c r="BOV142" s="418"/>
      <c r="BOW142" s="418"/>
      <c r="BOX142" s="418"/>
      <c r="BOY142" s="418"/>
      <c r="BOZ142" s="418"/>
      <c r="BPA142" s="418"/>
      <c r="BPB142" s="418"/>
      <c r="BPC142" s="418"/>
      <c r="BPD142" s="418"/>
      <c r="BPE142" s="418"/>
      <c r="BPF142" s="418"/>
      <c r="BPG142" s="418"/>
      <c r="BPH142" s="418"/>
      <c r="BPI142" s="418"/>
      <c r="BPJ142" s="418"/>
      <c r="BPK142" s="418"/>
      <c r="BPL142" s="418"/>
      <c r="BPM142" s="418"/>
      <c r="BPN142" s="418"/>
      <c r="BPO142" s="418"/>
      <c r="BPP142" s="418"/>
      <c r="BPQ142" s="418"/>
      <c r="BPR142" s="418"/>
      <c r="BPS142" s="418"/>
      <c r="BPT142" s="418"/>
      <c r="BPU142" s="418"/>
      <c r="BPV142" s="418"/>
      <c r="BPW142" s="418"/>
      <c r="BPX142" s="418"/>
      <c r="BPY142" s="418"/>
      <c r="BPZ142" s="418"/>
      <c r="BQA142" s="418"/>
      <c r="BQB142" s="418"/>
      <c r="BQC142" s="418"/>
      <c r="BQD142" s="418"/>
      <c r="BQE142" s="418"/>
      <c r="BQF142" s="418"/>
      <c r="BQG142" s="418"/>
      <c r="BQH142" s="418"/>
      <c r="BQI142" s="418"/>
      <c r="BQJ142" s="418"/>
      <c r="BQK142" s="418"/>
      <c r="BQL142" s="418"/>
      <c r="BQM142" s="418"/>
      <c r="BQN142" s="418"/>
      <c r="BQO142" s="418"/>
      <c r="BQP142" s="418"/>
      <c r="BQQ142" s="418"/>
      <c r="BQR142" s="418"/>
      <c r="BQS142" s="418"/>
      <c r="BQT142" s="418"/>
      <c r="BQU142" s="418"/>
      <c r="BQV142" s="418"/>
      <c r="BQW142" s="418"/>
      <c r="BQX142" s="418"/>
      <c r="BQY142" s="418"/>
      <c r="BQZ142" s="418"/>
      <c r="BRA142" s="418"/>
      <c r="BRB142" s="418"/>
      <c r="BRC142" s="418"/>
      <c r="BRD142" s="418"/>
      <c r="BRE142" s="418"/>
      <c r="BRF142" s="418"/>
      <c r="BRG142" s="418"/>
      <c r="BRH142" s="418"/>
      <c r="BRI142" s="418"/>
      <c r="BRJ142" s="418"/>
      <c r="BRK142" s="418"/>
      <c r="BRL142" s="418"/>
      <c r="BRM142" s="418"/>
      <c r="BRN142" s="418"/>
      <c r="BRO142" s="418"/>
      <c r="BRP142" s="418"/>
      <c r="BRQ142" s="418"/>
      <c r="BRR142" s="418"/>
      <c r="BRS142" s="418"/>
      <c r="BRT142" s="418"/>
      <c r="BRU142" s="418"/>
      <c r="BRV142" s="418"/>
      <c r="BRW142" s="418"/>
      <c r="BRX142" s="418"/>
      <c r="BRY142" s="418"/>
      <c r="BRZ142" s="418"/>
      <c r="BSA142" s="418"/>
      <c r="BSB142" s="418"/>
      <c r="BSC142" s="418"/>
      <c r="BSD142" s="418"/>
      <c r="BSE142" s="418"/>
      <c r="BSF142" s="418"/>
      <c r="BSG142" s="418"/>
      <c r="BSH142" s="418"/>
      <c r="BSI142" s="418"/>
      <c r="BSJ142" s="418"/>
      <c r="BSK142" s="418"/>
      <c r="BSL142" s="418"/>
      <c r="BSM142" s="418"/>
      <c r="BSN142" s="418"/>
      <c r="BSO142" s="418"/>
      <c r="BSP142" s="418"/>
      <c r="BSQ142" s="418"/>
      <c r="BSR142" s="418"/>
      <c r="BSS142" s="418"/>
      <c r="BST142" s="418"/>
      <c r="BSU142" s="418"/>
      <c r="BSV142" s="418"/>
      <c r="BSW142" s="418"/>
      <c r="BSX142" s="418"/>
      <c r="BSY142" s="418"/>
      <c r="BSZ142" s="418"/>
      <c r="BTA142" s="418"/>
      <c r="BTB142" s="418"/>
      <c r="BTC142" s="418"/>
      <c r="BTD142" s="418"/>
      <c r="BTE142" s="418"/>
      <c r="BTF142" s="418"/>
      <c r="BTG142" s="418"/>
      <c r="BTH142" s="418"/>
      <c r="BTI142" s="418"/>
      <c r="BTJ142" s="418"/>
      <c r="BTK142" s="418"/>
      <c r="BTL142" s="418"/>
      <c r="BTM142" s="418"/>
      <c r="BTN142" s="418"/>
      <c r="BTO142" s="418"/>
      <c r="BTP142" s="418"/>
      <c r="BTQ142" s="418"/>
      <c r="BTR142" s="418"/>
      <c r="BTS142" s="418"/>
      <c r="BTT142" s="418"/>
      <c r="BTU142" s="418"/>
      <c r="BTV142" s="418"/>
      <c r="BTW142" s="418"/>
      <c r="BTX142" s="418"/>
      <c r="BTY142" s="418"/>
      <c r="BTZ142" s="418"/>
      <c r="BUA142" s="418"/>
      <c r="BUB142" s="418"/>
      <c r="BUC142" s="418"/>
      <c r="BUD142" s="418"/>
      <c r="BUE142" s="418"/>
      <c r="BUF142" s="418"/>
      <c r="BUG142" s="418"/>
      <c r="BUH142" s="418"/>
      <c r="BUI142" s="418"/>
      <c r="BUJ142" s="418"/>
      <c r="BUK142" s="418"/>
      <c r="BUL142" s="418"/>
      <c r="BUM142" s="418"/>
      <c r="BUN142" s="418"/>
      <c r="BUO142" s="418"/>
      <c r="BUP142" s="418"/>
      <c r="BUQ142" s="418"/>
      <c r="BUR142" s="418"/>
      <c r="BUS142" s="418"/>
      <c r="BUT142" s="418"/>
      <c r="BUU142" s="418"/>
      <c r="BUV142" s="418"/>
      <c r="BUW142" s="418"/>
      <c r="BUX142" s="418"/>
      <c r="BUY142" s="418"/>
      <c r="BUZ142" s="418"/>
      <c r="BVA142" s="418"/>
      <c r="BVB142" s="418"/>
      <c r="BVC142" s="418"/>
      <c r="BVD142" s="418"/>
      <c r="BVE142" s="418"/>
      <c r="BVF142" s="418"/>
      <c r="BVG142" s="418"/>
      <c r="BVH142" s="418"/>
      <c r="BVI142" s="418"/>
      <c r="BVJ142" s="418"/>
      <c r="BVK142" s="418"/>
      <c r="BVL142" s="418"/>
      <c r="BVM142" s="418"/>
      <c r="BVN142" s="418"/>
      <c r="BVO142" s="418"/>
      <c r="BVP142" s="418"/>
      <c r="BVQ142" s="418"/>
      <c r="BVR142" s="418"/>
      <c r="BVS142" s="418"/>
      <c r="BVT142" s="418"/>
      <c r="BVU142" s="418"/>
      <c r="BVV142" s="418"/>
      <c r="BVW142" s="418"/>
      <c r="BVX142" s="418"/>
      <c r="BVY142" s="418"/>
      <c r="BVZ142" s="418"/>
      <c r="BWA142" s="418"/>
      <c r="BWB142" s="418"/>
      <c r="BWC142" s="418"/>
      <c r="BWD142" s="418"/>
      <c r="BWE142" s="418"/>
      <c r="BWF142" s="418"/>
      <c r="BWG142" s="418"/>
      <c r="BWH142" s="418"/>
      <c r="BWI142" s="418"/>
      <c r="BWJ142" s="418"/>
      <c r="BWK142" s="418"/>
      <c r="BWL142" s="418"/>
      <c r="BWM142" s="418"/>
      <c r="BWN142" s="418"/>
      <c r="BWO142" s="418"/>
      <c r="BWP142" s="418"/>
      <c r="BWQ142" s="418"/>
      <c r="BWR142" s="418"/>
      <c r="BWS142" s="418"/>
      <c r="BWT142" s="418"/>
      <c r="BWU142" s="418"/>
      <c r="BWV142" s="418"/>
      <c r="BWW142" s="418"/>
      <c r="BWX142" s="418"/>
      <c r="BWY142" s="418"/>
      <c r="BWZ142" s="418"/>
      <c r="BXA142" s="418"/>
      <c r="BXB142" s="418"/>
      <c r="BXC142" s="418"/>
      <c r="BXD142" s="418"/>
      <c r="BXE142" s="418"/>
      <c r="BXF142" s="418"/>
      <c r="BXG142" s="418"/>
      <c r="BXH142" s="418"/>
      <c r="BXI142" s="418"/>
      <c r="BXJ142" s="418"/>
      <c r="BXK142" s="418"/>
      <c r="BXL142" s="418"/>
      <c r="BXM142" s="418"/>
      <c r="BXN142" s="418"/>
      <c r="BXO142" s="418"/>
      <c r="BXP142" s="418"/>
      <c r="BXQ142" s="418"/>
      <c r="BXR142" s="418"/>
      <c r="BXS142" s="418"/>
      <c r="BXT142" s="418"/>
      <c r="BXU142" s="418"/>
      <c r="BXV142" s="418"/>
      <c r="BXW142" s="418"/>
      <c r="BXX142" s="418"/>
      <c r="BXY142" s="418"/>
      <c r="BXZ142" s="418"/>
      <c r="BYA142" s="418"/>
      <c r="BYB142" s="418"/>
      <c r="BYC142" s="418"/>
      <c r="BYD142" s="418"/>
      <c r="BYE142" s="418"/>
      <c r="BYF142" s="418"/>
      <c r="BYG142" s="418"/>
      <c r="BYH142" s="418"/>
      <c r="BYI142" s="418"/>
      <c r="BYJ142" s="418"/>
      <c r="BYK142" s="418"/>
      <c r="BYL142" s="418"/>
      <c r="BYM142" s="418"/>
      <c r="BYN142" s="418"/>
      <c r="BYO142" s="418"/>
      <c r="BYP142" s="418"/>
      <c r="BYQ142" s="418"/>
      <c r="BYR142" s="418"/>
      <c r="BYS142" s="418"/>
      <c r="BYT142" s="418"/>
      <c r="BYU142" s="418"/>
      <c r="BYV142" s="418"/>
      <c r="BYW142" s="418"/>
      <c r="BYX142" s="418"/>
      <c r="BYY142" s="418"/>
      <c r="BYZ142" s="418"/>
      <c r="BZA142" s="418"/>
      <c r="BZB142" s="418"/>
      <c r="BZC142" s="418"/>
      <c r="BZD142" s="418"/>
      <c r="BZE142" s="418"/>
      <c r="BZF142" s="418"/>
      <c r="BZG142" s="418"/>
      <c r="BZH142" s="418"/>
      <c r="BZI142" s="418"/>
      <c r="BZJ142" s="418"/>
      <c r="BZK142" s="418"/>
      <c r="BZL142" s="418"/>
      <c r="BZM142" s="418"/>
      <c r="BZN142" s="418"/>
      <c r="BZO142" s="418"/>
      <c r="BZP142" s="418"/>
      <c r="BZQ142" s="418"/>
      <c r="BZR142" s="418"/>
      <c r="BZS142" s="418"/>
      <c r="BZT142" s="418"/>
      <c r="BZU142" s="418"/>
      <c r="BZV142" s="418"/>
      <c r="BZW142" s="418"/>
      <c r="BZX142" s="418"/>
      <c r="BZY142" s="418"/>
      <c r="BZZ142" s="418"/>
      <c r="CAA142" s="418"/>
      <c r="CAB142" s="418"/>
      <c r="CAC142" s="418"/>
      <c r="CAD142" s="418"/>
      <c r="CAE142" s="418"/>
      <c r="CAF142" s="418"/>
      <c r="CAG142" s="418"/>
      <c r="CAH142" s="418"/>
      <c r="CAI142" s="418"/>
      <c r="CAJ142" s="418"/>
      <c r="CAK142" s="418"/>
      <c r="CAL142" s="418"/>
      <c r="CAM142" s="418"/>
      <c r="CAN142" s="418"/>
      <c r="CAO142" s="418"/>
      <c r="CAP142" s="418"/>
      <c r="CAQ142" s="418"/>
      <c r="CAR142" s="418"/>
      <c r="CAS142" s="418"/>
      <c r="CAT142" s="418"/>
      <c r="CAU142" s="418"/>
      <c r="CAV142" s="418"/>
      <c r="CAW142" s="418"/>
      <c r="CAX142" s="418"/>
      <c r="CAY142" s="418"/>
      <c r="CAZ142" s="418"/>
      <c r="CBA142" s="418"/>
      <c r="CBB142" s="418"/>
      <c r="CBC142" s="418"/>
      <c r="CBD142" s="418"/>
      <c r="CBE142" s="418"/>
      <c r="CBF142" s="418"/>
      <c r="CBG142" s="418"/>
      <c r="CBH142" s="418"/>
      <c r="CBI142" s="418"/>
      <c r="CBJ142" s="418"/>
      <c r="CBK142" s="418"/>
      <c r="CBL142" s="418"/>
      <c r="CBM142" s="418"/>
      <c r="CBN142" s="418"/>
      <c r="CBO142" s="418"/>
      <c r="CBP142" s="418"/>
      <c r="CBQ142" s="418"/>
      <c r="CBR142" s="418"/>
      <c r="CBS142" s="418"/>
      <c r="CBT142" s="418"/>
      <c r="CBU142" s="418"/>
      <c r="CBV142" s="418"/>
      <c r="CBW142" s="418"/>
      <c r="CBX142" s="418"/>
      <c r="CBY142" s="418"/>
      <c r="CBZ142" s="418"/>
      <c r="CCA142" s="418"/>
      <c r="CCB142" s="418"/>
      <c r="CCC142" s="418"/>
      <c r="CCD142" s="418"/>
      <c r="CCE142" s="418"/>
      <c r="CCF142" s="418"/>
      <c r="CCG142" s="418"/>
      <c r="CCH142" s="418"/>
      <c r="CCI142" s="418"/>
      <c r="CCJ142" s="418"/>
      <c r="CCK142" s="418"/>
      <c r="CCL142" s="418"/>
      <c r="CCM142" s="418"/>
      <c r="CCN142" s="418"/>
      <c r="CCO142" s="418"/>
      <c r="CCP142" s="418"/>
      <c r="CCQ142" s="418"/>
      <c r="CCR142" s="418"/>
      <c r="CCS142" s="418"/>
      <c r="CCT142" s="418"/>
      <c r="CCU142" s="418"/>
      <c r="CCV142" s="418"/>
      <c r="CCW142" s="418"/>
      <c r="CCX142" s="418"/>
      <c r="CCY142" s="418"/>
      <c r="CCZ142" s="418"/>
      <c r="CDA142" s="418"/>
      <c r="CDB142" s="418"/>
      <c r="CDC142" s="418"/>
      <c r="CDD142" s="418"/>
      <c r="CDE142" s="418"/>
      <c r="CDF142" s="418"/>
      <c r="CDG142" s="418"/>
      <c r="CDH142" s="418"/>
      <c r="CDI142" s="418"/>
      <c r="CDJ142" s="418"/>
      <c r="CDK142" s="418"/>
      <c r="CDL142" s="418"/>
      <c r="CDM142" s="418"/>
      <c r="CDN142" s="418"/>
      <c r="CDO142" s="418"/>
      <c r="CDP142" s="418"/>
      <c r="CDQ142" s="418"/>
      <c r="CDR142" s="418"/>
      <c r="CDS142" s="418"/>
      <c r="CDT142" s="418"/>
      <c r="CDU142" s="418"/>
      <c r="CDV142" s="418"/>
      <c r="CDW142" s="418"/>
      <c r="CDX142" s="418"/>
      <c r="CDY142" s="418"/>
      <c r="CDZ142" s="418"/>
      <c r="CEA142" s="418"/>
      <c r="CEB142" s="418"/>
      <c r="CEC142" s="418"/>
      <c r="CED142" s="418"/>
      <c r="CEE142" s="418"/>
      <c r="CEF142" s="418"/>
      <c r="CEG142" s="418"/>
      <c r="CEH142" s="418"/>
      <c r="CEI142" s="418"/>
      <c r="CEJ142" s="418"/>
      <c r="CEK142" s="418"/>
      <c r="CEL142" s="418"/>
      <c r="CEM142" s="418"/>
      <c r="CEN142" s="418"/>
      <c r="CEO142" s="418"/>
      <c r="CEP142" s="418"/>
      <c r="CEQ142" s="418"/>
      <c r="CER142" s="418"/>
      <c r="CES142" s="418"/>
      <c r="CET142" s="418"/>
      <c r="CEU142" s="418"/>
      <c r="CEV142" s="418"/>
      <c r="CEW142" s="418"/>
      <c r="CEX142" s="418"/>
      <c r="CEY142" s="418"/>
      <c r="CEZ142" s="418"/>
      <c r="CFA142" s="418"/>
      <c r="CFB142" s="418"/>
      <c r="CFC142" s="418"/>
      <c r="CFD142" s="418"/>
      <c r="CFE142" s="418"/>
      <c r="CFF142" s="418"/>
      <c r="CFG142" s="418"/>
      <c r="CFH142" s="418"/>
      <c r="CFI142" s="418"/>
      <c r="CFJ142" s="418"/>
      <c r="CFK142" s="418"/>
      <c r="CFL142" s="418"/>
      <c r="CFM142" s="418"/>
      <c r="CFN142" s="418"/>
      <c r="CFO142" s="418"/>
      <c r="CFP142" s="418"/>
      <c r="CFQ142" s="418"/>
      <c r="CFR142" s="418"/>
      <c r="CFS142" s="418"/>
      <c r="CFT142" s="418"/>
      <c r="CFU142" s="418"/>
      <c r="CFV142" s="418"/>
      <c r="CFW142" s="418"/>
      <c r="CFX142" s="418"/>
      <c r="CFY142" s="418"/>
      <c r="CFZ142" s="418"/>
      <c r="CGA142" s="418"/>
      <c r="CGB142" s="418"/>
      <c r="CGC142" s="418"/>
      <c r="CGD142" s="418"/>
      <c r="CGE142" s="418"/>
      <c r="CGF142" s="418"/>
      <c r="CGG142" s="418"/>
      <c r="CGH142" s="418"/>
      <c r="CGI142" s="418"/>
      <c r="CGJ142" s="418"/>
      <c r="CGK142" s="418"/>
      <c r="CGL142" s="418"/>
      <c r="CGM142" s="418"/>
      <c r="CGN142" s="418"/>
      <c r="CGO142" s="418"/>
      <c r="CGP142" s="418"/>
      <c r="CGQ142" s="418"/>
      <c r="CGR142" s="418"/>
      <c r="CGS142" s="418"/>
      <c r="CGT142" s="418"/>
      <c r="CGU142" s="418"/>
      <c r="CGV142" s="418"/>
      <c r="CGW142" s="418"/>
      <c r="CGX142" s="418"/>
      <c r="CGY142" s="418"/>
      <c r="CGZ142" s="418"/>
      <c r="CHA142" s="418"/>
      <c r="CHB142" s="418"/>
      <c r="CHC142" s="418"/>
      <c r="CHD142" s="418"/>
      <c r="CHE142" s="418"/>
      <c r="CHF142" s="418"/>
      <c r="CHG142" s="418"/>
      <c r="CHH142" s="418"/>
      <c r="CHI142" s="418"/>
      <c r="CHJ142" s="418"/>
      <c r="CHK142" s="418"/>
      <c r="CHL142" s="418"/>
      <c r="CHM142" s="418"/>
      <c r="CHN142" s="418"/>
      <c r="CHO142" s="418"/>
      <c r="CHP142" s="418"/>
      <c r="CHQ142" s="418"/>
      <c r="CHR142" s="418"/>
      <c r="CHS142" s="418"/>
      <c r="CHT142" s="418"/>
      <c r="CHU142" s="418"/>
      <c r="CHV142" s="418"/>
      <c r="CHW142" s="418"/>
      <c r="CHX142" s="418"/>
      <c r="CHY142" s="418"/>
      <c r="CHZ142" s="418"/>
      <c r="CIA142" s="418"/>
      <c r="CIB142" s="418"/>
      <c r="CIC142" s="418"/>
      <c r="CID142" s="418"/>
      <c r="CIE142" s="418"/>
      <c r="CIF142" s="418"/>
      <c r="CIG142" s="418"/>
      <c r="CIH142" s="418"/>
      <c r="CII142" s="418"/>
      <c r="CIJ142" s="418"/>
      <c r="CIK142" s="418"/>
      <c r="CIL142" s="418"/>
      <c r="CIM142" s="418"/>
      <c r="CIN142" s="418"/>
      <c r="CIO142" s="418"/>
      <c r="CIP142" s="418"/>
      <c r="CIQ142" s="418"/>
      <c r="CIR142" s="418"/>
      <c r="CIS142" s="418"/>
      <c r="CIT142" s="418"/>
      <c r="CIU142" s="418"/>
      <c r="CIV142" s="418"/>
      <c r="CIW142" s="418"/>
      <c r="CIX142" s="418"/>
      <c r="CIY142" s="418"/>
      <c r="CIZ142" s="418"/>
      <c r="CJA142" s="418"/>
      <c r="CJB142" s="418"/>
      <c r="CJC142" s="418"/>
      <c r="CJD142" s="418"/>
      <c r="CJE142" s="418"/>
      <c r="CJF142" s="418"/>
      <c r="CJG142" s="418"/>
      <c r="CJH142" s="418"/>
      <c r="CJI142" s="418"/>
      <c r="CJJ142" s="418"/>
      <c r="CJK142" s="418"/>
      <c r="CJL142" s="418"/>
      <c r="CJM142" s="418"/>
      <c r="CJN142" s="418"/>
      <c r="CJO142" s="418"/>
      <c r="CJP142" s="418"/>
      <c r="CJQ142" s="418"/>
      <c r="CJR142" s="418"/>
      <c r="CJS142" s="418"/>
      <c r="CJT142" s="418"/>
      <c r="CJU142" s="418"/>
      <c r="CJV142" s="418"/>
      <c r="CJW142" s="418"/>
      <c r="CJX142" s="418"/>
      <c r="CJY142" s="418"/>
      <c r="CJZ142" s="418"/>
      <c r="CKA142" s="418"/>
      <c r="CKB142" s="418"/>
      <c r="CKC142" s="418"/>
      <c r="CKD142" s="418"/>
      <c r="CKE142" s="418"/>
      <c r="CKF142" s="418"/>
      <c r="CKG142" s="418"/>
      <c r="CKH142" s="418"/>
      <c r="CKI142" s="418"/>
      <c r="CKJ142" s="418"/>
      <c r="CKK142" s="418"/>
      <c r="CKL142" s="418"/>
      <c r="CKM142" s="418"/>
      <c r="CKN142" s="418"/>
      <c r="CKO142" s="418"/>
      <c r="CKP142" s="418"/>
      <c r="CKQ142" s="418"/>
      <c r="CKR142" s="418"/>
      <c r="CKS142" s="418"/>
      <c r="CKT142" s="418"/>
      <c r="CKU142" s="418"/>
      <c r="CKV142" s="418"/>
      <c r="CKW142" s="418"/>
      <c r="CKX142" s="418"/>
      <c r="CKY142" s="418"/>
      <c r="CKZ142" s="418"/>
      <c r="CLA142" s="418"/>
      <c r="CLB142" s="418"/>
      <c r="CLC142" s="418"/>
      <c r="CLD142" s="418"/>
      <c r="CLE142" s="418"/>
      <c r="CLF142" s="418"/>
      <c r="CLG142" s="418"/>
      <c r="CLH142" s="418"/>
      <c r="CLI142" s="418"/>
      <c r="CLJ142" s="418"/>
      <c r="CLK142" s="418"/>
      <c r="CLL142" s="418"/>
      <c r="CLM142" s="418"/>
      <c r="CLN142" s="418"/>
      <c r="CLO142" s="418"/>
      <c r="CLP142" s="418"/>
      <c r="CLQ142" s="418"/>
      <c r="CLR142" s="418"/>
      <c r="CLS142" s="418"/>
      <c r="CLT142" s="418"/>
      <c r="CLU142" s="418"/>
      <c r="CLV142" s="418"/>
      <c r="CLW142" s="418"/>
      <c r="CLX142" s="418"/>
      <c r="CLY142" s="418"/>
      <c r="CLZ142" s="418"/>
      <c r="CMA142" s="418"/>
      <c r="CMB142" s="418"/>
      <c r="CMC142" s="418"/>
      <c r="CMD142" s="418"/>
      <c r="CME142" s="418"/>
      <c r="CMF142" s="418"/>
      <c r="CMG142" s="418"/>
      <c r="CMH142" s="418"/>
      <c r="CMI142" s="418"/>
      <c r="CMJ142" s="418"/>
      <c r="CMK142" s="418"/>
      <c r="CML142" s="418"/>
      <c r="CMM142" s="418"/>
      <c r="CMN142" s="418"/>
      <c r="CMO142" s="418"/>
      <c r="CMP142" s="418"/>
      <c r="CMQ142" s="418"/>
      <c r="CMR142" s="418"/>
      <c r="CMS142" s="418"/>
      <c r="CMT142" s="418"/>
      <c r="CMU142" s="418"/>
      <c r="CMV142" s="418"/>
      <c r="CMW142" s="418"/>
      <c r="CMX142" s="418"/>
      <c r="CMY142" s="418"/>
      <c r="CMZ142" s="418"/>
      <c r="CNA142" s="418"/>
      <c r="CNB142" s="418"/>
      <c r="CNC142" s="418"/>
      <c r="CND142" s="418"/>
      <c r="CNE142" s="418"/>
      <c r="CNF142" s="418"/>
      <c r="CNG142" s="418"/>
      <c r="CNH142" s="418"/>
      <c r="CNI142" s="418"/>
      <c r="CNJ142" s="418"/>
      <c r="CNK142" s="418"/>
      <c r="CNL142" s="418"/>
      <c r="CNM142" s="418"/>
      <c r="CNN142" s="418"/>
      <c r="CNO142" s="418"/>
      <c r="CNP142" s="418"/>
      <c r="CNQ142" s="418"/>
      <c r="CNR142" s="418"/>
      <c r="CNS142" s="418"/>
      <c r="CNT142" s="418"/>
      <c r="CNU142" s="418"/>
      <c r="CNV142" s="418"/>
      <c r="CNW142" s="418"/>
      <c r="CNX142" s="418"/>
      <c r="CNY142" s="418"/>
      <c r="CNZ142" s="418"/>
      <c r="COA142" s="418"/>
      <c r="COB142" s="418"/>
      <c r="COC142" s="418"/>
      <c r="COD142" s="418"/>
      <c r="COE142" s="418"/>
      <c r="COF142" s="418"/>
      <c r="COG142" s="418"/>
      <c r="COH142" s="418"/>
      <c r="COI142" s="418"/>
      <c r="COJ142" s="418"/>
      <c r="COK142" s="418"/>
      <c r="COL142" s="418"/>
      <c r="COM142" s="418"/>
      <c r="CON142" s="418"/>
      <c r="COO142" s="418"/>
      <c r="COP142" s="418"/>
      <c r="COQ142" s="418"/>
      <c r="COR142" s="418"/>
      <c r="COS142" s="418"/>
      <c r="COT142" s="418"/>
      <c r="COU142" s="418"/>
      <c r="COV142" s="418"/>
      <c r="COW142" s="418"/>
      <c r="COX142" s="418"/>
      <c r="COY142" s="418"/>
      <c r="COZ142" s="418"/>
      <c r="CPA142" s="418"/>
      <c r="CPB142" s="418"/>
      <c r="CPC142" s="418"/>
      <c r="CPD142" s="418"/>
      <c r="CPE142" s="418"/>
      <c r="CPF142" s="418"/>
      <c r="CPG142" s="418"/>
      <c r="CPH142" s="418"/>
      <c r="CPI142" s="418"/>
      <c r="CPJ142" s="418"/>
      <c r="CPK142" s="418"/>
      <c r="CPL142" s="418"/>
      <c r="CPM142" s="418"/>
      <c r="CPN142" s="418"/>
      <c r="CPO142" s="418"/>
      <c r="CPP142" s="418"/>
      <c r="CPQ142" s="418"/>
      <c r="CPR142" s="418"/>
      <c r="CPS142" s="418"/>
      <c r="CPT142" s="418"/>
      <c r="CPU142" s="418"/>
      <c r="CPV142" s="418"/>
      <c r="CPW142" s="418"/>
      <c r="CPX142" s="418"/>
      <c r="CPY142" s="418"/>
      <c r="CPZ142" s="418"/>
      <c r="CQA142" s="418"/>
      <c r="CQB142" s="418"/>
      <c r="CQC142" s="418"/>
      <c r="CQD142" s="418"/>
      <c r="CQE142" s="418"/>
      <c r="CQF142" s="418"/>
      <c r="CQG142" s="418"/>
      <c r="CQH142" s="418"/>
      <c r="CQI142" s="418"/>
      <c r="CQJ142" s="418"/>
      <c r="CQK142" s="418"/>
      <c r="CQL142" s="418"/>
      <c r="CQM142" s="418"/>
      <c r="CQN142" s="418"/>
      <c r="CQO142" s="418"/>
      <c r="CQP142" s="418"/>
      <c r="CQQ142" s="418"/>
      <c r="CQR142" s="418"/>
      <c r="CQS142" s="418"/>
      <c r="CQT142" s="418"/>
      <c r="CQU142" s="418"/>
      <c r="CQV142" s="418"/>
      <c r="CQW142" s="418"/>
      <c r="CQX142" s="418"/>
      <c r="CQY142" s="418"/>
      <c r="CQZ142" s="418"/>
      <c r="CRA142" s="418"/>
      <c r="CRB142" s="418"/>
      <c r="CRC142" s="418"/>
      <c r="CRD142" s="418"/>
      <c r="CRE142" s="418"/>
      <c r="CRF142" s="418"/>
      <c r="CRG142" s="418"/>
      <c r="CRH142" s="418"/>
      <c r="CRI142" s="418"/>
      <c r="CRJ142" s="418"/>
      <c r="CRK142" s="418"/>
      <c r="CRL142" s="418"/>
      <c r="CRM142" s="418"/>
      <c r="CRN142" s="418"/>
      <c r="CRO142" s="418"/>
      <c r="CRP142" s="418"/>
      <c r="CRQ142" s="418"/>
      <c r="CRR142" s="418"/>
      <c r="CRS142" s="418"/>
      <c r="CRT142" s="418"/>
      <c r="CRU142" s="418"/>
      <c r="CRV142" s="418"/>
      <c r="CRW142" s="418"/>
      <c r="CRX142" s="418"/>
      <c r="CRY142" s="418"/>
      <c r="CRZ142" s="418"/>
      <c r="CSA142" s="418"/>
      <c r="CSB142" s="418"/>
      <c r="CSC142" s="418"/>
      <c r="CSD142" s="418"/>
      <c r="CSE142" s="418"/>
      <c r="CSF142" s="418"/>
      <c r="CSG142" s="418"/>
      <c r="CSH142" s="418"/>
      <c r="CSI142" s="418"/>
      <c r="CSJ142" s="418"/>
      <c r="CSK142" s="418"/>
      <c r="CSL142" s="418"/>
      <c r="CSM142" s="418"/>
      <c r="CSN142" s="418"/>
      <c r="CSO142" s="418"/>
      <c r="CSP142" s="418"/>
      <c r="CSQ142" s="418"/>
      <c r="CSR142" s="418"/>
      <c r="CSS142" s="418"/>
      <c r="CST142" s="418"/>
      <c r="CSU142" s="418"/>
      <c r="CSV142" s="418"/>
      <c r="CSW142" s="418"/>
      <c r="CSX142" s="418"/>
      <c r="CSY142" s="418"/>
      <c r="CSZ142" s="418"/>
      <c r="CTA142" s="418"/>
      <c r="CTB142" s="418"/>
      <c r="CTC142" s="418"/>
      <c r="CTD142" s="418"/>
      <c r="CTE142" s="418"/>
      <c r="CTF142" s="418"/>
      <c r="CTG142" s="418"/>
      <c r="CTH142" s="418"/>
      <c r="CTI142" s="418"/>
      <c r="CTJ142" s="418"/>
      <c r="CTK142" s="418"/>
      <c r="CTL142" s="418"/>
      <c r="CTM142" s="418"/>
      <c r="CTN142" s="418"/>
      <c r="CTO142" s="418"/>
      <c r="CTP142" s="418"/>
      <c r="CTQ142" s="418"/>
      <c r="CTR142" s="418"/>
      <c r="CTS142" s="418"/>
      <c r="CTT142" s="418"/>
      <c r="CTU142" s="418"/>
      <c r="CTV142" s="418"/>
      <c r="CTW142" s="418"/>
      <c r="CTX142" s="418"/>
      <c r="CTY142" s="418"/>
      <c r="CTZ142" s="418"/>
      <c r="CUA142" s="418"/>
      <c r="CUB142" s="418"/>
      <c r="CUC142" s="418"/>
      <c r="CUD142" s="418"/>
      <c r="CUE142" s="418"/>
      <c r="CUF142" s="418"/>
      <c r="CUG142" s="418"/>
      <c r="CUH142" s="418"/>
      <c r="CUI142" s="418"/>
      <c r="CUJ142" s="418"/>
      <c r="CUK142" s="418"/>
      <c r="CUL142" s="418"/>
      <c r="CUM142" s="418"/>
      <c r="CUN142" s="418"/>
      <c r="CUO142" s="418"/>
      <c r="CUP142" s="418"/>
      <c r="CUQ142" s="418"/>
      <c r="CUR142" s="418"/>
      <c r="CUS142" s="418"/>
      <c r="CUT142" s="418"/>
      <c r="CUU142" s="418"/>
      <c r="CUV142" s="418"/>
      <c r="CUW142" s="418"/>
      <c r="CUX142" s="418"/>
      <c r="CUY142" s="418"/>
      <c r="CUZ142" s="418"/>
      <c r="CVA142" s="418"/>
      <c r="CVB142" s="418"/>
      <c r="CVC142" s="418"/>
      <c r="CVD142" s="418"/>
      <c r="CVE142" s="418"/>
      <c r="CVF142" s="418"/>
      <c r="CVG142" s="418"/>
      <c r="CVH142" s="418"/>
      <c r="CVI142" s="418"/>
      <c r="CVJ142" s="418"/>
      <c r="CVK142" s="418"/>
      <c r="CVL142" s="418"/>
      <c r="CVM142" s="418"/>
      <c r="CVN142" s="418"/>
      <c r="CVO142" s="418"/>
      <c r="CVP142" s="418"/>
      <c r="CVQ142" s="418"/>
      <c r="CVR142" s="418"/>
      <c r="CVS142" s="418"/>
      <c r="CVT142" s="418"/>
      <c r="CVU142" s="418"/>
      <c r="CVV142" s="418"/>
      <c r="CVW142" s="418"/>
      <c r="CVX142" s="418"/>
      <c r="CVY142" s="418"/>
      <c r="CVZ142" s="418"/>
      <c r="CWA142" s="418"/>
      <c r="CWB142" s="418"/>
      <c r="CWC142" s="418"/>
      <c r="CWD142" s="418"/>
      <c r="CWE142" s="418"/>
      <c r="CWF142" s="418"/>
      <c r="CWG142" s="418"/>
      <c r="CWH142" s="418"/>
      <c r="CWI142" s="418"/>
      <c r="CWJ142" s="418"/>
      <c r="CWK142" s="418"/>
      <c r="CWL142" s="418"/>
      <c r="CWM142" s="418"/>
      <c r="CWN142" s="418"/>
      <c r="CWO142" s="418"/>
      <c r="CWP142" s="418"/>
      <c r="CWQ142" s="418"/>
      <c r="CWR142" s="418"/>
      <c r="CWS142" s="418"/>
      <c r="CWT142" s="418"/>
      <c r="CWU142" s="418"/>
      <c r="CWV142" s="418"/>
      <c r="CWW142" s="418"/>
      <c r="CWX142" s="418"/>
      <c r="CWY142" s="418"/>
      <c r="CWZ142" s="418"/>
      <c r="CXA142" s="418"/>
      <c r="CXB142" s="418"/>
      <c r="CXC142" s="418"/>
      <c r="CXD142" s="418"/>
      <c r="CXE142" s="418"/>
      <c r="CXF142" s="418"/>
      <c r="CXG142" s="418"/>
      <c r="CXH142" s="418"/>
      <c r="CXI142" s="418"/>
      <c r="CXJ142" s="418"/>
      <c r="CXK142" s="418"/>
      <c r="CXL142" s="418"/>
      <c r="CXM142" s="418"/>
      <c r="CXN142" s="418"/>
      <c r="CXO142" s="418"/>
      <c r="CXP142" s="418"/>
      <c r="CXQ142" s="418"/>
      <c r="CXR142" s="418"/>
      <c r="CXS142" s="418"/>
      <c r="CXT142" s="418"/>
      <c r="CXU142" s="418"/>
      <c r="CXV142" s="418"/>
      <c r="CXW142" s="418"/>
      <c r="CXX142" s="418"/>
      <c r="CXY142" s="418"/>
      <c r="CXZ142" s="418"/>
      <c r="CYA142" s="418"/>
      <c r="CYB142" s="418"/>
      <c r="CYC142" s="418"/>
      <c r="CYD142" s="418"/>
      <c r="CYE142" s="418"/>
      <c r="CYF142" s="418"/>
      <c r="CYG142" s="418"/>
      <c r="CYH142" s="418"/>
      <c r="CYI142" s="418"/>
      <c r="CYJ142" s="418"/>
      <c r="CYK142" s="418"/>
      <c r="CYL142" s="418"/>
      <c r="CYM142" s="418"/>
      <c r="CYN142" s="418"/>
      <c r="CYO142" s="418"/>
      <c r="CYP142" s="418"/>
      <c r="CYQ142" s="418"/>
      <c r="CYR142" s="418"/>
      <c r="CYS142" s="418"/>
      <c r="CYT142" s="418"/>
      <c r="CYU142" s="418"/>
      <c r="CYV142" s="418"/>
      <c r="CYW142" s="418"/>
      <c r="CYX142" s="418"/>
      <c r="CYY142" s="418"/>
      <c r="CYZ142" s="418"/>
      <c r="CZA142" s="418"/>
      <c r="CZB142" s="418"/>
      <c r="CZC142" s="418"/>
      <c r="CZD142" s="418"/>
      <c r="CZE142" s="418"/>
      <c r="CZF142" s="418"/>
      <c r="CZG142" s="418"/>
      <c r="CZH142" s="418"/>
      <c r="CZI142" s="418"/>
      <c r="CZJ142" s="418"/>
      <c r="CZK142" s="418"/>
      <c r="CZL142" s="418"/>
      <c r="CZM142" s="418"/>
      <c r="CZN142" s="418"/>
      <c r="CZO142" s="418"/>
      <c r="CZP142" s="418"/>
      <c r="CZQ142" s="418"/>
      <c r="CZR142" s="418"/>
      <c r="CZS142" s="418"/>
      <c r="CZT142" s="418"/>
      <c r="CZU142" s="418"/>
      <c r="CZV142" s="418"/>
      <c r="CZW142" s="418"/>
      <c r="CZX142" s="418"/>
      <c r="CZY142" s="418"/>
      <c r="CZZ142" s="418"/>
      <c r="DAA142" s="418"/>
      <c r="DAB142" s="418"/>
      <c r="DAC142" s="418"/>
      <c r="DAD142" s="418"/>
      <c r="DAE142" s="418"/>
      <c r="DAF142" s="418"/>
      <c r="DAG142" s="418"/>
      <c r="DAH142" s="418"/>
      <c r="DAI142" s="418"/>
      <c r="DAJ142" s="418"/>
      <c r="DAK142" s="418"/>
      <c r="DAL142" s="418"/>
      <c r="DAM142" s="418"/>
      <c r="DAN142" s="418"/>
      <c r="DAO142" s="418"/>
      <c r="DAP142" s="418"/>
      <c r="DAQ142" s="418"/>
      <c r="DAR142" s="418"/>
      <c r="DAS142" s="418"/>
      <c r="DAT142" s="418"/>
      <c r="DAU142" s="418"/>
      <c r="DAV142" s="418"/>
      <c r="DAW142" s="418"/>
      <c r="DAX142" s="418"/>
      <c r="DAY142" s="418"/>
      <c r="DAZ142" s="418"/>
      <c r="DBA142" s="418"/>
      <c r="DBB142" s="418"/>
      <c r="DBC142" s="418"/>
      <c r="DBD142" s="418"/>
      <c r="DBE142" s="418"/>
      <c r="DBF142" s="418"/>
      <c r="DBG142" s="418"/>
      <c r="DBH142" s="418"/>
      <c r="DBI142" s="418"/>
      <c r="DBJ142" s="418"/>
      <c r="DBK142" s="418"/>
      <c r="DBL142" s="418"/>
      <c r="DBM142" s="418"/>
      <c r="DBN142" s="418"/>
      <c r="DBO142" s="418"/>
      <c r="DBP142" s="418"/>
      <c r="DBQ142" s="418"/>
      <c r="DBR142" s="418"/>
      <c r="DBS142" s="418"/>
      <c r="DBT142" s="418"/>
      <c r="DBU142" s="418"/>
      <c r="DBV142" s="418"/>
      <c r="DBW142" s="418"/>
      <c r="DBX142" s="418"/>
      <c r="DBY142" s="418"/>
      <c r="DBZ142" s="418"/>
      <c r="DCA142" s="418"/>
      <c r="DCB142" s="418"/>
      <c r="DCC142" s="418"/>
      <c r="DCD142" s="418"/>
      <c r="DCE142" s="418"/>
      <c r="DCF142" s="418"/>
      <c r="DCG142" s="418"/>
      <c r="DCH142" s="418"/>
      <c r="DCI142" s="418"/>
      <c r="DCJ142" s="418"/>
      <c r="DCK142" s="418"/>
      <c r="DCL142" s="418"/>
      <c r="DCM142" s="418"/>
      <c r="DCN142" s="418"/>
      <c r="DCO142" s="418"/>
      <c r="DCP142" s="418"/>
      <c r="DCQ142" s="418"/>
      <c r="DCR142" s="418"/>
      <c r="DCS142" s="418"/>
      <c r="DCT142" s="418"/>
      <c r="DCU142" s="418"/>
      <c r="DCV142" s="418"/>
      <c r="DCW142" s="418"/>
      <c r="DCX142" s="418"/>
      <c r="DCY142" s="418"/>
      <c r="DCZ142" s="418"/>
      <c r="DDA142" s="418"/>
      <c r="DDB142" s="418"/>
      <c r="DDC142" s="418"/>
      <c r="DDD142" s="418"/>
      <c r="DDE142" s="418"/>
      <c r="DDF142" s="418"/>
      <c r="DDG142" s="418"/>
      <c r="DDH142" s="418"/>
      <c r="DDI142" s="418"/>
      <c r="DDJ142" s="418"/>
      <c r="DDK142" s="418"/>
      <c r="DDL142" s="418"/>
      <c r="DDM142" s="418"/>
      <c r="DDN142" s="418"/>
      <c r="DDO142" s="418"/>
      <c r="DDP142" s="418"/>
      <c r="DDQ142" s="418"/>
      <c r="DDR142" s="418"/>
      <c r="DDS142" s="418"/>
      <c r="DDT142" s="418"/>
      <c r="DDU142" s="418"/>
      <c r="DDV142" s="418"/>
      <c r="DDW142" s="418"/>
      <c r="DDX142" s="418"/>
      <c r="DDY142" s="418"/>
      <c r="DDZ142" s="418"/>
      <c r="DEA142" s="418"/>
      <c r="DEB142" s="418"/>
      <c r="DEC142" s="418"/>
      <c r="DED142" s="418"/>
      <c r="DEE142" s="418"/>
      <c r="DEF142" s="418"/>
      <c r="DEG142" s="418"/>
      <c r="DEH142" s="418"/>
      <c r="DEI142" s="418"/>
      <c r="DEJ142" s="418"/>
      <c r="DEK142" s="418"/>
      <c r="DEL142" s="418"/>
      <c r="DEM142" s="418"/>
      <c r="DEN142" s="418"/>
      <c r="DEO142" s="418"/>
      <c r="DEP142" s="418"/>
      <c r="DEQ142" s="418"/>
      <c r="DER142" s="418"/>
      <c r="DES142" s="418"/>
      <c r="DET142" s="418"/>
      <c r="DEU142" s="418"/>
      <c r="DEV142" s="418"/>
      <c r="DEW142" s="418"/>
      <c r="DEX142" s="418"/>
      <c r="DEY142" s="418"/>
      <c r="DEZ142" s="418"/>
      <c r="DFA142" s="418"/>
      <c r="DFB142" s="418"/>
      <c r="DFC142" s="418"/>
      <c r="DFD142" s="418"/>
      <c r="DFE142" s="418"/>
      <c r="DFF142" s="418"/>
      <c r="DFG142" s="418"/>
      <c r="DFH142" s="418"/>
      <c r="DFI142" s="418"/>
      <c r="DFJ142" s="418"/>
      <c r="DFK142" s="418"/>
      <c r="DFL142" s="418"/>
      <c r="DFM142" s="418"/>
      <c r="DFN142" s="418"/>
      <c r="DFO142" s="418"/>
      <c r="DFP142" s="418"/>
      <c r="DFQ142" s="418"/>
      <c r="DFR142" s="418"/>
      <c r="DFS142" s="418"/>
      <c r="DFT142" s="418"/>
      <c r="DFU142" s="418"/>
      <c r="DFV142" s="418"/>
      <c r="DFW142" s="418"/>
      <c r="DFX142" s="418"/>
      <c r="DFY142" s="418"/>
      <c r="DFZ142" s="418"/>
      <c r="DGA142" s="418"/>
      <c r="DGB142" s="418"/>
      <c r="DGC142" s="418"/>
      <c r="DGD142" s="418"/>
      <c r="DGE142" s="418"/>
      <c r="DGF142" s="418"/>
      <c r="DGG142" s="418"/>
      <c r="DGH142" s="418"/>
      <c r="DGI142" s="418"/>
      <c r="DGJ142" s="418"/>
      <c r="DGK142" s="418"/>
      <c r="DGL142" s="418"/>
      <c r="DGM142" s="418"/>
      <c r="DGN142" s="418"/>
      <c r="DGO142" s="418"/>
      <c r="DGP142" s="418"/>
      <c r="DGQ142" s="418"/>
      <c r="DGR142" s="418"/>
      <c r="DGS142" s="418"/>
      <c r="DGT142" s="418"/>
      <c r="DGU142" s="418"/>
      <c r="DGV142" s="418"/>
      <c r="DGW142" s="418"/>
      <c r="DGX142" s="418"/>
      <c r="DGY142" s="418"/>
      <c r="DGZ142" s="418"/>
      <c r="DHA142" s="418"/>
      <c r="DHB142" s="418"/>
      <c r="DHC142" s="418"/>
      <c r="DHD142" s="418"/>
      <c r="DHE142" s="418"/>
      <c r="DHF142" s="418"/>
      <c r="DHG142" s="418"/>
      <c r="DHH142" s="418"/>
      <c r="DHI142" s="418"/>
      <c r="DHJ142" s="418"/>
      <c r="DHK142" s="418"/>
      <c r="DHL142" s="418"/>
      <c r="DHM142" s="418"/>
      <c r="DHN142" s="418"/>
      <c r="DHO142" s="418"/>
      <c r="DHP142" s="418"/>
      <c r="DHQ142" s="418"/>
      <c r="DHR142" s="418"/>
      <c r="DHS142" s="418"/>
      <c r="DHT142" s="418"/>
      <c r="DHU142" s="418"/>
      <c r="DHV142" s="418"/>
      <c r="DHW142" s="418"/>
      <c r="DHX142" s="418"/>
      <c r="DHY142" s="418"/>
      <c r="DHZ142" s="418"/>
      <c r="DIA142" s="418"/>
      <c r="DIB142" s="418"/>
      <c r="DIC142" s="418"/>
      <c r="DID142" s="418"/>
      <c r="DIE142" s="418"/>
      <c r="DIF142" s="418"/>
      <c r="DIG142" s="418"/>
      <c r="DIH142" s="418"/>
      <c r="DII142" s="418"/>
      <c r="DIJ142" s="418"/>
      <c r="DIK142" s="418"/>
      <c r="DIL142" s="418"/>
      <c r="DIM142" s="418"/>
      <c r="DIN142" s="418"/>
      <c r="DIO142" s="418"/>
      <c r="DIP142" s="418"/>
      <c r="DIQ142" s="418"/>
      <c r="DIR142" s="418"/>
      <c r="DIS142" s="418"/>
      <c r="DIT142" s="418"/>
      <c r="DIU142" s="418"/>
      <c r="DIV142" s="418"/>
      <c r="DIW142" s="418"/>
      <c r="DIX142" s="418"/>
      <c r="DIY142" s="418"/>
      <c r="DIZ142" s="418"/>
      <c r="DJA142" s="418"/>
      <c r="DJB142" s="418"/>
      <c r="DJC142" s="418"/>
      <c r="DJD142" s="418"/>
      <c r="DJE142" s="418"/>
      <c r="DJF142" s="418"/>
      <c r="DJG142" s="418"/>
      <c r="DJH142" s="418"/>
      <c r="DJI142" s="418"/>
      <c r="DJJ142" s="418"/>
      <c r="DJK142" s="418"/>
      <c r="DJL142" s="418"/>
      <c r="DJM142" s="418"/>
      <c r="DJN142" s="418"/>
      <c r="DJO142" s="418"/>
      <c r="DJP142" s="418"/>
      <c r="DJQ142" s="418"/>
      <c r="DJR142" s="418"/>
      <c r="DJS142" s="418"/>
      <c r="DJT142" s="418"/>
      <c r="DJU142" s="418"/>
      <c r="DJV142" s="418"/>
      <c r="DJW142" s="418"/>
      <c r="DJX142" s="418"/>
      <c r="DJY142" s="418"/>
      <c r="DJZ142" s="418"/>
      <c r="DKA142" s="418"/>
      <c r="DKB142" s="418"/>
      <c r="DKC142" s="418"/>
      <c r="DKD142" s="418"/>
      <c r="DKE142" s="418"/>
      <c r="DKF142" s="418"/>
      <c r="DKG142" s="418"/>
      <c r="DKH142" s="418"/>
      <c r="DKI142" s="418"/>
      <c r="DKJ142" s="418"/>
      <c r="DKK142" s="418"/>
      <c r="DKL142" s="418"/>
      <c r="DKM142" s="418"/>
      <c r="DKN142" s="418"/>
      <c r="DKO142" s="418"/>
      <c r="DKP142" s="418"/>
      <c r="DKQ142" s="418"/>
      <c r="DKR142" s="418"/>
      <c r="DKS142" s="418"/>
      <c r="DKT142" s="418"/>
      <c r="DKU142" s="418"/>
      <c r="DKV142" s="418"/>
      <c r="DKW142" s="418"/>
      <c r="DKX142" s="418"/>
      <c r="DKY142" s="418"/>
      <c r="DKZ142" s="418"/>
      <c r="DLA142" s="418"/>
      <c r="DLB142" s="418"/>
      <c r="DLC142" s="418"/>
      <c r="DLD142" s="418"/>
      <c r="DLE142" s="418"/>
      <c r="DLF142" s="418"/>
      <c r="DLG142" s="418"/>
      <c r="DLH142" s="418"/>
      <c r="DLI142" s="418"/>
      <c r="DLJ142" s="418"/>
      <c r="DLK142" s="418"/>
      <c r="DLL142" s="418"/>
      <c r="DLM142" s="418"/>
      <c r="DLN142" s="418"/>
      <c r="DLO142" s="418"/>
      <c r="DLP142" s="418"/>
      <c r="DLQ142" s="418"/>
      <c r="DLR142" s="418"/>
      <c r="DLS142" s="418"/>
      <c r="DLT142" s="418"/>
      <c r="DLU142" s="418"/>
      <c r="DLV142" s="418"/>
      <c r="DLW142" s="418"/>
      <c r="DLX142" s="418"/>
      <c r="DLY142" s="418"/>
      <c r="DLZ142" s="418"/>
      <c r="DMA142" s="418"/>
      <c r="DMB142" s="418"/>
      <c r="DMC142" s="418"/>
      <c r="DMD142" s="418"/>
      <c r="DME142" s="418"/>
      <c r="DMF142" s="418"/>
      <c r="DMG142" s="418"/>
      <c r="DMH142" s="418"/>
      <c r="DMI142" s="418"/>
      <c r="DMJ142" s="418"/>
      <c r="DMK142" s="418"/>
      <c r="DML142" s="418"/>
      <c r="DMM142" s="418"/>
      <c r="DMN142" s="418"/>
      <c r="DMO142" s="418"/>
      <c r="DMP142" s="418"/>
      <c r="DMQ142" s="418"/>
      <c r="DMR142" s="418"/>
      <c r="DMS142" s="418"/>
      <c r="DMT142" s="418"/>
      <c r="DMU142" s="418"/>
      <c r="DMV142" s="418"/>
      <c r="DMW142" s="418"/>
      <c r="DMX142" s="418"/>
      <c r="DMY142" s="418"/>
      <c r="DMZ142" s="418"/>
      <c r="DNA142" s="418"/>
      <c r="DNB142" s="418"/>
      <c r="DNC142" s="418"/>
      <c r="DND142" s="418"/>
      <c r="DNE142" s="418"/>
      <c r="DNF142" s="418"/>
      <c r="DNG142" s="418"/>
      <c r="DNH142" s="418"/>
      <c r="DNI142" s="418"/>
      <c r="DNJ142" s="418"/>
      <c r="DNK142" s="418"/>
      <c r="DNL142" s="418"/>
      <c r="DNM142" s="418"/>
      <c r="DNN142" s="418"/>
      <c r="DNO142" s="418"/>
      <c r="DNP142" s="418"/>
      <c r="DNQ142" s="418"/>
      <c r="DNR142" s="418"/>
      <c r="DNS142" s="418"/>
      <c r="DNT142" s="418"/>
      <c r="DNU142" s="418"/>
      <c r="DNV142" s="418"/>
      <c r="DNW142" s="418"/>
      <c r="DNX142" s="418"/>
      <c r="DNY142" s="418"/>
      <c r="DNZ142" s="418"/>
      <c r="DOA142" s="418"/>
      <c r="DOB142" s="418"/>
      <c r="DOC142" s="418"/>
      <c r="DOD142" s="418"/>
      <c r="DOE142" s="418"/>
      <c r="DOF142" s="418"/>
      <c r="DOG142" s="418"/>
      <c r="DOH142" s="418"/>
      <c r="DOI142" s="418"/>
      <c r="DOJ142" s="418"/>
      <c r="DOK142" s="418"/>
      <c r="DOL142" s="418"/>
      <c r="DOM142" s="418"/>
      <c r="DON142" s="418"/>
      <c r="DOO142" s="418"/>
      <c r="DOP142" s="418"/>
      <c r="DOQ142" s="418"/>
      <c r="DOR142" s="418"/>
      <c r="DOS142" s="418"/>
      <c r="DOT142" s="418"/>
      <c r="DOU142" s="418"/>
      <c r="DOV142" s="418"/>
      <c r="DOW142" s="418"/>
      <c r="DOX142" s="418"/>
      <c r="DOY142" s="418"/>
      <c r="DOZ142" s="418"/>
      <c r="DPA142" s="418"/>
      <c r="DPB142" s="418"/>
      <c r="DPC142" s="418"/>
      <c r="DPD142" s="418"/>
      <c r="DPE142" s="418"/>
      <c r="DPF142" s="418"/>
      <c r="DPG142" s="418"/>
      <c r="DPH142" s="418"/>
      <c r="DPI142" s="418"/>
      <c r="DPJ142" s="418"/>
      <c r="DPK142" s="418"/>
      <c r="DPL142" s="418"/>
      <c r="DPM142" s="418"/>
      <c r="DPN142" s="418"/>
      <c r="DPO142" s="418"/>
      <c r="DPP142" s="418"/>
      <c r="DPQ142" s="418"/>
      <c r="DPR142" s="418"/>
      <c r="DPS142" s="418"/>
      <c r="DPT142" s="418"/>
      <c r="DPU142" s="418"/>
      <c r="DPV142" s="418"/>
      <c r="DPW142" s="418"/>
      <c r="DPX142" s="418"/>
      <c r="DPY142" s="418"/>
      <c r="DPZ142" s="418"/>
      <c r="DQA142" s="418"/>
      <c r="DQB142" s="418"/>
      <c r="DQC142" s="418"/>
      <c r="DQD142" s="418"/>
      <c r="DQE142" s="418"/>
      <c r="DQF142" s="418"/>
      <c r="DQG142" s="418"/>
      <c r="DQH142" s="418"/>
      <c r="DQI142" s="418"/>
      <c r="DQJ142" s="418"/>
      <c r="DQK142" s="418"/>
      <c r="DQL142" s="418"/>
      <c r="DQM142" s="418"/>
      <c r="DQN142" s="418"/>
      <c r="DQO142" s="418"/>
      <c r="DQP142" s="418"/>
      <c r="DQQ142" s="418"/>
      <c r="DQR142" s="418"/>
      <c r="DQS142" s="418"/>
      <c r="DQT142" s="418"/>
      <c r="DQU142" s="418"/>
      <c r="DQV142" s="418"/>
      <c r="DQW142" s="418"/>
      <c r="DQX142" s="418"/>
      <c r="DQY142" s="418"/>
      <c r="DQZ142" s="418"/>
      <c r="DRA142" s="418"/>
      <c r="DRB142" s="418"/>
      <c r="DRC142" s="418"/>
      <c r="DRD142" s="418"/>
      <c r="DRE142" s="418"/>
      <c r="DRF142" s="418"/>
      <c r="DRG142" s="418"/>
      <c r="DRH142" s="418"/>
      <c r="DRI142" s="418"/>
      <c r="DRJ142" s="418"/>
      <c r="DRK142" s="418"/>
      <c r="DRL142" s="418"/>
      <c r="DRM142" s="418"/>
      <c r="DRN142" s="418"/>
      <c r="DRO142" s="418"/>
      <c r="DRP142" s="418"/>
      <c r="DRQ142" s="418"/>
      <c r="DRR142" s="418"/>
      <c r="DRS142" s="418"/>
      <c r="DRT142" s="418"/>
      <c r="DRU142" s="418"/>
      <c r="DRV142" s="418"/>
      <c r="DRW142" s="418"/>
      <c r="DRX142" s="418"/>
      <c r="DRY142" s="418"/>
      <c r="DRZ142" s="418"/>
      <c r="DSA142" s="418"/>
      <c r="DSB142" s="418"/>
      <c r="DSC142" s="418"/>
      <c r="DSD142" s="418"/>
      <c r="DSE142" s="418"/>
      <c r="DSF142" s="418"/>
      <c r="DSG142" s="418"/>
      <c r="DSH142" s="418"/>
      <c r="DSI142" s="418"/>
      <c r="DSJ142" s="418"/>
      <c r="DSK142" s="418"/>
      <c r="DSL142" s="418"/>
      <c r="DSM142" s="418"/>
      <c r="DSN142" s="418"/>
      <c r="DSO142" s="418"/>
      <c r="DSP142" s="418"/>
      <c r="DSQ142" s="418"/>
      <c r="DSR142" s="418"/>
      <c r="DSS142" s="418"/>
      <c r="DST142" s="418"/>
      <c r="DSU142" s="418"/>
      <c r="DSV142" s="418"/>
      <c r="DSW142" s="418"/>
      <c r="DSX142" s="418"/>
      <c r="DSY142" s="418"/>
      <c r="DSZ142" s="418"/>
      <c r="DTA142" s="418"/>
      <c r="DTB142" s="418"/>
      <c r="DTC142" s="418"/>
      <c r="DTD142" s="418"/>
      <c r="DTE142" s="418"/>
      <c r="DTF142" s="418"/>
      <c r="DTG142" s="418"/>
      <c r="DTH142" s="418"/>
      <c r="DTI142" s="418"/>
      <c r="DTJ142" s="418"/>
      <c r="DTK142" s="418"/>
      <c r="DTL142" s="418"/>
      <c r="DTM142" s="418"/>
      <c r="DTN142" s="418"/>
      <c r="DTO142" s="418"/>
      <c r="DTP142" s="418"/>
      <c r="DTQ142" s="418"/>
      <c r="DTR142" s="418"/>
      <c r="DTS142" s="418"/>
      <c r="DTT142" s="418"/>
      <c r="DTU142" s="418"/>
      <c r="DTV142" s="418"/>
      <c r="DTW142" s="418"/>
      <c r="DTX142" s="418"/>
      <c r="DTY142" s="418"/>
      <c r="DTZ142" s="418"/>
      <c r="DUA142" s="418"/>
      <c r="DUB142" s="418"/>
      <c r="DUC142" s="418"/>
      <c r="DUD142" s="418"/>
      <c r="DUE142" s="418"/>
      <c r="DUF142" s="418"/>
      <c r="DUG142" s="418"/>
      <c r="DUH142" s="418"/>
      <c r="DUI142" s="418"/>
      <c r="DUJ142" s="418"/>
      <c r="DUK142" s="418"/>
      <c r="DUL142" s="418"/>
      <c r="DUM142" s="418"/>
      <c r="DUN142" s="418"/>
      <c r="DUO142" s="418"/>
      <c r="DUP142" s="418"/>
      <c r="DUQ142" s="418"/>
      <c r="DUR142" s="418"/>
      <c r="DUS142" s="418"/>
      <c r="DUT142" s="418"/>
      <c r="DUU142" s="418"/>
      <c r="DUV142" s="418"/>
      <c r="DUW142" s="418"/>
      <c r="DUX142" s="418"/>
      <c r="DUY142" s="418"/>
      <c r="DUZ142" s="418"/>
      <c r="DVA142" s="418"/>
      <c r="DVB142" s="418"/>
      <c r="DVC142" s="418"/>
      <c r="DVD142" s="418"/>
      <c r="DVE142" s="418"/>
      <c r="DVF142" s="418"/>
      <c r="DVG142" s="418"/>
      <c r="DVH142" s="418"/>
      <c r="DVI142" s="418"/>
      <c r="DVJ142" s="418"/>
      <c r="DVK142" s="418"/>
      <c r="DVL142" s="418"/>
      <c r="DVM142" s="418"/>
      <c r="DVN142" s="418"/>
      <c r="DVO142" s="418"/>
      <c r="DVP142" s="418"/>
      <c r="DVQ142" s="418"/>
      <c r="DVR142" s="418"/>
      <c r="DVS142" s="418"/>
      <c r="DVT142" s="418"/>
      <c r="DVU142" s="418"/>
      <c r="DVV142" s="418"/>
      <c r="DVW142" s="418"/>
      <c r="DVX142" s="418"/>
      <c r="DVY142" s="418"/>
      <c r="DVZ142" s="418"/>
      <c r="DWA142" s="418"/>
      <c r="DWB142" s="418"/>
      <c r="DWC142" s="418"/>
      <c r="DWD142" s="418"/>
      <c r="DWE142" s="418"/>
      <c r="DWF142" s="418"/>
      <c r="DWG142" s="418"/>
      <c r="DWH142" s="418"/>
      <c r="DWI142" s="418"/>
      <c r="DWJ142" s="418"/>
      <c r="DWK142" s="418"/>
      <c r="DWL142" s="418"/>
      <c r="DWM142" s="418"/>
      <c r="DWN142" s="418"/>
      <c r="DWO142" s="418"/>
      <c r="DWP142" s="418"/>
      <c r="DWQ142" s="418"/>
      <c r="DWR142" s="418"/>
      <c r="DWS142" s="418"/>
      <c r="DWT142" s="418"/>
      <c r="DWU142" s="418"/>
      <c r="DWV142" s="418"/>
      <c r="DWW142" s="418"/>
      <c r="DWX142" s="418"/>
      <c r="DWY142" s="418"/>
      <c r="DWZ142" s="418"/>
      <c r="DXA142" s="418"/>
      <c r="DXB142" s="418"/>
      <c r="DXC142" s="418"/>
      <c r="DXD142" s="418"/>
      <c r="DXE142" s="418"/>
      <c r="DXF142" s="418"/>
      <c r="DXG142" s="418"/>
      <c r="DXH142" s="418"/>
      <c r="DXI142" s="418"/>
      <c r="DXJ142" s="418"/>
      <c r="DXK142" s="418"/>
      <c r="DXL142" s="418"/>
      <c r="DXM142" s="418"/>
      <c r="DXN142" s="418"/>
      <c r="DXO142" s="418"/>
      <c r="DXP142" s="418"/>
      <c r="DXQ142" s="418"/>
      <c r="DXR142" s="418"/>
      <c r="DXS142" s="418"/>
      <c r="DXT142" s="418"/>
      <c r="DXU142" s="418"/>
      <c r="DXV142" s="418"/>
      <c r="DXW142" s="418"/>
      <c r="DXX142" s="418"/>
      <c r="DXY142" s="418"/>
      <c r="DXZ142" s="418"/>
      <c r="DYA142" s="418"/>
      <c r="DYB142" s="418"/>
      <c r="DYC142" s="418"/>
      <c r="DYD142" s="418"/>
      <c r="DYE142" s="418"/>
      <c r="DYF142" s="418"/>
      <c r="DYG142" s="418"/>
      <c r="DYH142" s="418"/>
      <c r="DYI142" s="418"/>
      <c r="DYJ142" s="418"/>
      <c r="DYK142" s="418"/>
      <c r="DYL142" s="418"/>
      <c r="DYM142" s="418"/>
      <c r="DYN142" s="418"/>
      <c r="DYO142" s="418"/>
      <c r="DYP142" s="418"/>
      <c r="DYQ142" s="418"/>
      <c r="DYR142" s="418"/>
      <c r="DYS142" s="418"/>
      <c r="DYT142" s="418"/>
      <c r="DYU142" s="418"/>
      <c r="DYV142" s="418"/>
      <c r="DYW142" s="418"/>
      <c r="DYX142" s="418"/>
      <c r="DYY142" s="418"/>
      <c r="DYZ142" s="418"/>
      <c r="DZA142" s="418"/>
      <c r="DZB142" s="418"/>
      <c r="DZC142" s="418"/>
      <c r="DZD142" s="418"/>
      <c r="DZE142" s="418"/>
      <c r="DZF142" s="418"/>
      <c r="DZG142" s="418"/>
      <c r="DZH142" s="418"/>
      <c r="DZI142" s="418"/>
      <c r="DZJ142" s="418"/>
      <c r="DZK142" s="418"/>
      <c r="DZL142" s="418"/>
      <c r="DZM142" s="418"/>
      <c r="DZN142" s="418"/>
      <c r="DZO142" s="418"/>
      <c r="DZP142" s="418"/>
      <c r="DZQ142" s="418"/>
      <c r="DZR142" s="418"/>
      <c r="DZS142" s="418"/>
      <c r="DZT142" s="418"/>
      <c r="DZU142" s="418"/>
      <c r="DZV142" s="418"/>
      <c r="DZW142" s="418"/>
      <c r="DZX142" s="418"/>
      <c r="DZY142" s="418"/>
      <c r="DZZ142" s="418"/>
      <c r="EAA142" s="418"/>
      <c r="EAB142" s="418"/>
      <c r="EAC142" s="418"/>
      <c r="EAD142" s="418"/>
      <c r="EAE142" s="418"/>
      <c r="EAF142" s="418"/>
      <c r="EAG142" s="418"/>
      <c r="EAH142" s="418"/>
      <c r="EAI142" s="418"/>
      <c r="EAJ142" s="418"/>
      <c r="EAK142" s="418"/>
      <c r="EAL142" s="418"/>
      <c r="EAM142" s="418"/>
      <c r="EAN142" s="418"/>
      <c r="EAO142" s="418"/>
      <c r="EAP142" s="418"/>
      <c r="EAQ142" s="418"/>
      <c r="EAR142" s="418"/>
      <c r="EAS142" s="418"/>
      <c r="EAT142" s="418"/>
      <c r="EAU142" s="418"/>
      <c r="EAV142" s="418"/>
      <c r="EAW142" s="418"/>
      <c r="EAX142" s="418"/>
      <c r="EAY142" s="418"/>
      <c r="EAZ142" s="418"/>
      <c r="EBA142" s="418"/>
      <c r="EBB142" s="418"/>
      <c r="EBC142" s="418"/>
      <c r="EBD142" s="418"/>
      <c r="EBE142" s="418"/>
      <c r="EBF142" s="418"/>
      <c r="EBG142" s="418"/>
      <c r="EBH142" s="418"/>
      <c r="EBI142" s="418"/>
      <c r="EBJ142" s="418"/>
      <c r="EBK142" s="418"/>
      <c r="EBL142" s="418"/>
      <c r="EBM142" s="418"/>
      <c r="EBN142" s="418"/>
      <c r="EBO142" s="418"/>
      <c r="EBP142" s="418"/>
      <c r="EBQ142" s="418"/>
      <c r="EBR142" s="418"/>
      <c r="EBS142" s="418"/>
      <c r="EBT142" s="418"/>
      <c r="EBU142" s="418"/>
      <c r="EBV142" s="418"/>
      <c r="EBW142" s="418"/>
      <c r="EBX142" s="418"/>
      <c r="EBY142" s="418"/>
      <c r="EBZ142" s="418"/>
      <c r="ECA142" s="418"/>
      <c r="ECB142" s="418"/>
      <c r="ECC142" s="418"/>
      <c r="ECD142" s="418"/>
      <c r="ECE142" s="418"/>
      <c r="ECF142" s="418"/>
      <c r="ECG142" s="418"/>
      <c r="ECH142" s="418"/>
      <c r="ECI142" s="418"/>
      <c r="ECJ142" s="418"/>
      <c r="ECK142" s="418"/>
      <c r="ECL142" s="418"/>
      <c r="ECM142" s="418"/>
      <c r="ECN142" s="418"/>
      <c r="ECO142" s="418"/>
      <c r="ECP142" s="418"/>
      <c r="ECQ142" s="418"/>
      <c r="ECR142" s="418"/>
      <c r="ECS142" s="418"/>
      <c r="ECT142" s="418"/>
      <c r="ECU142" s="418"/>
      <c r="ECV142" s="418"/>
      <c r="ECW142" s="418"/>
      <c r="ECX142" s="418"/>
      <c r="ECY142" s="418"/>
      <c r="ECZ142" s="418"/>
      <c r="EDA142" s="418"/>
      <c r="EDB142" s="418"/>
      <c r="EDC142" s="418"/>
      <c r="EDD142" s="418"/>
      <c r="EDE142" s="418"/>
      <c r="EDF142" s="418"/>
      <c r="EDG142" s="418"/>
      <c r="EDH142" s="418"/>
      <c r="EDI142" s="418"/>
      <c r="EDJ142" s="418"/>
      <c r="EDK142" s="418"/>
      <c r="EDL142" s="418"/>
      <c r="EDM142" s="418"/>
      <c r="EDN142" s="418"/>
      <c r="EDO142" s="418"/>
      <c r="EDP142" s="418"/>
      <c r="EDQ142" s="418"/>
      <c r="EDR142" s="418"/>
      <c r="EDS142" s="418"/>
      <c r="EDT142" s="418"/>
      <c r="EDU142" s="418"/>
      <c r="EDV142" s="418"/>
      <c r="EDW142" s="418"/>
      <c r="EDX142" s="418"/>
      <c r="EDY142" s="418"/>
      <c r="EDZ142" s="418"/>
      <c r="EEA142" s="418"/>
      <c r="EEB142" s="418"/>
      <c r="EEC142" s="418"/>
      <c r="EED142" s="418"/>
      <c r="EEE142" s="418"/>
      <c r="EEF142" s="418"/>
      <c r="EEG142" s="418"/>
      <c r="EEH142" s="418"/>
      <c r="EEI142" s="418"/>
      <c r="EEJ142" s="418"/>
      <c r="EEK142" s="418"/>
      <c r="EEL142" s="418"/>
      <c r="EEM142" s="418"/>
      <c r="EEN142" s="418"/>
      <c r="EEO142" s="418"/>
      <c r="EEP142" s="418"/>
      <c r="EEQ142" s="418"/>
      <c r="EER142" s="418"/>
      <c r="EES142" s="418"/>
      <c r="EET142" s="418"/>
      <c r="EEU142" s="418"/>
      <c r="EEV142" s="418"/>
      <c r="EEW142" s="418"/>
      <c r="EEX142" s="418"/>
      <c r="EEY142" s="418"/>
      <c r="EEZ142" s="418"/>
      <c r="EFA142" s="418"/>
      <c r="EFB142" s="418"/>
      <c r="EFC142" s="418"/>
      <c r="EFD142" s="418"/>
      <c r="EFE142" s="418"/>
      <c r="EFF142" s="418"/>
      <c r="EFG142" s="418"/>
      <c r="EFH142" s="418"/>
      <c r="EFI142" s="418"/>
      <c r="EFJ142" s="418"/>
      <c r="EFK142" s="418"/>
      <c r="EFL142" s="418"/>
      <c r="EFM142" s="418"/>
      <c r="EFN142" s="418"/>
      <c r="EFO142" s="418"/>
      <c r="EFP142" s="418"/>
      <c r="EFQ142" s="418"/>
      <c r="EFR142" s="418"/>
      <c r="EFS142" s="418"/>
      <c r="EFT142" s="418"/>
      <c r="EFU142" s="418"/>
      <c r="EFV142" s="418"/>
      <c r="EFW142" s="418"/>
      <c r="EFX142" s="418"/>
      <c r="EFY142" s="418"/>
      <c r="EFZ142" s="418"/>
      <c r="EGA142" s="418"/>
      <c r="EGB142" s="418"/>
      <c r="EGC142" s="418"/>
      <c r="EGD142" s="418"/>
      <c r="EGE142" s="418"/>
      <c r="EGF142" s="418"/>
      <c r="EGG142" s="418"/>
      <c r="EGH142" s="418"/>
      <c r="EGI142" s="418"/>
      <c r="EGJ142" s="418"/>
      <c r="EGK142" s="418"/>
      <c r="EGL142" s="418"/>
      <c r="EGM142" s="418"/>
      <c r="EGN142" s="418"/>
      <c r="EGO142" s="418"/>
      <c r="EGP142" s="418"/>
      <c r="EGQ142" s="418"/>
      <c r="EGR142" s="418"/>
      <c r="EGS142" s="418"/>
      <c r="EGT142" s="418"/>
      <c r="EGU142" s="418"/>
      <c r="EGV142" s="418"/>
      <c r="EGW142" s="418"/>
      <c r="EGX142" s="418"/>
      <c r="EGY142" s="418"/>
      <c r="EGZ142" s="418"/>
      <c r="EHA142" s="418"/>
      <c r="EHB142" s="418"/>
      <c r="EHC142" s="418"/>
      <c r="EHD142" s="418"/>
      <c r="EHE142" s="418"/>
      <c r="EHF142" s="418"/>
      <c r="EHG142" s="418"/>
      <c r="EHH142" s="418"/>
      <c r="EHI142" s="418"/>
      <c r="EHJ142" s="418"/>
      <c r="EHK142" s="418"/>
      <c r="EHL142" s="418"/>
      <c r="EHM142" s="418"/>
      <c r="EHN142" s="418"/>
      <c r="EHO142" s="418"/>
      <c r="EHP142" s="418"/>
      <c r="EHQ142" s="418"/>
      <c r="EHR142" s="418"/>
      <c r="EHS142" s="418"/>
      <c r="EHT142" s="418"/>
      <c r="EHU142" s="418"/>
      <c r="EHV142" s="418"/>
      <c r="EHW142" s="418"/>
      <c r="EHX142" s="418"/>
      <c r="EHY142" s="418"/>
      <c r="EHZ142" s="418"/>
      <c r="EIA142" s="418"/>
      <c r="EIB142" s="418"/>
      <c r="EIC142" s="418"/>
      <c r="EID142" s="418"/>
      <c r="EIE142" s="418"/>
      <c r="EIF142" s="418"/>
      <c r="EIG142" s="418"/>
      <c r="EIH142" s="418"/>
      <c r="EII142" s="418"/>
      <c r="EIJ142" s="418"/>
      <c r="EIK142" s="418"/>
      <c r="EIL142" s="418"/>
      <c r="EIM142" s="418"/>
      <c r="EIN142" s="418"/>
      <c r="EIO142" s="418"/>
      <c r="EIP142" s="418"/>
      <c r="EIQ142" s="418"/>
      <c r="EIR142" s="418"/>
      <c r="EIS142" s="418"/>
      <c r="EIT142" s="418"/>
      <c r="EIU142" s="418"/>
      <c r="EIV142" s="418"/>
      <c r="EIW142" s="418"/>
      <c r="EIX142" s="418"/>
      <c r="EIY142" s="418"/>
      <c r="EIZ142" s="418"/>
      <c r="EJA142" s="418"/>
      <c r="EJB142" s="418"/>
      <c r="EJC142" s="418"/>
      <c r="EJD142" s="418"/>
      <c r="EJE142" s="418"/>
      <c r="EJF142" s="418"/>
      <c r="EJG142" s="418"/>
      <c r="EJH142" s="418"/>
      <c r="EJI142" s="418"/>
      <c r="EJJ142" s="418"/>
      <c r="EJK142" s="418"/>
      <c r="EJL142" s="418"/>
      <c r="EJM142" s="418"/>
      <c r="EJN142" s="418"/>
      <c r="EJO142" s="418"/>
      <c r="EJP142" s="418"/>
      <c r="EJQ142" s="418"/>
      <c r="EJR142" s="418"/>
      <c r="EJS142" s="418"/>
      <c r="EJT142" s="418"/>
      <c r="EJU142" s="418"/>
      <c r="EJV142" s="418"/>
      <c r="EJW142" s="418"/>
      <c r="EJX142" s="418"/>
      <c r="EJY142" s="418"/>
      <c r="EJZ142" s="418"/>
      <c r="EKA142" s="418"/>
      <c r="EKB142" s="418"/>
      <c r="EKC142" s="418"/>
      <c r="EKD142" s="418"/>
      <c r="EKE142" s="418"/>
      <c r="EKF142" s="418"/>
      <c r="EKG142" s="418"/>
      <c r="EKH142" s="418"/>
      <c r="EKI142" s="418"/>
      <c r="EKJ142" s="418"/>
      <c r="EKK142" s="418"/>
      <c r="EKL142" s="418"/>
      <c r="EKM142" s="418"/>
      <c r="EKN142" s="418"/>
      <c r="EKO142" s="418"/>
      <c r="EKP142" s="418"/>
      <c r="EKQ142" s="418"/>
      <c r="EKR142" s="418"/>
      <c r="EKS142" s="418"/>
      <c r="EKT142" s="418"/>
      <c r="EKU142" s="418"/>
      <c r="EKV142" s="418"/>
      <c r="EKW142" s="418"/>
      <c r="EKX142" s="418"/>
      <c r="EKY142" s="418"/>
      <c r="EKZ142" s="418"/>
      <c r="ELA142" s="418"/>
      <c r="ELB142" s="418"/>
      <c r="ELC142" s="418"/>
      <c r="ELD142" s="418"/>
      <c r="ELE142" s="418"/>
      <c r="ELF142" s="418"/>
      <c r="ELG142" s="418"/>
      <c r="ELH142" s="418"/>
      <c r="ELI142" s="418"/>
      <c r="ELJ142" s="418"/>
      <c r="ELK142" s="418"/>
      <c r="ELL142" s="418"/>
      <c r="ELM142" s="418"/>
      <c r="ELN142" s="418"/>
      <c r="ELO142" s="418"/>
      <c r="ELP142" s="418"/>
      <c r="ELQ142" s="418"/>
      <c r="ELR142" s="418"/>
      <c r="ELS142" s="418"/>
      <c r="ELT142" s="418"/>
      <c r="ELU142" s="418"/>
      <c r="ELV142" s="418"/>
      <c r="ELW142" s="418"/>
      <c r="ELX142" s="418"/>
      <c r="ELY142" s="418"/>
      <c r="ELZ142" s="418"/>
      <c r="EMA142" s="418"/>
      <c r="EMB142" s="418"/>
      <c r="EMC142" s="418"/>
      <c r="EMD142" s="418"/>
      <c r="EME142" s="418"/>
      <c r="EMF142" s="418"/>
      <c r="EMG142" s="418"/>
      <c r="EMH142" s="418"/>
      <c r="EMI142" s="418"/>
      <c r="EMJ142" s="418"/>
      <c r="EMK142" s="418"/>
      <c r="EML142" s="418"/>
      <c r="EMM142" s="418"/>
      <c r="EMN142" s="418"/>
      <c r="EMO142" s="418"/>
      <c r="EMP142" s="418"/>
      <c r="EMQ142" s="418"/>
      <c r="EMR142" s="418"/>
      <c r="EMS142" s="418"/>
      <c r="EMT142" s="418"/>
      <c r="EMU142" s="418"/>
      <c r="EMV142" s="418"/>
      <c r="EMW142" s="418"/>
      <c r="EMX142" s="418"/>
      <c r="EMY142" s="418"/>
      <c r="EMZ142" s="418"/>
      <c r="ENA142" s="418"/>
      <c r="ENB142" s="418"/>
      <c r="ENC142" s="418"/>
      <c r="END142" s="418"/>
      <c r="ENE142" s="418"/>
      <c r="ENF142" s="418"/>
      <c r="ENG142" s="418"/>
      <c r="ENH142" s="418"/>
      <c r="ENI142" s="418"/>
      <c r="ENJ142" s="418"/>
      <c r="ENK142" s="418"/>
      <c r="ENL142" s="418"/>
      <c r="ENM142" s="418"/>
      <c r="ENN142" s="418"/>
      <c r="ENO142" s="418"/>
      <c r="ENP142" s="418"/>
      <c r="ENQ142" s="418"/>
      <c r="ENR142" s="418"/>
      <c r="ENS142" s="418"/>
      <c r="ENT142" s="418"/>
      <c r="ENU142" s="418"/>
      <c r="ENV142" s="418"/>
      <c r="ENW142" s="418"/>
      <c r="ENX142" s="418"/>
      <c r="ENY142" s="418"/>
      <c r="ENZ142" s="418"/>
      <c r="EOA142" s="418"/>
      <c r="EOB142" s="418"/>
      <c r="EOC142" s="418"/>
      <c r="EOD142" s="418"/>
      <c r="EOE142" s="418"/>
      <c r="EOF142" s="418"/>
      <c r="EOG142" s="418"/>
      <c r="EOH142" s="418"/>
      <c r="EOI142" s="418"/>
      <c r="EOJ142" s="418"/>
      <c r="EOK142" s="418"/>
      <c r="EOL142" s="418"/>
      <c r="EOM142" s="418"/>
      <c r="EON142" s="418"/>
      <c r="EOO142" s="418"/>
      <c r="EOP142" s="418"/>
      <c r="EOQ142" s="418"/>
      <c r="EOR142" s="418"/>
      <c r="EOS142" s="418"/>
      <c r="EOT142" s="418"/>
      <c r="EOU142" s="418"/>
      <c r="EOV142" s="418"/>
      <c r="EOW142" s="418"/>
      <c r="EOX142" s="418"/>
      <c r="EOY142" s="418"/>
      <c r="EOZ142" s="418"/>
      <c r="EPA142" s="418"/>
      <c r="EPB142" s="418"/>
      <c r="EPC142" s="418"/>
      <c r="EPD142" s="418"/>
      <c r="EPE142" s="418"/>
      <c r="EPF142" s="418"/>
      <c r="EPG142" s="418"/>
      <c r="EPH142" s="418"/>
      <c r="EPI142" s="418"/>
      <c r="EPJ142" s="418"/>
      <c r="EPK142" s="418"/>
      <c r="EPL142" s="418"/>
      <c r="EPM142" s="418"/>
      <c r="EPN142" s="418"/>
      <c r="EPO142" s="418"/>
      <c r="EPP142" s="418"/>
      <c r="EPQ142" s="418"/>
      <c r="EPR142" s="418"/>
      <c r="EPS142" s="418"/>
      <c r="EPT142" s="418"/>
      <c r="EPU142" s="418"/>
      <c r="EPV142" s="418"/>
      <c r="EPW142" s="418"/>
      <c r="EPX142" s="418"/>
      <c r="EPY142" s="418"/>
      <c r="EPZ142" s="418"/>
      <c r="EQA142" s="418"/>
      <c r="EQB142" s="418"/>
      <c r="EQC142" s="418"/>
      <c r="EQD142" s="418"/>
      <c r="EQE142" s="418"/>
      <c r="EQF142" s="418"/>
      <c r="EQG142" s="418"/>
      <c r="EQH142" s="418"/>
      <c r="EQI142" s="418"/>
      <c r="EQJ142" s="418"/>
      <c r="EQK142" s="418"/>
      <c r="EQL142" s="418"/>
      <c r="EQM142" s="418"/>
      <c r="EQN142" s="418"/>
      <c r="EQO142" s="418"/>
      <c r="EQP142" s="418"/>
      <c r="EQQ142" s="418"/>
      <c r="EQR142" s="418"/>
      <c r="EQS142" s="418"/>
      <c r="EQT142" s="418"/>
      <c r="EQU142" s="418"/>
      <c r="EQV142" s="418"/>
      <c r="EQW142" s="418"/>
      <c r="EQX142" s="418"/>
      <c r="EQY142" s="418"/>
      <c r="EQZ142" s="418"/>
      <c r="ERA142" s="418"/>
      <c r="ERB142" s="418"/>
      <c r="ERC142" s="418"/>
      <c r="ERD142" s="418"/>
      <c r="ERE142" s="418"/>
      <c r="ERF142" s="418"/>
      <c r="ERG142" s="418"/>
      <c r="ERH142" s="418"/>
      <c r="ERI142" s="418"/>
      <c r="ERJ142" s="418"/>
      <c r="ERK142" s="418"/>
      <c r="ERL142" s="418"/>
      <c r="ERM142" s="418"/>
      <c r="ERN142" s="418"/>
      <c r="ERO142" s="418"/>
      <c r="ERP142" s="418"/>
      <c r="ERQ142" s="418"/>
      <c r="ERR142" s="418"/>
      <c r="ERS142" s="418"/>
      <c r="ERT142" s="418"/>
      <c r="ERU142" s="418"/>
      <c r="ERV142" s="418"/>
      <c r="ERW142" s="418"/>
      <c r="ERX142" s="418"/>
      <c r="ERY142" s="418"/>
      <c r="ERZ142" s="418"/>
      <c r="ESA142" s="418"/>
      <c r="ESB142" s="418"/>
      <c r="ESC142" s="418"/>
      <c r="ESD142" s="418"/>
      <c r="ESE142" s="418"/>
      <c r="ESF142" s="418"/>
      <c r="ESG142" s="418"/>
      <c r="ESH142" s="418"/>
      <c r="ESI142" s="418"/>
      <c r="ESJ142" s="418"/>
      <c r="ESK142" s="418"/>
      <c r="ESL142" s="418"/>
      <c r="ESM142" s="418"/>
      <c r="ESN142" s="418"/>
      <c r="ESO142" s="418"/>
      <c r="ESP142" s="418"/>
      <c r="ESQ142" s="418"/>
      <c r="ESR142" s="418"/>
      <c r="ESS142" s="418"/>
      <c r="EST142" s="418"/>
      <c r="ESU142" s="418"/>
      <c r="ESV142" s="418"/>
      <c r="ESW142" s="418"/>
      <c r="ESX142" s="418"/>
      <c r="ESY142" s="418"/>
      <c r="ESZ142" s="418"/>
      <c r="ETA142" s="418"/>
      <c r="ETB142" s="418"/>
      <c r="ETC142" s="418"/>
      <c r="ETD142" s="418"/>
      <c r="ETE142" s="418"/>
      <c r="ETF142" s="418"/>
      <c r="ETG142" s="418"/>
      <c r="ETH142" s="418"/>
      <c r="ETI142" s="418"/>
      <c r="ETJ142" s="418"/>
      <c r="ETK142" s="418"/>
      <c r="ETL142" s="418"/>
      <c r="ETM142" s="418"/>
      <c r="ETN142" s="418"/>
      <c r="ETO142" s="418"/>
      <c r="ETP142" s="418"/>
      <c r="ETQ142" s="418"/>
      <c r="ETR142" s="418"/>
      <c r="ETS142" s="418"/>
      <c r="ETT142" s="418"/>
      <c r="ETU142" s="418"/>
      <c r="ETV142" s="418"/>
      <c r="ETW142" s="418"/>
      <c r="ETX142" s="418"/>
      <c r="ETY142" s="418"/>
      <c r="ETZ142" s="418"/>
      <c r="EUA142" s="418"/>
      <c r="EUB142" s="418"/>
      <c r="EUC142" s="418"/>
      <c r="EUD142" s="418"/>
      <c r="EUE142" s="418"/>
      <c r="EUF142" s="418"/>
      <c r="EUG142" s="418"/>
      <c r="EUH142" s="418"/>
      <c r="EUI142" s="418"/>
      <c r="EUJ142" s="418"/>
      <c r="EUK142" s="418"/>
      <c r="EUL142" s="418"/>
      <c r="EUM142" s="418"/>
      <c r="EUN142" s="418"/>
      <c r="EUO142" s="418"/>
      <c r="EUP142" s="418"/>
      <c r="EUQ142" s="418"/>
      <c r="EUR142" s="418"/>
      <c r="EUS142" s="418"/>
      <c r="EUT142" s="418"/>
      <c r="EUU142" s="418"/>
      <c r="EUV142" s="418"/>
      <c r="EUW142" s="418"/>
      <c r="EUX142" s="418"/>
      <c r="EUY142" s="418"/>
      <c r="EUZ142" s="418"/>
      <c r="EVA142" s="418"/>
      <c r="EVB142" s="418"/>
      <c r="EVC142" s="418"/>
      <c r="EVD142" s="418"/>
      <c r="EVE142" s="418"/>
      <c r="EVF142" s="418"/>
      <c r="EVG142" s="418"/>
      <c r="EVH142" s="418"/>
      <c r="EVI142" s="418"/>
      <c r="EVJ142" s="418"/>
      <c r="EVK142" s="418"/>
      <c r="EVL142" s="418"/>
      <c r="EVM142" s="418"/>
      <c r="EVN142" s="418"/>
      <c r="EVO142" s="418"/>
      <c r="EVP142" s="418"/>
      <c r="EVQ142" s="418"/>
      <c r="EVR142" s="418"/>
      <c r="EVS142" s="418"/>
      <c r="EVT142" s="418"/>
      <c r="EVU142" s="418"/>
      <c r="EVV142" s="418"/>
      <c r="EVW142" s="418"/>
      <c r="EVX142" s="418"/>
      <c r="EVY142" s="418"/>
      <c r="EVZ142" s="418"/>
      <c r="EWA142" s="418"/>
      <c r="EWB142" s="418"/>
      <c r="EWC142" s="418"/>
      <c r="EWD142" s="418"/>
      <c r="EWE142" s="418"/>
      <c r="EWF142" s="418"/>
      <c r="EWG142" s="418"/>
      <c r="EWH142" s="418"/>
      <c r="EWI142" s="418"/>
      <c r="EWJ142" s="418"/>
      <c r="EWK142" s="418"/>
      <c r="EWL142" s="418"/>
      <c r="EWM142" s="418"/>
      <c r="EWN142" s="418"/>
      <c r="EWO142" s="418"/>
      <c r="EWP142" s="418"/>
      <c r="EWQ142" s="418"/>
      <c r="EWR142" s="418"/>
      <c r="EWS142" s="418"/>
      <c r="EWT142" s="418"/>
      <c r="EWU142" s="418"/>
      <c r="EWV142" s="418"/>
      <c r="EWW142" s="418"/>
      <c r="EWX142" s="418"/>
      <c r="EWY142" s="418"/>
      <c r="EWZ142" s="418"/>
      <c r="EXA142" s="418"/>
      <c r="EXB142" s="418"/>
      <c r="EXC142" s="418"/>
      <c r="EXD142" s="418"/>
      <c r="EXE142" s="418"/>
      <c r="EXF142" s="418"/>
      <c r="EXG142" s="418"/>
      <c r="EXH142" s="418"/>
      <c r="EXI142" s="418"/>
      <c r="EXJ142" s="418"/>
      <c r="EXK142" s="418"/>
      <c r="EXL142" s="418"/>
      <c r="EXM142" s="418"/>
      <c r="EXN142" s="418"/>
      <c r="EXO142" s="418"/>
      <c r="EXP142" s="418"/>
      <c r="EXQ142" s="418"/>
      <c r="EXR142" s="418"/>
      <c r="EXS142" s="418"/>
      <c r="EXT142" s="418"/>
      <c r="EXU142" s="418"/>
      <c r="EXV142" s="418"/>
      <c r="EXW142" s="418"/>
      <c r="EXX142" s="418"/>
      <c r="EXY142" s="418"/>
      <c r="EXZ142" s="418"/>
      <c r="EYA142" s="418"/>
      <c r="EYB142" s="418"/>
      <c r="EYC142" s="418"/>
      <c r="EYD142" s="418"/>
      <c r="EYE142" s="418"/>
      <c r="EYF142" s="418"/>
      <c r="EYG142" s="418"/>
      <c r="EYH142" s="418"/>
      <c r="EYI142" s="418"/>
      <c r="EYJ142" s="418"/>
      <c r="EYK142" s="418"/>
      <c r="EYL142" s="418"/>
      <c r="EYM142" s="418"/>
      <c r="EYN142" s="418"/>
      <c r="EYO142" s="418"/>
      <c r="EYP142" s="418"/>
      <c r="EYQ142" s="418"/>
      <c r="EYR142" s="418"/>
      <c r="EYS142" s="418"/>
      <c r="EYT142" s="418"/>
      <c r="EYU142" s="418"/>
      <c r="EYV142" s="418"/>
      <c r="EYW142" s="418"/>
      <c r="EYX142" s="418"/>
      <c r="EYY142" s="418"/>
      <c r="EYZ142" s="418"/>
      <c r="EZA142" s="418"/>
      <c r="EZB142" s="418"/>
      <c r="EZC142" s="418"/>
      <c r="EZD142" s="418"/>
      <c r="EZE142" s="418"/>
      <c r="EZF142" s="418"/>
      <c r="EZG142" s="418"/>
      <c r="EZH142" s="418"/>
      <c r="EZI142" s="418"/>
      <c r="EZJ142" s="418"/>
      <c r="EZK142" s="418"/>
      <c r="EZL142" s="418"/>
      <c r="EZM142" s="418"/>
      <c r="EZN142" s="418"/>
      <c r="EZO142" s="418"/>
      <c r="EZP142" s="418"/>
      <c r="EZQ142" s="418"/>
      <c r="EZR142" s="418"/>
      <c r="EZS142" s="418"/>
      <c r="EZT142" s="418"/>
      <c r="EZU142" s="418"/>
      <c r="EZV142" s="418"/>
      <c r="EZW142" s="418"/>
      <c r="EZX142" s="418"/>
      <c r="EZY142" s="418"/>
      <c r="EZZ142" s="418"/>
      <c r="FAA142" s="418"/>
      <c r="FAB142" s="418"/>
      <c r="FAC142" s="418"/>
      <c r="FAD142" s="418"/>
      <c r="FAE142" s="418"/>
      <c r="FAF142" s="418"/>
      <c r="FAG142" s="418"/>
      <c r="FAH142" s="418"/>
      <c r="FAI142" s="418"/>
      <c r="FAJ142" s="418"/>
      <c r="FAK142" s="418"/>
      <c r="FAL142" s="418"/>
      <c r="FAM142" s="418"/>
      <c r="FAN142" s="418"/>
      <c r="FAO142" s="418"/>
      <c r="FAP142" s="418"/>
      <c r="FAQ142" s="418"/>
      <c r="FAR142" s="418"/>
      <c r="FAS142" s="418"/>
      <c r="FAT142" s="418"/>
      <c r="FAU142" s="418"/>
      <c r="FAV142" s="418"/>
      <c r="FAW142" s="418"/>
      <c r="FAX142" s="418"/>
      <c r="FAY142" s="418"/>
      <c r="FAZ142" s="418"/>
      <c r="FBA142" s="418"/>
      <c r="FBB142" s="418"/>
      <c r="FBC142" s="418"/>
      <c r="FBD142" s="418"/>
      <c r="FBE142" s="418"/>
      <c r="FBF142" s="418"/>
      <c r="FBG142" s="418"/>
      <c r="FBH142" s="418"/>
      <c r="FBI142" s="418"/>
      <c r="FBJ142" s="418"/>
      <c r="FBK142" s="418"/>
      <c r="FBL142" s="418"/>
      <c r="FBM142" s="418"/>
      <c r="FBN142" s="418"/>
      <c r="FBO142" s="418"/>
      <c r="FBP142" s="418"/>
      <c r="FBQ142" s="418"/>
      <c r="FBR142" s="418"/>
      <c r="FBS142" s="418"/>
      <c r="FBT142" s="418"/>
      <c r="FBU142" s="418"/>
      <c r="FBV142" s="418"/>
      <c r="FBW142" s="418"/>
      <c r="FBX142" s="418"/>
      <c r="FBY142" s="418"/>
      <c r="FBZ142" s="418"/>
      <c r="FCA142" s="418"/>
      <c r="FCB142" s="418"/>
      <c r="FCC142" s="418"/>
      <c r="FCD142" s="418"/>
      <c r="FCE142" s="418"/>
      <c r="FCF142" s="418"/>
      <c r="FCG142" s="418"/>
      <c r="FCH142" s="418"/>
      <c r="FCI142" s="418"/>
      <c r="FCJ142" s="418"/>
      <c r="FCK142" s="418"/>
      <c r="FCL142" s="418"/>
      <c r="FCM142" s="418"/>
      <c r="FCN142" s="418"/>
      <c r="FCO142" s="418"/>
      <c r="FCP142" s="418"/>
      <c r="FCQ142" s="418"/>
      <c r="FCR142" s="418"/>
      <c r="FCS142" s="418"/>
      <c r="FCT142" s="418"/>
      <c r="FCU142" s="418"/>
      <c r="FCV142" s="418"/>
      <c r="FCW142" s="418"/>
      <c r="FCX142" s="418"/>
      <c r="FCY142" s="418"/>
      <c r="FCZ142" s="418"/>
      <c r="FDA142" s="418"/>
      <c r="FDB142" s="418"/>
      <c r="FDC142" s="418"/>
      <c r="FDD142" s="418"/>
      <c r="FDE142" s="418"/>
      <c r="FDF142" s="418"/>
      <c r="FDG142" s="418"/>
      <c r="FDH142" s="418"/>
      <c r="FDI142" s="418"/>
      <c r="FDJ142" s="418"/>
      <c r="FDK142" s="418"/>
      <c r="FDL142" s="418"/>
      <c r="FDM142" s="418"/>
      <c r="FDN142" s="418"/>
      <c r="FDO142" s="418"/>
      <c r="FDP142" s="418"/>
      <c r="FDQ142" s="418"/>
      <c r="FDR142" s="418"/>
      <c r="FDS142" s="418"/>
      <c r="FDT142" s="418"/>
      <c r="FDU142" s="418"/>
      <c r="FDV142" s="418"/>
      <c r="FDW142" s="418"/>
      <c r="FDX142" s="418"/>
      <c r="FDY142" s="418"/>
      <c r="FDZ142" s="418"/>
      <c r="FEA142" s="418"/>
      <c r="FEB142" s="418"/>
      <c r="FEC142" s="418"/>
      <c r="FED142" s="418"/>
      <c r="FEE142" s="418"/>
      <c r="FEF142" s="418"/>
      <c r="FEG142" s="418"/>
      <c r="FEH142" s="418"/>
      <c r="FEI142" s="418"/>
      <c r="FEJ142" s="418"/>
      <c r="FEK142" s="418"/>
      <c r="FEL142" s="418"/>
      <c r="FEM142" s="418"/>
      <c r="FEN142" s="418"/>
      <c r="FEO142" s="418"/>
      <c r="FEP142" s="418"/>
      <c r="FEQ142" s="418"/>
      <c r="FER142" s="418"/>
      <c r="FES142" s="418"/>
      <c r="FET142" s="418"/>
      <c r="FEU142" s="418"/>
      <c r="FEV142" s="418"/>
      <c r="FEW142" s="418"/>
      <c r="FEX142" s="418"/>
      <c r="FEY142" s="418"/>
      <c r="FEZ142" s="418"/>
      <c r="FFA142" s="418"/>
      <c r="FFB142" s="418"/>
      <c r="FFC142" s="418"/>
      <c r="FFD142" s="418"/>
      <c r="FFE142" s="418"/>
      <c r="FFF142" s="418"/>
      <c r="FFG142" s="418"/>
      <c r="FFH142" s="418"/>
      <c r="FFI142" s="418"/>
      <c r="FFJ142" s="418"/>
      <c r="FFK142" s="418"/>
      <c r="FFL142" s="418"/>
      <c r="FFM142" s="418"/>
      <c r="FFN142" s="418"/>
      <c r="FFO142" s="418"/>
      <c r="FFP142" s="418"/>
      <c r="FFQ142" s="418"/>
      <c r="FFR142" s="418"/>
      <c r="FFS142" s="418"/>
      <c r="FFT142" s="418"/>
      <c r="FFU142" s="418"/>
      <c r="FFV142" s="418"/>
      <c r="FFW142" s="418"/>
      <c r="FFX142" s="418"/>
      <c r="FFY142" s="418"/>
      <c r="FFZ142" s="418"/>
      <c r="FGA142" s="418"/>
      <c r="FGB142" s="418"/>
      <c r="FGC142" s="418"/>
      <c r="FGD142" s="418"/>
      <c r="FGE142" s="418"/>
      <c r="FGF142" s="418"/>
      <c r="FGG142" s="418"/>
      <c r="FGH142" s="418"/>
      <c r="FGI142" s="418"/>
      <c r="FGJ142" s="418"/>
      <c r="FGK142" s="418"/>
      <c r="FGL142" s="418"/>
      <c r="FGM142" s="418"/>
      <c r="FGN142" s="418"/>
      <c r="FGO142" s="418"/>
      <c r="FGP142" s="418"/>
      <c r="FGQ142" s="418"/>
      <c r="FGR142" s="418"/>
      <c r="FGS142" s="418"/>
      <c r="FGT142" s="418"/>
      <c r="FGU142" s="418"/>
      <c r="FGV142" s="418"/>
      <c r="FGW142" s="418"/>
      <c r="FGX142" s="418"/>
      <c r="FGY142" s="418"/>
      <c r="FGZ142" s="418"/>
      <c r="FHA142" s="418"/>
      <c r="FHB142" s="418"/>
      <c r="FHC142" s="418"/>
      <c r="FHD142" s="418"/>
      <c r="FHE142" s="418"/>
      <c r="FHF142" s="418"/>
      <c r="FHG142" s="418"/>
      <c r="FHH142" s="418"/>
      <c r="FHI142" s="418"/>
      <c r="FHJ142" s="418"/>
      <c r="FHK142" s="418"/>
      <c r="FHL142" s="418"/>
      <c r="FHM142" s="418"/>
      <c r="FHN142" s="418"/>
      <c r="FHO142" s="418"/>
      <c r="FHP142" s="418"/>
      <c r="FHQ142" s="418"/>
      <c r="FHR142" s="418"/>
      <c r="FHS142" s="418"/>
      <c r="FHT142" s="418"/>
      <c r="FHU142" s="418"/>
      <c r="FHV142" s="418"/>
      <c r="FHW142" s="418"/>
      <c r="FHX142" s="418"/>
      <c r="FHY142" s="418"/>
      <c r="FHZ142" s="418"/>
      <c r="FIA142" s="418"/>
      <c r="FIB142" s="418"/>
      <c r="FIC142" s="418"/>
      <c r="FID142" s="418"/>
      <c r="FIE142" s="418"/>
      <c r="FIF142" s="418"/>
      <c r="FIG142" s="418"/>
      <c r="FIH142" s="418"/>
      <c r="FII142" s="418"/>
      <c r="FIJ142" s="418"/>
      <c r="FIK142" s="418"/>
      <c r="FIL142" s="418"/>
      <c r="FIM142" s="418"/>
      <c r="FIN142" s="418"/>
      <c r="FIO142" s="418"/>
      <c r="FIP142" s="418"/>
      <c r="FIQ142" s="418"/>
      <c r="FIR142" s="418"/>
      <c r="FIS142" s="418"/>
      <c r="FIT142" s="418"/>
      <c r="FIU142" s="418"/>
      <c r="FIV142" s="418"/>
      <c r="FIW142" s="418"/>
      <c r="FIX142" s="418"/>
      <c r="FIY142" s="418"/>
      <c r="FIZ142" s="418"/>
      <c r="FJA142" s="418"/>
      <c r="FJB142" s="418"/>
      <c r="FJC142" s="418"/>
      <c r="FJD142" s="418"/>
      <c r="FJE142" s="418"/>
      <c r="FJF142" s="418"/>
      <c r="FJG142" s="418"/>
      <c r="FJH142" s="418"/>
      <c r="FJI142" s="418"/>
      <c r="FJJ142" s="418"/>
      <c r="FJK142" s="418"/>
      <c r="FJL142" s="418"/>
      <c r="FJM142" s="418"/>
      <c r="FJN142" s="418"/>
      <c r="FJO142" s="418"/>
      <c r="FJP142" s="418"/>
      <c r="FJQ142" s="418"/>
      <c r="FJR142" s="418"/>
      <c r="FJS142" s="418"/>
      <c r="FJT142" s="418"/>
      <c r="FJU142" s="418"/>
      <c r="FJV142" s="418"/>
      <c r="FJW142" s="418"/>
      <c r="FJX142" s="418"/>
      <c r="FJY142" s="418"/>
      <c r="FJZ142" s="418"/>
      <c r="FKA142" s="418"/>
      <c r="FKB142" s="418"/>
      <c r="FKC142" s="418"/>
      <c r="FKD142" s="418"/>
      <c r="FKE142" s="418"/>
      <c r="FKF142" s="418"/>
      <c r="FKG142" s="418"/>
      <c r="FKH142" s="418"/>
      <c r="FKI142" s="418"/>
      <c r="FKJ142" s="418"/>
      <c r="FKK142" s="418"/>
      <c r="FKL142" s="418"/>
      <c r="FKM142" s="418"/>
      <c r="FKN142" s="418"/>
      <c r="FKO142" s="418"/>
      <c r="FKP142" s="418"/>
      <c r="FKQ142" s="418"/>
      <c r="FKR142" s="418"/>
      <c r="FKS142" s="418"/>
      <c r="FKT142" s="418"/>
      <c r="FKU142" s="418"/>
      <c r="FKV142" s="418"/>
      <c r="FKW142" s="418"/>
      <c r="FKX142" s="418"/>
      <c r="FKY142" s="418"/>
      <c r="FKZ142" s="418"/>
      <c r="FLA142" s="418"/>
      <c r="FLB142" s="418"/>
      <c r="FLC142" s="418"/>
      <c r="FLD142" s="418"/>
      <c r="FLE142" s="418"/>
      <c r="FLF142" s="418"/>
      <c r="FLG142" s="418"/>
      <c r="FLH142" s="418"/>
      <c r="FLI142" s="418"/>
      <c r="FLJ142" s="418"/>
      <c r="FLK142" s="418"/>
      <c r="FLL142" s="418"/>
      <c r="FLM142" s="418"/>
      <c r="FLN142" s="418"/>
      <c r="FLO142" s="418"/>
      <c r="FLP142" s="418"/>
      <c r="FLQ142" s="418"/>
      <c r="FLR142" s="418"/>
      <c r="FLS142" s="418"/>
      <c r="FLT142" s="418"/>
      <c r="FLU142" s="418"/>
      <c r="FLV142" s="418"/>
      <c r="FLW142" s="418"/>
      <c r="FLX142" s="418"/>
      <c r="FLY142" s="418"/>
      <c r="FLZ142" s="418"/>
      <c r="FMA142" s="418"/>
      <c r="FMB142" s="418"/>
      <c r="FMC142" s="418"/>
      <c r="FMD142" s="418"/>
      <c r="FME142" s="418"/>
      <c r="FMF142" s="418"/>
      <c r="FMG142" s="418"/>
      <c r="FMH142" s="418"/>
      <c r="FMI142" s="418"/>
      <c r="FMJ142" s="418"/>
      <c r="FMK142" s="418"/>
      <c r="FML142" s="418"/>
      <c r="FMM142" s="418"/>
      <c r="FMN142" s="418"/>
      <c r="FMO142" s="418"/>
      <c r="FMP142" s="418"/>
      <c r="FMQ142" s="418"/>
      <c r="FMR142" s="418"/>
      <c r="FMS142" s="418"/>
      <c r="FMT142" s="418"/>
      <c r="FMU142" s="418"/>
      <c r="FMV142" s="418"/>
      <c r="FMW142" s="418"/>
      <c r="FMX142" s="418"/>
      <c r="FMY142" s="418"/>
      <c r="FMZ142" s="418"/>
      <c r="FNA142" s="418"/>
      <c r="FNB142" s="418"/>
      <c r="FNC142" s="418"/>
      <c r="FND142" s="418"/>
      <c r="FNE142" s="418"/>
      <c r="FNF142" s="418"/>
      <c r="FNG142" s="418"/>
      <c r="FNH142" s="418"/>
      <c r="FNI142" s="418"/>
      <c r="FNJ142" s="418"/>
      <c r="FNK142" s="418"/>
      <c r="FNL142" s="418"/>
      <c r="FNM142" s="418"/>
      <c r="FNN142" s="418"/>
      <c r="FNO142" s="418"/>
      <c r="FNP142" s="418"/>
      <c r="FNQ142" s="418"/>
      <c r="FNR142" s="418"/>
      <c r="FNS142" s="418"/>
      <c r="FNT142" s="418"/>
      <c r="FNU142" s="418"/>
      <c r="FNV142" s="418"/>
      <c r="FNW142" s="418"/>
      <c r="FNX142" s="418"/>
      <c r="FNY142" s="418"/>
      <c r="FNZ142" s="418"/>
      <c r="FOA142" s="418"/>
      <c r="FOB142" s="418"/>
      <c r="FOC142" s="418"/>
      <c r="FOD142" s="418"/>
      <c r="FOE142" s="418"/>
      <c r="FOF142" s="418"/>
      <c r="FOG142" s="418"/>
      <c r="FOH142" s="418"/>
      <c r="FOI142" s="418"/>
      <c r="FOJ142" s="418"/>
      <c r="FOK142" s="418"/>
      <c r="FOL142" s="418"/>
      <c r="FOM142" s="418"/>
      <c r="FON142" s="418"/>
      <c r="FOO142" s="418"/>
      <c r="FOP142" s="418"/>
      <c r="FOQ142" s="418"/>
      <c r="FOR142" s="418"/>
      <c r="FOS142" s="418"/>
      <c r="FOT142" s="418"/>
      <c r="FOU142" s="418"/>
      <c r="FOV142" s="418"/>
      <c r="FOW142" s="418"/>
      <c r="FOX142" s="418"/>
      <c r="FOY142" s="418"/>
      <c r="FOZ142" s="418"/>
      <c r="FPA142" s="418"/>
      <c r="FPB142" s="418"/>
      <c r="FPC142" s="418"/>
      <c r="FPD142" s="418"/>
      <c r="FPE142" s="418"/>
      <c r="FPF142" s="418"/>
      <c r="FPG142" s="418"/>
      <c r="FPH142" s="418"/>
      <c r="FPI142" s="418"/>
      <c r="FPJ142" s="418"/>
      <c r="FPK142" s="418"/>
      <c r="FPL142" s="418"/>
      <c r="FPM142" s="418"/>
      <c r="FPN142" s="418"/>
      <c r="FPO142" s="418"/>
      <c r="FPP142" s="418"/>
      <c r="FPQ142" s="418"/>
      <c r="FPR142" s="418"/>
      <c r="FPS142" s="418"/>
      <c r="FPT142" s="418"/>
      <c r="FPU142" s="418"/>
      <c r="FPV142" s="418"/>
      <c r="FPW142" s="418"/>
      <c r="FPX142" s="418"/>
      <c r="FPY142" s="418"/>
      <c r="FPZ142" s="418"/>
      <c r="FQA142" s="418"/>
      <c r="FQB142" s="418"/>
      <c r="FQC142" s="418"/>
      <c r="FQD142" s="418"/>
      <c r="FQE142" s="418"/>
      <c r="FQF142" s="418"/>
      <c r="FQG142" s="418"/>
      <c r="FQH142" s="418"/>
      <c r="FQI142" s="418"/>
      <c r="FQJ142" s="418"/>
      <c r="FQK142" s="418"/>
      <c r="FQL142" s="418"/>
      <c r="FQM142" s="418"/>
      <c r="FQN142" s="418"/>
      <c r="FQO142" s="418"/>
      <c r="FQP142" s="418"/>
      <c r="FQQ142" s="418"/>
      <c r="FQR142" s="418"/>
      <c r="FQS142" s="418"/>
      <c r="FQT142" s="418"/>
      <c r="FQU142" s="418"/>
      <c r="FQV142" s="418"/>
      <c r="FQW142" s="418"/>
      <c r="FQX142" s="418"/>
      <c r="FQY142" s="418"/>
      <c r="FQZ142" s="418"/>
      <c r="FRA142" s="418"/>
      <c r="FRB142" s="418"/>
      <c r="FRC142" s="418"/>
      <c r="FRD142" s="418"/>
      <c r="FRE142" s="418"/>
      <c r="FRF142" s="418"/>
      <c r="FRG142" s="418"/>
      <c r="FRH142" s="418"/>
      <c r="FRI142" s="418"/>
      <c r="FRJ142" s="418"/>
      <c r="FRK142" s="418"/>
      <c r="FRL142" s="418"/>
      <c r="FRM142" s="418"/>
      <c r="FRN142" s="418"/>
      <c r="FRO142" s="418"/>
      <c r="FRP142" s="418"/>
      <c r="FRQ142" s="418"/>
      <c r="FRR142" s="418"/>
      <c r="FRS142" s="418"/>
      <c r="FRT142" s="418"/>
      <c r="FRU142" s="418"/>
      <c r="FRV142" s="418"/>
      <c r="FRW142" s="418"/>
      <c r="FRX142" s="418"/>
      <c r="FRY142" s="418"/>
      <c r="FRZ142" s="418"/>
      <c r="FSA142" s="418"/>
      <c r="FSB142" s="418"/>
      <c r="FSC142" s="418"/>
      <c r="FSD142" s="418"/>
      <c r="FSE142" s="418"/>
      <c r="FSF142" s="418"/>
      <c r="FSG142" s="418"/>
      <c r="FSH142" s="418"/>
      <c r="FSI142" s="418"/>
      <c r="FSJ142" s="418"/>
      <c r="FSK142" s="418"/>
      <c r="FSL142" s="418"/>
      <c r="FSM142" s="418"/>
      <c r="FSN142" s="418"/>
      <c r="FSO142" s="418"/>
      <c r="FSP142" s="418"/>
      <c r="FSQ142" s="418"/>
      <c r="FSR142" s="418"/>
      <c r="FSS142" s="418"/>
      <c r="FST142" s="418"/>
      <c r="FSU142" s="418"/>
      <c r="FSV142" s="418"/>
      <c r="FSW142" s="418"/>
      <c r="FSX142" s="418"/>
      <c r="FSY142" s="418"/>
      <c r="FSZ142" s="418"/>
      <c r="FTA142" s="418"/>
      <c r="FTB142" s="418"/>
      <c r="FTC142" s="418"/>
      <c r="FTD142" s="418"/>
      <c r="FTE142" s="418"/>
      <c r="FTF142" s="418"/>
      <c r="FTG142" s="418"/>
      <c r="FTH142" s="418"/>
      <c r="FTI142" s="418"/>
      <c r="FTJ142" s="418"/>
      <c r="FTK142" s="418"/>
      <c r="FTL142" s="418"/>
      <c r="FTM142" s="418"/>
      <c r="FTN142" s="418"/>
      <c r="FTO142" s="418"/>
      <c r="FTP142" s="418"/>
      <c r="FTQ142" s="418"/>
      <c r="FTR142" s="418"/>
      <c r="FTS142" s="418"/>
      <c r="FTT142" s="418"/>
      <c r="FTU142" s="418"/>
      <c r="FTV142" s="418"/>
      <c r="FTW142" s="418"/>
      <c r="FTX142" s="418"/>
      <c r="FTY142" s="418"/>
      <c r="FTZ142" s="418"/>
      <c r="FUA142" s="418"/>
      <c r="FUB142" s="418"/>
      <c r="FUC142" s="418"/>
      <c r="FUD142" s="418"/>
      <c r="FUE142" s="418"/>
      <c r="FUF142" s="418"/>
      <c r="FUG142" s="418"/>
      <c r="FUH142" s="418"/>
      <c r="FUI142" s="418"/>
      <c r="FUJ142" s="418"/>
      <c r="FUK142" s="418"/>
      <c r="FUL142" s="418"/>
      <c r="FUM142" s="418"/>
      <c r="FUN142" s="418"/>
      <c r="FUO142" s="418"/>
      <c r="FUP142" s="418"/>
      <c r="FUQ142" s="418"/>
      <c r="FUR142" s="418"/>
      <c r="FUS142" s="418"/>
      <c r="FUT142" s="418"/>
      <c r="FUU142" s="418"/>
      <c r="FUV142" s="418"/>
      <c r="FUW142" s="418"/>
      <c r="FUX142" s="418"/>
      <c r="FUY142" s="418"/>
      <c r="FUZ142" s="418"/>
      <c r="FVA142" s="418"/>
      <c r="FVB142" s="418"/>
      <c r="FVC142" s="418"/>
      <c r="FVD142" s="418"/>
      <c r="FVE142" s="418"/>
      <c r="FVF142" s="418"/>
      <c r="FVG142" s="418"/>
      <c r="FVH142" s="418"/>
      <c r="FVI142" s="418"/>
      <c r="FVJ142" s="418"/>
      <c r="FVK142" s="418"/>
      <c r="FVL142" s="418"/>
      <c r="FVM142" s="418"/>
      <c r="FVN142" s="418"/>
      <c r="FVO142" s="418"/>
      <c r="FVP142" s="418"/>
      <c r="FVQ142" s="418"/>
      <c r="FVR142" s="418"/>
      <c r="FVS142" s="418"/>
      <c r="FVT142" s="418"/>
      <c r="FVU142" s="418"/>
      <c r="FVV142" s="418"/>
      <c r="FVW142" s="418"/>
      <c r="FVX142" s="418"/>
      <c r="FVY142" s="418"/>
      <c r="FVZ142" s="418"/>
      <c r="FWA142" s="418"/>
      <c r="FWB142" s="418"/>
      <c r="FWC142" s="418"/>
      <c r="FWD142" s="418"/>
      <c r="FWE142" s="418"/>
      <c r="FWF142" s="418"/>
      <c r="FWG142" s="418"/>
      <c r="FWH142" s="418"/>
      <c r="FWI142" s="418"/>
      <c r="FWJ142" s="418"/>
      <c r="FWK142" s="418"/>
      <c r="FWL142" s="418"/>
      <c r="FWM142" s="418"/>
      <c r="FWN142" s="418"/>
      <c r="FWO142" s="418"/>
      <c r="FWP142" s="418"/>
      <c r="FWQ142" s="418"/>
      <c r="FWR142" s="418"/>
      <c r="FWS142" s="418"/>
      <c r="FWT142" s="418"/>
      <c r="FWU142" s="418"/>
      <c r="FWV142" s="418"/>
      <c r="FWW142" s="418"/>
      <c r="FWX142" s="418"/>
      <c r="FWY142" s="418"/>
      <c r="FWZ142" s="418"/>
      <c r="FXA142" s="418"/>
      <c r="FXB142" s="418"/>
      <c r="FXC142" s="418"/>
      <c r="FXD142" s="418"/>
      <c r="FXE142" s="418"/>
      <c r="FXF142" s="418"/>
      <c r="FXG142" s="418"/>
      <c r="FXH142" s="418"/>
      <c r="FXI142" s="418"/>
      <c r="FXJ142" s="418"/>
      <c r="FXK142" s="418"/>
      <c r="FXL142" s="418"/>
      <c r="FXM142" s="418"/>
      <c r="FXN142" s="418"/>
      <c r="FXO142" s="418"/>
      <c r="FXP142" s="418"/>
      <c r="FXQ142" s="418"/>
      <c r="FXR142" s="418"/>
      <c r="FXS142" s="418"/>
      <c r="FXT142" s="418"/>
      <c r="FXU142" s="418"/>
      <c r="FXV142" s="418"/>
      <c r="FXW142" s="418"/>
      <c r="FXX142" s="418"/>
      <c r="FXY142" s="418"/>
      <c r="FXZ142" s="418"/>
      <c r="FYA142" s="418"/>
      <c r="FYB142" s="418"/>
      <c r="FYC142" s="418"/>
      <c r="FYD142" s="418"/>
      <c r="FYE142" s="418"/>
      <c r="FYF142" s="418"/>
      <c r="FYG142" s="418"/>
      <c r="FYH142" s="418"/>
      <c r="FYI142" s="418"/>
      <c r="FYJ142" s="418"/>
      <c r="FYK142" s="418"/>
      <c r="FYL142" s="418"/>
      <c r="FYM142" s="418"/>
      <c r="FYN142" s="418"/>
      <c r="FYO142" s="418"/>
      <c r="FYP142" s="418"/>
      <c r="FYQ142" s="418"/>
      <c r="FYR142" s="418"/>
      <c r="FYS142" s="418"/>
      <c r="FYT142" s="418"/>
      <c r="FYU142" s="418"/>
      <c r="FYV142" s="418"/>
      <c r="FYW142" s="418"/>
      <c r="FYX142" s="418"/>
      <c r="FYY142" s="418"/>
      <c r="FYZ142" s="418"/>
      <c r="FZA142" s="418"/>
      <c r="FZB142" s="418"/>
      <c r="FZC142" s="418"/>
      <c r="FZD142" s="418"/>
      <c r="FZE142" s="418"/>
      <c r="FZF142" s="418"/>
      <c r="FZG142" s="418"/>
      <c r="FZH142" s="418"/>
      <c r="FZI142" s="418"/>
      <c r="FZJ142" s="418"/>
      <c r="FZK142" s="418"/>
      <c r="FZL142" s="418"/>
      <c r="FZM142" s="418"/>
      <c r="FZN142" s="418"/>
      <c r="FZO142" s="418"/>
      <c r="FZP142" s="418"/>
      <c r="FZQ142" s="418"/>
      <c r="FZR142" s="418"/>
      <c r="FZS142" s="418"/>
      <c r="FZT142" s="418"/>
      <c r="FZU142" s="418"/>
      <c r="FZV142" s="418"/>
      <c r="FZW142" s="418"/>
      <c r="FZX142" s="418"/>
      <c r="FZY142" s="418"/>
      <c r="FZZ142" s="418"/>
      <c r="GAA142" s="418"/>
      <c r="GAB142" s="418"/>
      <c r="GAC142" s="418"/>
      <c r="GAD142" s="418"/>
      <c r="GAE142" s="418"/>
      <c r="GAF142" s="418"/>
      <c r="GAG142" s="418"/>
      <c r="GAH142" s="418"/>
      <c r="GAI142" s="418"/>
      <c r="GAJ142" s="418"/>
      <c r="GAK142" s="418"/>
      <c r="GAL142" s="418"/>
      <c r="GAM142" s="418"/>
      <c r="GAN142" s="418"/>
      <c r="GAO142" s="418"/>
      <c r="GAP142" s="418"/>
      <c r="GAQ142" s="418"/>
      <c r="GAR142" s="418"/>
      <c r="GAS142" s="418"/>
      <c r="GAT142" s="418"/>
      <c r="GAU142" s="418"/>
      <c r="GAV142" s="418"/>
      <c r="GAW142" s="418"/>
      <c r="GAX142" s="418"/>
      <c r="GAY142" s="418"/>
      <c r="GAZ142" s="418"/>
      <c r="GBA142" s="418"/>
      <c r="GBB142" s="418"/>
      <c r="GBC142" s="418"/>
      <c r="GBD142" s="418"/>
      <c r="GBE142" s="418"/>
      <c r="GBF142" s="418"/>
      <c r="GBG142" s="418"/>
      <c r="GBH142" s="418"/>
      <c r="GBI142" s="418"/>
      <c r="GBJ142" s="418"/>
      <c r="GBK142" s="418"/>
      <c r="GBL142" s="418"/>
      <c r="GBM142" s="418"/>
      <c r="GBN142" s="418"/>
      <c r="GBO142" s="418"/>
      <c r="GBP142" s="418"/>
      <c r="GBQ142" s="418"/>
      <c r="GBR142" s="418"/>
      <c r="GBS142" s="418"/>
      <c r="GBT142" s="418"/>
      <c r="GBU142" s="418"/>
      <c r="GBV142" s="418"/>
      <c r="GBW142" s="418"/>
      <c r="GBX142" s="418"/>
      <c r="GBY142" s="418"/>
      <c r="GBZ142" s="418"/>
      <c r="GCA142" s="418"/>
      <c r="GCB142" s="418"/>
      <c r="GCC142" s="418"/>
      <c r="GCD142" s="418"/>
      <c r="GCE142" s="418"/>
      <c r="GCF142" s="418"/>
      <c r="GCG142" s="418"/>
      <c r="GCH142" s="418"/>
      <c r="GCI142" s="418"/>
      <c r="GCJ142" s="418"/>
      <c r="GCK142" s="418"/>
      <c r="GCL142" s="418"/>
      <c r="GCM142" s="418"/>
      <c r="GCN142" s="418"/>
      <c r="GCO142" s="418"/>
      <c r="GCP142" s="418"/>
      <c r="GCQ142" s="418"/>
      <c r="GCR142" s="418"/>
      <c r="GCS142" s="418"/>
      <c r="GCT142" s="418"/>
      <c r="GCU142" s="418"/>
      <c r="GCV142" s="418"/>
      <c r="GCW142" s="418"/>
      <c r="GCX142" s="418"/>
      <c r="GCY142" s="418"/>
      <c r="GCZ142" s="418"/>
      <c r="GDA142" s="418"/>
      <c r="GDB142" s="418"/>
      <c r="GDC142" s="418"/>
      <c r="GDD142" s="418"/>
      <c r="GDE142" s="418"/>
      <c r="GDF142" s="418"/>
      <c r="GDG142" s="418"/>
      <c r="GDH142" s="418"/>
      <c r="GDI142" s="418"/>
      <c r="GDJ142" s="418"/>
      <c r="GDK142" s="418"/>
      <c r="GDL142" s="418"/>
      <c r="GDM142" s="418"/>
      <c r="GDN142" s="418"/>
      <c r="GDO142" s="418"/>
      <c r="GDP142" s="418"/>
      <c r="GDQ142" s="418"/>
      <c r="GDR142" s="418"/>
      <c r="GDS142" s="418"/>
      <c r="GDT142" s="418"/>
      <c r="GDU142" s="418"/>
      <c r="GDV142" s="418"/>
      <c r="GDW142" s="418"/>
      <c r="GDX142" s="418"/>
      <c r="GDY142" s="418"/>
      <c r="GDZ142" s="418"/>
      <c r="GEA142" s="418"/>
      <c r="GEB142" s="418"/>
      <c r="GEC142" s="418"/>
      <c r="GED142" s="418"/>
      <c r="GEE142" s="418"/>
      <c r="GEF142" s="418"/>
      <c r="GEG142" s="418"/>
      <c r="GEH142" s="418"/>
      <c r="GEI142" s="418"/>
      <c r="GEJ142" s="418"/>
      <c r="GEK142" s="418"/>
      <c r="GEL142" s="418"/>
      <c r="GEM142" s="418"/>
      <c r="GEN142" s="418"/>
      <c r="GEO142" s="418"/>
      <c r="GEP142" s="418"/>
      <c r="GEQ142" s="418"/>
      <c r="GER142" s="418"/>
      <c r="GES142" s="418"/>
      <c r="GET142" s="418"/>
      <c r="GEU142" s="418"/>
      <c r="GEV142" s="418"/>
      <c r="GEW142" s="418"/>
      <c r="GEX142" s="418"/>
      <c r="GEY142" s="418"/>
      <c r="GEZ142" s="418"/>
      <c r="GFA142" s="418"/>
      <c r="GFB142" s="418"/>
      <c r="GFC142" s="418"/>
      <c r="GFD142" s="418"/>
      <c r="GFE142" s="418"/>
      <c r="GFF142" s="418"/>
      <c r="GFG142" s="418"/>
      <c r="GFH142" s="418"/>
      <c r="GFI142" s="418"/>
      <c r="GFJ142" s="418"/>
      <c r="GFK142" s="418"/>
      <c r="GFL142" s="418"/>
      <c r="GFM142" s="418"/>
      <c r="GFN142" s="418"/>
      <c r="GFO142" s="418"/>
      <c r="GFP142" s="418"/>
      <c r="GFQ142" s="418"/>
      <c r="GFR142" s="418"/>
      <c r="GFS142" s="418"/>
      <c r="GFT142" s="418"/>
      <c r="GFU142" s="418"/>
      <c r="GFV142" s="418"/>
      <c r="GFW142" s="418"/>
      <c r="GFX142" s="418"/>
      <c r="GFY142" s="418"/>
      <c r="GFZ142" s="418"/>
      <c r="GGA142" s="418"/>
      <c r="GGB142" s="418"/>
      <c r="GGC142" s="418"/>
      <c r="GGD142" s="418"/>
      <c r="GGE142" s="418"/>
      <c r="GGF142" s="418"/>
      <c r="GGG142" s="418"/>
      <c r="GGH142" s="418"/>
      <c r="GGI142" s="418"/>
      <c r="GGJ142" s="418"/>
      <c r="GGK142" s="418"/>
      <c r="GGL142" s="418"/>
      <c r="GGM142" s="418"/>
      <c r="GGN142" s="418"/>
      <c r="GGO142" s="418"/>
      <c r="GGP142" s="418"/>
      <c r="GGQ142" s="418"/>
      <c r="GGR142" s="418"/>
      <c r="GGS142" s="418"/>
      <c r="GGT142" s="418"/>
      <c r="GGU142" s="418"/>
      <c r="GGV142" s="418"/>
      <c r="GGW142" s="418"/>
      <c r="GGX142" s="418"/>
      <c r="GGY142" s="418"/>
      <c r="GGZ142" s="418"/>
      <c r="GHA142" s="418"/>
      <c r="GHB142" s="418"/>
      <c r="GHC142" s="418"/>
      <c r="GHD142" s="418"/>
      <c r="GHE142" s="418"/>
      <c r="GHF142" s="418"/>
      <c r="GHG142" s="418"/>
      <c r="GHH142" s="418"/>
      <c r="GHI142" s="418"/>
      <c r="GHJ142" s="418"/>
      <c r="GHK142" s="418"/>
      <c r="GHL142" s="418"/>
      <c r="GHM142" s="418"/>
      <c r="GHN142" s="418"/>
      <c r="GHO142" s="418"/>
      <c r="GHP142" s="418"/>
      <c r="GHQ142" s="418"/>
      <c r="GHR142" s="418"/>
      <c r="GHS142" s="418"/>
      <c r="GHT142" s="418"/>
      <c r="GHU142" s="418"/>
      <c r="GHV142" s="418"/>
      <c r="GHW142" s="418"/>
      <c r="GHX142" s="418"/>
      <c r="GHY142" s="418"/>
      <c r="GHZ142" s="418"/>
      <c r="GIA142" s="418"/>
      <c r="GIB142" s="418"/>
      <c r="GIC142" s="418"/>
      <c r="GID142" s="418"/>
      <c r="GIE142" s="418"/>
      <c r="GIF142" s="418"/>
      <c r="GIG142" s="418"/>
      <c r="GIH142" s="418"/>
      <c r="GII142" s="418"/>
      <c r="GIJ142" s="418"/>
      <c r="GIK142" s="418"/>
      <c r="GIL142" s="418"/>
      <c r="GIM142" s="418"/>
      <c r="GIN142" s="418"/>
      <c r="GIO142" s="418"/>
      <c r="GIP142" s="418"/>
      <c r="GIQ142" s="418"/>
      <c r="GIR142" s="418"/>
      <c r="GIS142" s="418"/>
      <c r="GIT142" s="418"/>
      <c r="GIU142" s="418"/>
      <c r="GIV142" s="418"/>
      <c r="GIW142" s="418"/>
      <c r="GIX142" s="418"/>
      <c r="GIY142" s="418"/>
      <c r="GIZ142" s="418"/>
      <c r="GJA142" s="418"/>
      <c r="GJB142" s="418"/>
      <c r="GJC142" s="418"/>
      <c r="GJD142" s="418"/>
      <c r="GJE142" s="418"/>
      <c r="GJF142" s="418"/>
      <c r="GJG142" s="418"/>
      <c r="GJH142" s="418"/>
      <c r="GJI142" s="418"/>
      <c r="GJJ142" s="418"/>
      <c r="GJK142" s="418"/>
      <c r="GJL142" s="418"/>
      <c r="GJM142" s="418"/>
      <c r="GJN142" s="418"/>
      <c r="GJO142" s="418"/>
      <c r="GJP142" s="418"/>
      <c r="GJQ142" s="418"/>
      <c r="GJR142" s="418"/>
      <c r="GJS142" s="418"/>
      <c r="GJT142" s="418"/>
      <c r="GJU142" s="418"/>
      <c r="GJV142" s="418"/>
      <c r="GJW142" s="418"/>
      <c r="GJX142" s="418"/>
      <c r="GJY142" s="418"/>
      <c r="GJZ142" s="418"/>
      <c r="GKA142" s="418"/>
      <c r="GKB142" s="418"/>
      <c r="GKC142" s="418"/>
      <c r="GKD142" s="418"/>
      <c r="GKE142" s="418"/>
      <c r="GKF142" s="418"/>
      <c r="GKG142" s="418"/>
      <c r="GKH142" s="418"/>
      <c r="GKI142" s="418"/>
      <c r="GKJ142" s="418"/>
      <c r="GKK142" s="418"/>
      <c r="GKL142" s="418"/>
      <c r="GKM142" s="418"/>
      <c r="GKN142" s="418"/>
      <c r="GKO142" s="418"/>
      <c r="GKP142" s="418"/>
      <c r="GKQ142" s="418"/>
      <c r="GKR142" s="418"/>
      <c r="GKS142" s="418"/>
      <c r="GKT142" s="418"/>
      <c r="GKU142" s="418"/>
      <c r="GKV142" s="418"/>
      <c r="GKW142" s="418"/>
      <c r="GKX142" s="418"/>
      <c r="GKY142" s="418"/>
      <c r="GKZ142" s="418"/>
      <c r="GLA142" s="418"/>
      <c r="GLB142" s="418"/>
      <c r="GLC142" s="418"/>
      <c r="GLD142" s="418"/>
      <c r="GLE142" s="418"/>
      <c r="GLF142" s="418"/>
      <c r="GLG142" s="418"/>
      <c r="GLH142" s="418"/>
      <c r="GLI142" s="418"/>
      <c r="GLJ142" s="418"/>
      <c r="GLK142" s="418"/>
      <c r="GLL142" s="418"/>
      <c r="GLM142" s="418"/>
      <c r="GLN142" s="418"/>
      <c r="GLO142" s="418"/>
      <c r="GLP142" s="418"/>
      <c r="GLQ142" s="418"/>
      <c r="GLR142" s="418"/>
      <c r="GLS142" s="418"/>
      <c r="GLT142" s="418"/>
      <c r="GLU142" s="418"/>
      <c r="GLV142" s="418"/>
      <c r="GLW142" s="418"/>
      <c r="GLX142" s="418"/>
      <c r="GLY142" s="418"/>
      <c r="GLZ142" s="418"/>
      <c r="GMA142" s="418"/>
      <c r="GMB142" s="418"/>
      <c r="GMC142" s="418"/>
      <c r="GMD142" s="418"/>
      <c r="GME142" s="418"/>
      <c r="GMF142" s="418"/>
      <c r="GMG142" s="418"/>
      <c r="GMH142" s="418"/>
      <c r="GMI142" s="418"/>
      <c r="GMJ142" s="418"/>
      <c r="GMK142" s="418"/>
      <c r="GML142" s="418"/>
      <c r="GMM142" s="418"/>
      <c r="GMN142" s="418"/>
      <c r="GMO142" s="418"/>
      <c r="GMP142" s="418"/>
      <c r="GMQ142" s="418"/>
      <c r="GMR142" s="418"/>
      <c r="GMS142" s="418"/>
      <c r="GMT142" s="418"/>
      <c r="GMU142" s="418"/>
      <c r="GMV142" s="418"/>
      <c r="GMW142" s="418"/>
      <c r="GMX142" s="418"/>
      <c r="GMY142" s="418"/>
      <c r="GMZ142" s="418"/>
      <c r="GNA142" s="418"/>
      <c r="GNB142" s="418"/>
      <c r="GNC142" s="418"/>
      <c r="GND142" s="418"/>
      <c r="GNE142" s="418"/>
      <c r="GNF142" s="418"/>
      <c r="GNG142" s="418"/>
      <c r="GNH142" s="418"/>
      <c r="GNI142" s="418"/>
      <c r="GNJ142" s="418"/>
      <c r="GNK142" s="418"/>
      <c r="GNL142" s="418"/>
      <c r="GNM142" s="418"/>
      <c r="GNN142" s="418"/>
      <c r="GNO142" s="418"/>
      <c r="GNP142" s="418"/>
      <c r="GNQ142" s="418"/>
      <c r="GNR142" s="418"/>
      <c r="GNS142" s="418"/>
      <c r="GNT142" s="418"/>
      <c r="GNU142" s="418"/>
      <c r="GNV142" s="418"/>
      <c r="GNW142" s="418"/>
      <c r="GNX142" s="418"/>
      <c r="GNY142" s="418"/>
      <c r="GNZ142" s="418"/>
      <c r="GOA142" s="418"/>
      <c r="GOB142" s="418"/>
      <c r="GOC142" s="418"/>
      <c r="GOD142" s="418"/>
      <c r="GOE142" s="418"/>
      <c r="GOF142" s="418"/>
      <c r="GOG142" s="418"/>
      <c r="GOH142" s="418"/>
      <c r="GOI142" s="418"/>
      <c r="GOJ142" s="418"/>
      <c r="GOK142" s="418"/>
      <c r="GOL142" s="418"/>
      <c r="GOM142" s="418"/>
      <c r="GON142" s="418"/>
      <c r="GOO142" s="418"/>
      <c r="GOP142" s="418"/>
      <c r="GOQ142" s="418"/>
      <c r="GOR142" s="418"/>
      <c r="GOS142" s="418"/>
      <c r="GOT142" s="418"/>
      <c r="GOU142" s="418"/>
      <c r="GOV142" s="418"/>
      <c r="GOW142" s="418"/>
      <c r="GOX142" s="418"/>
      <c r="GOY142" s="418"/>
      <c r="GOZ142" s="418"/>
      <c r="GPA142" s="418"/>
      <c r="GPB142" s="418"/>
      <c r="GPC142" s="418"/>
      <c r="GPD142" s="418"/>
      <c r="GPE142" s="418"/>
      <c r="GPF142" s="418"/>
      <c r="GPG142" s="418"/>
      <c r="GPH142" s="418"/>
      <c r="GPI142" s="418"/>
      <c r="GPJ142" s="418"/>
      <c r="GPK142" s="418"/>
      <c r="GPL142" s="418"/>
      <c r="GPM142" s="418"/>
      <c r="GPN142" s="418"/>
      <c r="GPO142" s="418"/>
      <c r="GPP142" s="418"/>
      <c r="GPQ142" s="418"/>
      <c r="GPR142" s="418"/>
      <c r="GPS142" s="418"/>
      <c r="GPT142" s="418"/>
      <c r="GPU142" s="418"/>
      <c r="GPV142" s="418"/>
      <c r="GPW142" s="418"/>
      <c r="GPX142" s="418"/>
      <c r="GPY142" s="418"/>
      <c r="GPZ142" s="418"/>
      <c r="GQA142" s="418"/>
      <c r="GQB142" s="418"/>
      <c r="GQC142" s="418"/>
      <c r="GQD142" s="418"/>
      <c r="GQE142" s="418"/>
      <c r="GQF142" s="418"/>
      <c r="GQG142" s="418"/>
      <c r="GQH142" s="418"/>
      <c r="GQI142" s="418"/>
      <c r="GQJ142" s="418"/>
      <c r="GQK142" s="418"/>
      <c r="GQL142" s="418"/>
      <c r="GQM142" s="418"/>
      <c r="GQN142" s="418"/>
      <c r="GQO142" s="418"/>
      <c r="GQP142" s="418"/>
      <c r="GQQ142" s="418"/>
      <c r="GQR142" s="418"/>
      <c r="GQS142" s="418"/>
      <c r="GQT142" s="418"/>
      <c r="GQU142" s="418"/>
      <c r="GQV142" s="418"/>
      <c r="GQW142" s="418"/>
      <c r="GQX142" s="418"/>
      <c r="GQY142" s="418"/>
      <c r="GQZ142" s="418"/>
      <c r="GRA142" s="418"/>
      <c r="GRB142" s="418"/>
      <c r="GRC142" s="418"/>
      <c r="GRD142" s="418"/>
      <c r="GRE142" s="418"/>
      <c r="GRF142" s="418"/>
      <c r="GRG142" s="418"/>
      <c r="GRH142" s="418"/>
      <c r="GRI142" s="418"/>
      <c r="GRJ142" s="418"/>
      <c r="GRK142" s="418"/>
      <c r="GRL142" s="418"/>
      <c r="GRM142" s="418"/>
      <c r="GRN142" s="418"/>
      <c r="GRO142" s="418"/>
      <c r="GRP142" s="418"/>
      <c r="GRQ142" s="418"/>
      <c r="GRR142" s="418"/>
      <c r="GRS142" s="418"/>
      <c r="GRT142" s="418"/>
      <c r="GRU142" s="418"/>
      <c r="GRV142" s="418"/>
      <c r="GRW142" s="418"/>
      <c r="GRX142" s="418"/>
      <c r="GRY142" s="418"/>
      <c r="GRZ142" s="418"/>
      <c r="GSA142" s="418"/>
      <c r="GSB142" s="418"/>
      <c r="GSC142" s="418"/>
      <c r="GSD142" s="418"/>
      <c r="GSE142" s="418"/>
      <c r="GSF142" s="418"/>
      <c r="GSG142" s="418"/>
      <c r="GSH142" s="418"/>
      <c r="GSI142" s="418"/>
      <c r="GSJ142" s="418"/>
      <c r="GSK142" s="418"/>
      <c r="GSL142" s="418"/>
      <c r="GSM142" s="418"/>
      <c r="GSN142" s="418"/>
      <c r="GSO142" s="418"/>
      <c r="GSP142" s="418"/>
      <c r="GSQ142" s="418"/>
      <c r="GSR142" s="418"/>
      <c r="GSS142" s="418"/>
      <c r="GST142" s="418"/>
      <c r="GSU142" s="418"/>
      <c r="GSV142" s="418"/>
      <c r="GSW142" s="418"/>
      <c r="GSX142" s="418"/>
      <c r="GSY142" s="418"/>
      <c r="GSZ142" s="418"/>
      <c r="GTA142" s="418"/>
      <c r="GTB142" s="418"/>
      <c r="GTC142" s="418"/>
      <c r="GTD142" s="418"/>
      <c r="GTE142" s="418"/>
      <c r="GTF142" s="418"/>
      <c r="GTG142" s="418"/>
      <c r="GTH142" s="418"/>
      <c r="GTI142" s="418"/>
      <c r="GTJ142" s="418"/>
      <c r="GTK142" s="418"/>
      <c r="GTL142" s="418"/>
      <c r="GTM142" s="418"/>
      <c r="GTN142" s="418"/>
      <c r="GTO142" s="418"/>
      <c r="GTP142" s="418"/>
      <c r="GTQ142" s="418"/>
      <c r="GTR142" s="418"/>
      <c r="GTS142" s="418"/>
      <c r="GTT142" s="418"/>
      <c r="GTU142" s="418"/>
      <c r="GTV142" s="418"/>
      <c r="GTW142" s="418"/>
      <c r="GTX142" s="418"/>
      <c r="GTY142" s="418"/>
      <c r="GTZ142" s="418"/>
      <c r="GUA142" s="418"/>
      <c r="GUB142" s="418"/>
      <c r="GUC142" s="418"/>
      <c r="GUD142" s="418"/>
      <c r="GUE142" s="418"/>
      <c r="GUF142" s="418"/>
      <c r="GUG142" s="418"/>
      <c r="GUH142" s="418"/>
      <c r="GUI142" s="418"/>
      <c r="GUJ142" s="418"/>
      <c r="GUK142" s="418"/>
      <c r="GUL142" s="418"/>
      <c r="GUM142" s="418"/>
      <c r="GUN142" s="418"/>
      <c r="GUO142" s="418"/>
      <c r="GUP142" s="418"/>
      <c r="GUQ142" s="418"/>
      <c r="GUR142" s="418"/>
      <c r="GUS142" s="418"/>
      <c r="GUT142" s="418"/>
      <c r="GUU142" s="418"/>
      <c r="GUV142" s="418"/>
      <c r="GUW142" s="418"/>
      <c r="GUX142" s="418"/>
      <c r="GUY142" s="418"/>
      <c r="GUZ142" s="418"/>
      <c r="GVA142" s="418"/>
      <c r="GVB142" s="418"/>
      <c r="GVC142" s="418"/>
      <c r="GVD142" s="418"/>
      <c r="GVE142" s="418"/>
      <c r="GVF142" s="418"/>
      <c r="GVG142" s="418"/>
      <c r="GVH142" s="418"/>
      <c r="GVI142" s="418"/>
      <c r="GVJ142" s="418"/>
      <c r="GVK142" s="418"/>
      <c r="GVL142" s="418"/>
      <c r="GVM142" s="418"/>
      <c r="GVN142" s="418"/>
      <c r="GVO142" s="418"/>
      <c r="GVP142" s="418"/>
      <c r="GVQ142" s="418"/>
      <c r="GVR142" s="418"/>
      <c r="GVS142" s="418"/>
      <c r="GVT142" s="418"/>
      <c r="GVU142" s="418"/>
      <c r="GVV142" s="418"/>
      <c r="GVW142" s="418"/>
      <c r="GVX142" s="418"/>
      <c r="GVY142" s="418"/>
      <c r="GVZ142" s="418"/>
      <c r="GWA142" s="418"/>
      <c r="GWB142" s="418"/>
      <c r="GWC142" s="418"/>
      <c r="GWD142" s="418"/>
      <c r="GWE142" s="418"/>
      <c r="GWF142" s="418"/>
      <c r="GWG142" s="418"/>
      <c r="GWH142" s="418"/>
      <c r="GWI142" s="418"/>
      <c r="GWJ142" s="418"/>
      <c r="GWK142" s="418"/>
      <c r="GWL142" s="418"/>
      <c r="GWM142" s="418"/>
      <c r="GWN142" s="418"/>
      <c r="GWO142" s="418"/>
      <c r="GWP142" s="418"/>
      <c r="GWQ142" s="418"/>
      <c r="GWR142" s="418"/>
      <c r="GWS142" s="418"/>
      <c r="GWT142" s="418"/>
      <c r="GWU142" s="418"/>
      <c r="GWV142" s="418"/>
      <c r="GWW142" s="418"/>
      <c r="GWX142" s="418"/>
      <c r="GWY142" s="418"/>
      <c r="GWZ142" s="418"/>
      <c r="GXA142" s="418"/>
      <c r="GXB142" s="418"/>
      <c r="GXC142" s="418"/>
      <c r="GXD142" s="418"/>
      <c r="GXE142" s="418"/>
      <c r="GXF142" s="418"/>
      <c r="GXG142" s="418"/>
      <c r="GXH142" s="418"/>
      <c r="GXI142" s="418"/>
      <c r="GXJ142" s="418"/>
      <c r="GXK142" s="418"/>
      <c r="GXL142" s="418"/>
      <c r="GXM142" s="418"/>
      <c r="GXN142" s="418"/>
      <c r="GXO142" s="418"/>
      <c r="GXP142" s="418"/>
      <c r="GXQ142" s="418"/>
      <c r="GXR142" s="418"/>
      <c r="GXS142" s="418"/>
      <c r="GXT142" s="418"/>
      <c r="GXU142" s="418"/>
      <c r="GXV142" s="418"/>
      <c r="GXW142" s="418"/>
      <c r="GXX142" s="418"/>
      <c r="GXY142" s="418"/>
      <c r="GXZ142" s="418"/>
      <c r="GYA142" s="418"/>
      <c r="GYB142" s="418"/>
      <c r="GYC142" s="418"/>
      <c r="GYD142" s="418"/>
      <c r="GYE142" s="418"/>
      <c r="GYF142" s="418"/>
      <c r="GYG142" s="418"/>
      <c r="GYH142" s="418"/>
      <c r="GYI142" s="418"/>
      <c r="GYJ142" s="418"/>
      <c r="GYK142" s="418"/>
      <c r="GYL142" s="418"/>
      <c r="GYM142" s="418"/>
      <c r="GYN142" s="418"/>
      <c r="GYO142" s="418"/>
      <c r="GYP142" s="418"/>
      <c r="GYQ142" s="418"/>
      <c r="GYR142" s="418"/>
      <c r="GYS142" s="418"/>
      <c r="GYT142" s="418"/>
      <c r="GYU142" s="418"/>
      <c r="GYV142" s="418"/>
      <c r="GYW142" s="418"/>
      <c r="GYX142" s="418"/>
      <c r="GYY142" s="418"/>
      <c r="GYZ142" s="418"/>
      <c r="GZA142" s="418"/>
      <c r="GZB142" s="418"/>
      <c r="GZC142" s="418"/>
      <c r="GZD142" s="418"/>
      <c r="GZE142" s="418"/>
      <c r="GZF142" s="418"/>
      <c r="GZG142" s="418"/>
      <c r="GZH142" s="418"/>
      <c r="GZI142" s="418"/>
      <c r="GZJ142" s="418"/>
      <c r="GZK142" s="418"/>
      <c r="GZL142" s="418"/>
      <c r="GZM142" s="418"/>
      <c r="GZN142" s="418"/>
      <c r="GZO142" s="418"/>
      <c r="GZP142" s="418"/>
      <c r="GZQ142" s="418"/>
      <c r="GZR142" s="418"/>
      <c r="GZS142" s="418"/>
      <c r="GZT142" s="418"/>
      <c r="GZU142" s="418"/>
      <c r="GZV142" s="418"/>
      <c r="GZW142" s="418"/>
      <c r="GZX142" s="418"/>
      <c r="GZY142" s="418"/>
      <c r="GZZ142" s="418"/>
      <c r="HAA142" s="418"/>
      <c r="HAB142" s="418"/>
      <c r="HAC142" s="418"/>
      <c r="HAD142" s="418"/>
      <c r="HAE142" s="418"/>
      <c r="HAF142" s="418"/>
      <c r="HAG142" s="418"/>
      <c r="HAH142" s="418"/>
      <c r="HAI142" s="418"/>
      <c r="HAJ142" s="418"/>
      <c r="HAK142" s="418"/>
      <c r="HAL142" s="418"/>
      <c r="HAM142" s="418"/>
      <c r="HAN142" s="418"/>
      <c r="HAO142" s="418"/>
      <c r="HAP142" s="418"/>
      <c r="HAQ142" s="418"/>
      <c r="HAR142" s="418"/>
      <c r="HAS142" s="418"/>
      <c r="HAT142" s="418"/>
      <c r="HAU142" s="418"/>
      <c r="HAV142" s="418"/>
      <c r="HAW142" s="418"/>
      <c r="HAX142" s="418"/>
      <c r="HAY142" s="418"/>
      <c r="HAZ142" s="418"/>
      <c r="HBA142" s="418"/>
      <c r="HBB142" s="418"/>
      <c r="HBC142" s="418"/>
      <c r="HBD142" s="418"/>
      <c r="HBE142" s="418"/>
      <c r="HBF142" s="418"/>
      <c r="HBG142" s="418"/>
      <c r="HBH142" s="418"/>
      <c r="HBI142" s="418"/>
      <c r="HBJ142" s="418"/>
      <c r="HBK142" s="418"/>
      <c r="HBL142" s="418"/>
      <c r="HBM142" s="418"/>
      <c r="HBN142" s="418"/>
      <c r="HBO142" s="418"/>
      <c r="HBP142" s="418"/>
      <c r="HBQ142" s="418"/>
      <c r="HBR142" s="418"/>
      <c r="HBS142" s="418"/>
      <c r="HBT142" s="418"/>
      <c r="HBU142" s="418"/>
      <c r="HBV142" s="418"/>
      <c r="HBW142" s="418"/>
      <c r="HBX142" s="418"/>
      <c r="HBY142" s="418"/>
      <c r="HBZ142" s="418"/>
      <c r="HCA142" s="418"/>
      <c r="HCB142" s="418"/>
      <c r="HCC142" s="418"/>
      <c r="HCD142" s="418"/>
      <c r="HCE142" s="418"/>
      <c r="HCF142" s="418"/>
      <c r="HCG142" s="418"/>
      <c r="HCH142" s="418"/>
      <c r="HCI142" s="418"/>
      <c r="HCJ142" s="418"/>
      <c r="HCK142" s="418"/>
      <c r="HCL142" s="418"/>
      <c r="HCM142" s="418"/>
      <c r="HCN142" s="418"/>
      <c r="HCO142" s="418"/>
      <c r="HCP142" s="418"/>
      <c r="HCQ142" s="418"/>
      <c r="HCR142" s="418"/>
      <c r="HCS142" s="418"/>
      <c r="HCT142" s="418"/>
      <c r="HCU142" s="418"/>
      <c r="HCV142" s="418"/>
      <c r="HCW142" s="418"/>
      <c r="HCX142" s="418"/>
      <c r="HCY142" s="418"/>
      <c r="HCZ142" s="418"/>
      <c r="HDA142" s="418"/>
      <c r="HDB142" s="418"/>
      <c r="HDC142" s="418"/>
      <c r="HDD142" s="418"/>
      <c r="HDE142" s="418"/>
      <c r="HDF142" s="418"/>
      <c r="HDG142" s="418"/>
      <c r="HDH142" s="418"/>
      <c r="HDI142" s="418"/>
      <c r="HDJ142" s="418"/>
      <c r="HDK142" s="418"/>
      <c r="HDL142" s="418"/>
      <c r="HDM142" s="418"/>
      <c r="HDN142" s="418"/>
      <c r="HDO142" s="418"/>
      <c r="HDP142" s="418"/>
      <c r="HDQ142" s="418"/>
      <c r="HDR142" s="418"/>
      <c r="HDS142" s="418"/>
      <c r="HDT142" s="418"/>
      <c r="HDU142" s="418"/>
      <c r="HDV142" s="418"/>
      <c r="HDW142" s="418"/>
      <c r="HDX142" s="418"/>
      <c r="HDY142" s="418"/>
      <c r="HDZ142" s="418"/>
      <c r="HEA142" s="418"/>
      <c r="HEB142" s="418"/>
      <c r="HEC142" s="418"/>
      <c r="HED142" s="418"/>
      <c r="HEE142" s="418"/>
      <c r="HEF142" s="418"/>
      <c r="HEG142" s="418"/>
      <c r="HEH142" s="418"/>
      <c r="HEI142" s="418"/>
      <c r="HEJ142" s="418"/>
      <c r="HEK142" s="418"/>
      <c r="HEL142" s="418"/>
      <c r="HEM142" s="418"/>
      <c r="HEN142" s="418"/>
      <c r="HEO142" s="418"/>
      <c r="HEP142" s="418"/>
      <c r="HEQ142" s="418"/>
      <c r="HER142" s="418"/>
      <c r="HES142" s="418"/>
      <c r="HET142" s="418"/>
      <c r="HEU142" s="418"/>
      <c r="HEV142" s="418"/>
      <c r="HEW142" s="418"/>
      <c r="HEX142" s="418"/>
      <c r="HEY142" s="418"/>
      <c r="HEZ142" s="418"/>
      <c r="HFA142" s="418"/>
      <c r="HFB142" s="418"/>
      <c r="HFC142" s="418"/>
      <c r="HFD142" s="418"/>
      <c r="HFE142" s="418"/>
      <c r="HFF142" s="418"/>
      <c r="HFG142" s="418"/>
      <c r="HFH142" s="418"/>
      <c r="HFI142" s="418"/>
      <c r="HFJ142" s="418"/>
      <c r="HFK142" s="418"/>
      <c r="HFL142" s="418"/>
      <c r="HFM142" s="418"/>
      <c r="HFN142" s="418"/>
      <c r="HFO142" s="418"/>
      <c r="HFP142" s="418"/>
      <c r="HFQ142" s="418"/>
      <c r="HFR142" s="418"/>
      <c r="HFS142" s="418"/>
      <c r="HFT142" s="418"/>
      <c r="HFU142" s="418"/>
      <c r="HFV142" s="418"/>
      <c r="HFW142" s="418"/>
      <c r="HFX142" s="418"/>
      <c r="HFY142" s="418"/>
      <c r="HFZ142" s="418"/>
      <c r="HGA142" s="418"/>
      <c r="HGB142" s="418"/>
      <c r="HGC142" s="418"/>
      <c r="HGD142" s="418"/>
      <c r="HGE142" s="418"/>
      <c r="HGF142" s="418"/>
      <c r="HGG142" s="418"/>
      <c r="HGH142" s="418"/>
      <c r="HGI142" s="418"/>
      <c r="HGJ142" s="418"/>
      <c r="HGK142" s="418"/>
      <c r="HGL142" s="418"/>
      <c r="HGM142" s="418"/>
      <c r="HGN142" s="418"/>
      <c r="HGO142" s="418"/>
      <c r="HGP142" s="418"/>
      <c r="HGQ142" s="418"/>
      <c r="HGR142" s="418"/>
      <c r="HGS142" s="418"/>
      <c r="HGT142" s="418"/>
      <c r="HGU142" s="418"/>
      <c r="HGV142" s="418"/>
      <c r="HGW142" s="418"/>
      <c r="HGX142" s="418"/>
      <c r="HGY142" s="418"/>
      <c r="HGZ142" s="418"/>
      <c r="HHA142" s="418"/>
      <c r="HHB142" s="418"/>
      <c r="HHC142" s="418"/>
      <c r="HHD142" s="418"/>
      <c r="HHE142" s="418"/>
      <c r="HHF142" s="418"/>
      <c r="HHG142" s="418"/>
      <c r="HHH142" s="418"/>
      <c r="HHI142" s="418"/>
      <c r="HHJ142" s="418"/>
      <c r="HHK142" s="418"/>
      <c r="HHL142" s="418"/>
      <c r="HHM142" s="418"/>
      <c r="HHN142" s="418"/>
      <c r="HHO142" s="418"/>
      <c r="HHP142" s="418"/>
      <c r="HHQ142" s="418"/>
      <c r="HHR142" s="418"/>
      <c r="HHS142" s="418"/>
      <c r="HHT142" s="418"/>
      <c r="HHU142" s="418"/>
      <c r="HHV142" s="418"/>
      <c r="HHW142" s="418"/>
      <c r="HHX142" s="418"/>
      <c r="HHY142" s="418"/>
      <c r="HHZ142" s="418"/>
      <c r="HIA142" s="418"/>
      <c r="HIB142" s="418"/>
      <c r="HIC142" s="418"/>
      <c r="HID142" s="418"/>
      <c r="HIE142" s="418"/>
      <c r="HIF142" s="418"/>
      <c r="HIG142" s="418"/>
      <c r="HIH142" s="418"/>
      <c r="HII142" s="418"/>
      <c r="HIJ142" s="418"/>
      <c r="HIK142" s="418"/>
      <c r="HIL142" s="418"/>
      <c r="HIM142" s="418"/>
      <c r="HIN142" s="418"/>
      <c r="HIO142" s="418"/>
      <c r="HIP142" s="418"/>
      <c r="HIQ142" s="418"/>
      <c r="HIR142" s="418"/>
      <c r="HIS142" s="418"/>
      <c r="HIT142" s="418"/>
      <c r="HIU142" s="418"/>
      <c r="HIV142" s="418"/>
      <c r="HIW142" s="418"/>
      <c r="HIX142" s="418"/>
      <c r="HIY142" s="418"/>
      <c r="HIZ142" s="418"/>
      <c r="HJA142" s="418"/>
      <c r="HJB142" s="418"/>
      <c r="HJC142" s="418"/>
      <c r="HJD142" s="418"/>
      <c r="HJE142" s="418"/>
      <c r="HJF142" s="418"/>
      <c r="HJG142" s="418"/>
      <c r="HJH142" s="418"/>
      <c r="HJI142" s="418"/>
      <c r="HJJ142" s="418"/>
      <c r="HJK142" s="418"/>
      <c r="HJL142" s="418"/>
      <c r="HJM142" s="418"/>
      <c r="HJN142" s="418"/>
      <c r="HJO142" s="418"/>
      <c r="HJP142" s="418"/>
      <c r="HJQ142" s="418"/>
      <c r="HJR142" s="418"/>
      <c r="HJS142" s="418"/>
      <c r="HJT142" s="418"/>
      <c r="HJU142" s="418"/>
      <c r="HJV142" s="418"/>
      <c r="HJW142" s="418"/>
      <c r="HJX142" s="418"/>
      <c r="HJY142" s="418"/>
      <c r="HJZ142" s="418"/>
      <c r="HKA142" s="418"/>
      <c r="HKB142" s="418"/>
      <c r="HKC142" s="418"/>
      <c r="HKD142" s="418"/>
      <c r="HKE142" s="418"/>
      <c r="HKF142" s="418"/>
      <c r="HKG142" s="418"/>
      <c r="HKH142" s="418"/>
      <c r="HKI142" s="418"/>
      <c r="HKJ142" s="418"/>
      <c r="HKK142" s="418"/>
      <c r="HKL142" s="418"/>
      <c r="HKM142" s="418"/>
      <c r="HKN142" s="418"/>
      <c r="HKO142" s="418"/>
      <c r="HKP142" s="418"/>
      <c r="HKQ142" s="418"/>
      <c r="HKR142" s="418"/>
      <c r="HKS142" s="418"/>
      <c r="HKT142" s="418"/>
      <c r="HKU142" s="418"/>
      <c r="HKV142" s="418"/>
      <c r="HKW142" s="418"/>
      <c r="HKX142" s="418"/>
      <c r="HKY142" s="418"/>
      <c r="HKZ142" s="418"/>
      <c r="HLA142" s="418"/>
      <c r="HLB142" s="418"/>
      <c r="HLC142" s="418"/>
      <c r="HLD142" s="418"/>
      <c r="HLE142" s="418"/>
      <c r="HLF142" s="418"/>
      <c r="HLG142" s="418"/>
      <c r="HLH142" s="418"/>
      <c r="HLI142" s="418"/>
      <c r="HLJ142" s="418"/>
      <c r="HLK142" s="418"/>
      <c r="HLL142" s="418"/>
      <c r="HLM142" s="418"/>
      <c r="HLN142" s="418"/>
      <c r="HLO142" s="418"/>
      <c r="HLP142" s="418"/>
      <c r="HLQ142" s="418"/>
      <c r="HLR142" s="418"/>
      <c r="HLS142" s="418"/>
      <c r="HLT142" s="418"/>
      <c r="HLU142" s="418"/>
      <c r="HLV142" s="418"/>
      <c r="HLW142" s="418"/>
      <c r="HLX142" s="418"/>
      <c r="HLY142" s="418"/>
      <c r="HLZ142" s="418"/>
      <c r="HMA142" s="418"/>
      <c r="HMB142" s="418"/>
      <c r="HMC142" s="418"/>
      <c r="HMD142" s="418"/>
      <c r="HME142" s="418"/>
      <c r="HMF142" s="418"/>
      <c r="HMG142" s="418"/>
      <c r="HMH142" s="418"/>
      <c r="HMI142" s="418"/>
      <c r="HMJ142" s="418"/>
      <c r="HMK142" s="418"/>
      <c r="HML142" s="418"/>
      <c r="HMM142" s="418"/>
      <c r="HMN142" s="418"/>
      <c r="HMO142" s="418"/>
      <c r="HMP142" s="418"/>
      <c r="HMQ142" s="418"/>
      <c r="HMR142" s="418"/>
      <c r="HMS142" s="418"/>
      <c r="HMT142" s="418"/>
      <c r="HMU142" s="418"/>
      <c r="HMV142" s="418"/>
      <c r="HMW142" s="418"/>
      <c r="HMX142" s="418"/>
      <c r="HMY142" s="418"/>
      <c r="HMZ142" s="418"/>
      <c r="HNA142" s="418"/>
      <c r="HNB142" s="418"/>
      <c r="HNC142" s="418"/>
      <c r="HND142" s="418"/>
      <c r="HNE142" s="418"/>
      <c r="HNF142" s="418"/>
      <c r="HNG142" s="418"/>
      <c r="HNH142" s="418"/>
      <c r="HNI142" s="418"/>
      <c r="HNJ142" s="418"/>
      <c r="HNK142" s="418"/>
      <c r="HNL142" s="418"/>
      <c r="HNM142" s="418"/>
      <c r="HNN142" s="418"/>
      <c r="HNO142" s="418"/>
      <c r="HNP142" s="418"/>
      <c r="HNQ142" s="418"/>
      <c r="HNR142" s="418"/>
      <c r="HNS142" s="418"/>
      <c r="HNT142" s="418"/>
      <c r="HNU142" s="418"/>
      <c r="HNV142" s="418"/>
      <c r="HNW142" s="418"/>
      <c r="HNX142" s="418"/>
      <c r="HNY142" s="418"/>
      <c r="HNZ142" s="418"/>
      <c r="HOA142" s="418"/>
      <c r="HOB142" s="418"/>
      <c r="HOC142" s="418"/>
      <c r="HOD142" s="418"/>
      <c r="HOE142" s="418"/>
      <c r="HOF142" s="418"/>
      <c r="HOG142" s="418"/>
      <c r="HOH142" s="418"/>
      <c r="HOI142" s="418"/>
      <c r="HOJ142" s="418"/>
      <c r="HOK142" s="418"/>
      <c r="HOL142" s="418"/>
      <c r="HOM142" s="418"/>
      <c r="HON142" s="418"/>
      <c r="HOO142" s="418"/>
      <c r="HOP142" s="418"/>
      <c r="HOQ142" s="418"/>
      <c r="HOR142" s="418"/>
      <c r="HOS142" s="418"/>
      <c r="HOT142" s="418"/>
      <c r="HOU142" s="418"/>
      <c r="HOV142" s="418"/>
      <c r="HOW142" s="418"/>
      <c r="HOX142" s="418"/>
      <c r="HOY142" s="418"/>
      <c r="HOZ142" s="418"/>
      <c r="HPA142" s="418"/>
      <c r="HPB142" s="418"/>
      <c r="HPC142" s="418"/>
      <c r="HPD142" s="418"/>
      <c r="HPE142" s="418"/>
      <c r="HPF142" s="418"/>
      <c r="HPG142" s="418"/>
      <c r="HPH142" s="418"/>
      <c r="HPI142" s="418"/>
      <c r="HPJ142" s="418"/>
      <c r="HPK142" s="418"/>
      <c r="HPL142" s="418"/>
      <c r="HPM142" s="418"/>
      <c r="HPN142" s="418"/>
      <c r="HPO142" s="418"/>
      <c r="HPP142" s="418"/>
      <c r="HPQ142" s="418"/>
      <c r="HPR142" s="418"/>
      <c r="HPS142" s="418"/>
      <c r="HPT142" s="418"/>
      <c r="HPU142" s="418"/>
      <c r="HPV142" s="418"/>
      <c r="HPW142" s="418"/>
      <c r="HPX142" s="418"/>
      <c r="HPY142" s="418"/>
      <c r="HPZ142" s="418"/>
      <c r="HQA142" s="418"/>
      <c r="HQB142" s="418"/>
      <c r="HQC142" s="418"/>
      <c r="HQD142" s="418"/>
      <c r="HQE142" s="418"/>
      <c r="HQF142" s="418"/>
      <c r="HQG142" s="418"/>
      <c r="HQH142" s="418"/>
      <c r="HQI142" s="418"/>
      <c r="HQJ142" s="418"/>
      <c r="HQK142" s="418"/>
      <c r="HQL142" s="418"/>
      <c r="HQM142" s="418"/>
      <c r="HQN142" s="418"/>
      <c r="HQO142" s="418"/>
      <c r="HQP142" s="418"/>
      <c r="HQQ142" s="418"/>
      <c r="HQR142" s="418"/>
      <c r="HQS142" s="418"/>
      <c r="HQT142" s="418"/>
      <c r="HQU142" s="418"/>
      <c r="HQV142" s="418"/>
      <c r="HQW142" s="418"/>
      <c r="HQX142" s="418"/>
      <c r="HQY142" s="418"/>
      <c r="HQZ142" s="418"/>
      <c r="HRA142" s="418"/>
      <c r="HRB142" s="418"/>
      <c r="HRC142" s="418"/>
      <c r="HRD142" s="418"/>
      <c r="HRE142" s="418"/>
      <c r="HRF142" s="418"/>
      <c r="HRG142" s="418"/>
      <c r="HRH142" s="418"/>
      <c r="HRI142" s="418"/>
      <c r="HRJ142" s="418"/>
      <c r="HRK142" s="418"/>
      <c r="HRL142" s="418"/>
      <c r="HRM142" s="418"/>
      <c r="HRN142" s="418"/>
      <c r="HRO142" s="418"/>
      <c r="HRP142" s="418"/>
      <c r="HRQ142" s="418"/>
      <c r="HRR142" s="418"/>
      <c r="HRS142" s="418"/>
      <c r="HRT142" s="418"/>
      <c r="HRU142" s="418"/>
      <c r="HRV142" s="418"/>
      <c r="HRW142" s="418"/>
      <c r="HRX142" s="418"/>
      <c r="HRY142" s="418"/>
      <c r="HRZ142" s="418"/>
      <c r="HSA142" s="418"/>
      <c r="HSB142" s="418"/>
      <c r="HSC142" s="418"/>
      <c r="HSD142" s="418"/>
      <c r="HSE142" s="418"/>
      <c r="HSF142" s="418"/>
      <c r="HSG142" s="418"/>
      <c r="HSH142" s="418"/>
      <c r="HSI142" s="418"/>
      <c r="HSJ142" s="418"/>
      <c r="HSK142" s="418"/>
      <c r="HSL142" s="418"/>
      <c r="HSM142" s="418"/>
      <c r="HSN142" s="418"/>
      <c r="HSO142" s="418"/>
      <c r="HSP142" s="418"/>
      <c r="HSQ142" s="418"/>
      <c r="HSR142" s="418"/>
      <c r="HSS142" s="418"/>
      <c r="HST142" s="418"/>
      <c r="HSU142" s="418"/>
      <c r="HSV142" s="418"/>
      <c r="HSW142" s="418"/>
      <c r="HSX142" s="418"/>
      <c r="HSY142" s="418"/>
      <c r="HSZ142" s="418"/>
      <c r="HTA142" s="418"/>
      <c r="HTB142" s="418"/>
      <c r="HTC142" s="418"/>
      <c r="HTD142" s="418"/>
      <c r="HTE142" s="418"/>
      <c r="HTF142" s="418"/>
      <c r="HTG142" s="418"/>
      <c r="HTH142" s="418"/>
      <c r="HTI142" s="418"/>
      <c r="HTJ142" s="418"/>
      <c r="HTK142" s="418"/>
      <c r="HTL142" s="418"/>
      <c r="HTM142" s="418"/>
      <c r="HTN142" s="418"/>
      <c r="HTO142" s="418"/>
      <c r="HTP142" s="418"/>
      <c r="HTQ142" s="418"/>
      <c r="HTR142" s="418"/>
      <c r="HTS142" s="418"/>
      <c r="HTT142" s="418"/>
      <c r="HTU142" s="418"/>
      <c r="HTV142" s="418"/>
      <c r="HTW142" s="418"/>
      <c r="HTX142" s="418"/>
      <c r="HTY142" s="418"/>
      <c r="HTZ142" s="418"/>
      <c r="HUA142" s="418"/>
      <c r="HUB142" s="418"/>
      <c r="HUC142" s="418"/>
      <c r="HUD142" s="418"/>
      <c r="HUE142" s="418"/>
      <c r="HUF142" s="418"/>
      <c r="HUG142" s="418"/>
      <c r="HUH142" s="418"/>
      <c r="HUI142" s="418"/>
      <c r="HUJ142" s="418"/>
      <c r="HUK142" s="418"/>
      <c r="HUL142" s="418"/>
      <c r="HUM142" s="418"/>
      <c r="HUN142" s="418"/>
      <c r="HUO142" s="418"/>
      <c r="HUP142" s="418"/>
      <c r="HUQ142" s="418"/>
      <c r="HUR142" s="418"/>
      <c r="HUS142" s="418"/>
      <c r="HUT142" s="418"/>
      <c r="HUU142" s="418"/>
      <c r="HUV142" s="418"/>
      <c r="HUW142" s="418"/>
      <c r="HUX142" s="418"/>
      <c r="HUY142" s="418"/>
      <c r="HUZ142" s="418"/>
      <c r="HVA142" s="418"/>
      <c r="HVB142" s="418"/>
      <c r="HVC142" s="418"/>
      <c r="HVD142" s="418"/>
      <c r="HVE142" s="418"/>
      <c r="HVF142" s="418"/>
      <c r="HVG142" s="418"/>
      <c r="HVH142" s="418"/>
      <c r="HVI142" s="418"/>
      <c r="HVJ142" s="418"/>
      <c r="HVK142" s="418"/>
      <c r="HVL142" s="418"/>
      <c r="HVM142" s="418"/>
      <c r="HVN142" s="418"/>
      <c r="HVO142" s="418"/>
      <c r="HVP142" s="418"/>
      <c r="HVQ142" s="418"/>
      <c r="HVR142" s="418"/>
      <c r="HVS142" s="418"/>
      <c r="HVT142" s="418"/>
      <c r="HVU142" s="418"/>
      <c r="HVV142" s="418"/>
      <c r="HVW142" s="418"/>
      <c r="HVX142" s="418"/>
      <c r="HVY142" s="418"/>
      <c r="HVZ142" s="418"/>
      <c r="HWA142" s="418"/>
      <c r="HWB142" s="418"/>
      <c r="HWC142" s="418"/>
      <c r="HWD142" s="418"/>
      <c r="HWE142" s="418"/>
      <c r="HWF142" s="418"/>
      <c r="HWG142" s="418"/>
      <c r="HWH142" s="418"/>
      <c r="HWI142" s="418"/>
      <c r="HWJ142" s="418"/>
      <c r="HWK142" s="418"/>
      <c r="HWL142" s="418"/>
      <c r="HWM142" s="418"/>
      <c r="HWN142" s="418"/>
      <c r="HWO142" s="418"/>
      <c r="HWP142" s="418"/>
      <c r="HWQ142" s="418"/>
      <c r="HWR142" s="418"/>
      <c r="HWS142" s="418"/>
      <c r="HWT142" s="418"/>
      <c r="HWU142" s="418"/>
      <c r="HWV142" s="418"/>
      <c r="HWW142" s="418"/>
      <c r="HWX142" s="418"/>
      <c r="HWY142" s="418"/>
      <c r="HWZ142" s="418"/>
      <c r="HXA142" s="418"/>
      <c r="HXB142" s="418"/>
      <c r="HXC142" s="418"/>
      <c r="HXD142" s="418"/>
      <c r="HXE142" s="418"/>
      <c r="HXF142" s="418"/>
      <c r="HXG142" s="418"/>
      <c r="HXH142" s="418"/>
      <c r="HXI142" s="418"/>
      <c r="HXJ142" s="418"/>
      <c r="HXK142" s="418"/>
      <c r="HXL142" s="418"/>
      <c r="HXM142" s="418"/>
      <c r="HXN142" s="418"/>
      <c r="HXO142" s="418"/>
      <c r="HXP142" s="418"/>
      <c r="HXQ142" s="418"/>
      <c r="HXR142" s="418"/>
      <c r="HXS142" s="418"/>
      <c r="HXT142" s="418"/>
      <c r="HXU142" s="418"/>
      <c r="HXV142" s="418"/>
      <c r="HXW142" s="418"/>
      <c r="HXX142" s="418"/>
      <c r="HXY142" s="418"/>
      <c r="HXZ142" s="418"/>
      <c r="HYA142" s="418"/>
      <c r="HYB142" s="418"/>
      <c r="HYC142" s="418"/>
      <c r="HYD142" s="418"/>
      <c r="HYE142" s="418"/>
      <c r="HYF142" s="418"/>
      <c r="HYG142" s="418"/>
      <c r="HYH142" s="418"/>
      <c r="HYI142" s="418"/>
      <c r="HYJ142" s="418"/>
      <c r="HYK142" s="418"/>
      <c r="HYL142" s="418"/>
      <c r="HYM142" s="418"/>
      <c r="HYN142" s="418"/>
      <c r="HYO142" s="418"/>
      <c r="HYP142" s="418"/>
      <c r="HYQ142" s="418"/>
      <c r="HYR142" s="418"/>
      <c r="HYS142" s="418"/>
      <c r="HYT142" s="418"/>
      <c r="HYU142" s="418"/>
      <c r="HYV142" s="418"/>
      <c r="HYW142" s="418"/>
      <c r="HYX142" s="418"/>
      <c r="HYY142" s="418"/>
      <c r="HYZ142" s="418"/>
      <c r="HZA142" s="418"/>
      <c r="HZB142" s="418"/>
      <c r="HZC142" s="418"/>
      <c r="HZD142" s="418"/>
      <c r="HZE142" s="418"/>
      <c r="HZF142" s="418"/>
      <c r="HZG142" s="418"/>
      <c r="HZH142" s="418"/>
      <c r="HZI142" s="418"/>
      <c r="HZJ142" s="418"/>
      <c r="HZK142" s="418"/>
      <c r="HZL142" s="418"/>
      <c r="HZM142" s="418"/>
      <c r="HZN142" s="418"/>
      <c r="HZO142" s="418"/>
      <c r="HZP142" s="418"/>
      <c r="HZQ142" s="418"/>
      <c r="HZR142" s="418"/>
      <c r="HZS142" s="418"/>
      <c r="HZT142" s="418"/>
      <c r="HZU142" s="418"/>
      <c r="HZV142" s="418"/>
      <c r="HZW142" s="418"/>
      <c r="HZX142" s="418"/>
      <c r="HZY142" s="418"/>
      <c r="HZZ142" s="418"/>
      <c r="IAA142" s="418"/>
      <c r="IAB142" s="418"/>
      <c r="IAC142" s="418"/>
      <c r="IAD142" s="418"/>
      <c r="IAE142" s="418"/>
      <c r="IAF142" s="418"/>
      <c r="IAG142" s="418"/>
      <c r="IAH142" s="418"/>
      <c r="IAI142" s="418"/>
      <c r="IAJ142" s="418"/>
      <c r="IAK142" s="418"/>
      <c r="IAL142" s="418"/>
      <c r="IAM142" s="418"/>
      <c r="IAN142" s="418"/>
      <c r="IAO142" s="418"/>
      <c r="IAP142" s="418"/>
      <c r="IAQ142" s="418"/>
      <c r="IAR142" s="418"/>
      <c r="IAS142" s="418"/>
      <c r="IAT142" s="418"/>
      <c r="IAU142" s="418"/>
      <c r="IAV142" s="418"/>
      <c r="IAW142" s="418"/>
      <c r="IAX142" s="418"/>
      <c r="IAY142" s="418"/>
      <c r="IAZ142" s="418"/>
      <c r="IBA142" s="418"/>
      <c r="IBB142" s="418"/>
      <c r="IBC142" s="418"/>
      <c r="IBD142" s="418"/>
      <c r="IBE142" s="418"/>
      <c r="IBF142" s="418"/>
      <c r="IBG142" s="418"/>
      <c r="IBH142" s="418"/>
      <c r="IBI142" s="418"/>
      <c r="IBJ142" s="418"/>
      <c r="IBK142" s="418"/>
      <c r="IBL142" s="418"/>
      <c r="IBM142" s="418"/>
      <c r="IBN142" s="418"/>
      <c r="IBO142" s="418"/>
      <c r="IBP142" s="418"/>
      <c r="IBQ142" s="418"/>
      <c r="IBR142" s="418"/>
      <c r="IBS142" s="418"/>
      <c r="IBT142" s="418"/>
      <c r="IBU142" s="418"/>
      <c r="IBV142" s="418"/>
      <c r="IBW142" s="418"/>
      <c r="IBX142" s="418"/>
      <c r="IBY142" s="418"/>
      <c r="IBZ142" s="418"/>
      <c r="ICA142" s="418"/>
      <c r="ICB142" s="418"/>
      <c r="ICC142" s="418"/>
      <c r="ICD142" s="418"/>
      <c r="ICE142" s="418"/>
      <c r="ICF142" s="418"/>
      <c r="ICG142" s="418"/>
      <c r="ICH142" s="418"/>
      <c r="ICI142" s="418"/>
      <c r="ICJ142" s="418"/>
      <c r="ICK142" s="418"/>
      <c r="ICL142" s="418"/>
      <c r="ICM142" s="418"/>
      <c r="ICN142" s="418"/>
      <c r="ICO142" s="418"/>
      <c r="ICP142" s="418"/>
      <c r="ICQ142" s="418"/>
      <c r="ICR142" s="418"/>
      <c r="ICS142" s="418"/>
      <c r="ICT142" s="418"/>
      <c r="ICU142" s="418"/>
      <c r="ICV142" s="418"/>
      <c r="ICW142" s="418"/>
      <c r="ICX142" s="418"/>
      <c r="ICY142" s="418"/>
      <c r="ICZ142" s="418"/>
      <c r="IDA142" s="418"/>
      <c r="IDB142" s="418"/>
      <c r="IDC142" s="418"/>
      <c r="IDD142" s="418"/>
      <c r="IDE142" s="418"/>
      <c r="IDF142" s="418"/>
      <c r="IDG142" s="418"/>
      <c r="IDH142" s="418"/>
      <c r="IDI142" s="418"/>
      <c r="IDJ142" s="418"/>
      <c r="IDK142" s="418"/>
      <c r="IDL142" s="418"/>
      <c r="IDM142" s="418"/>
      <c r="IDN142" s="418"/>
      <c r="IDO142" s="418"/>
      <c r="IDP142" s="418"/>
      <c r="IDQ142" s="418"/>
      <c r="IDR142" s="418"/>
      <c r="IDS142" s="418"/>
      <c r="IDT142" s="418"/>
      <c r="IDU142" s="418"/>
      <c r="IDV142" s="418"/>
      <c r="IDW142" s="418"/>
      <c r="IDX142" s="418"/>
      <c r="IDY142" s="418"/>
      <c r="IDZ142" s="418"/>
      <c r="IEA142" s="418"/>
      <c r="IEB142" s="418"/>
      <c r="IEC142" s="418"/>
      <c r="IED142" s="418"/>
      <c r="IEE142" s="418"/>
      <c r="IEF142" s="418"/>
      <c r="IEG142" s="418"/>
      <c r="IEH142" s="418"/>
      <c r="IEI142" s="418"/>
      <c r="IEJ142" s="418"/>
      <c r="IEK142" s="418"/>
      <c r="IEL142" s="418"/>
      <c r="IEM142" s="418"/>
      <c r="IEN142" s="418"/>
      <c r="IEO142" s="418"/>
      <c r="IEP142" s="418"/>
      <c r="IEQ142" s="418"/>
      <c r="IER142" s="418"/>
      <c r="IES142" s="418"/>
      <c r="IET142" s="418"/>
      <c r="IEU142" s="418"/>
      <c r="IEV142" s="418"/>
      <c r="IEW142" s="418"/>
      <c r="IEX142" s="418"/>
      <c r="IEY142" s="418"/>
      <c r="IEZ142" s="418"/>
      <c r="IFA142" s="418"/>
      <c r="IFB142" s="418"/>
      <c r="IFC142" s="418"/>
      <c r="IFD142" s="418"/>
      <c r="IFE142" s="418"/>
      <c r="IFF142" s="418"/>
      <c r="IFG142" s="418"/>
      <c r="IFH142" s="418"/>
      <c r="IFI142" s="418"/>
      <c r="IFJ142" s="418"/>
      <c r="IFK142" s="418"/>
      <c r="IFL142" s="418"/>
      <c r="IFM142" s="418"/>
      <c r="IFN142" s="418"/>
      <c r="IFO142" s="418"/>
      <c r="IFP142" s="418"/>
      <c r="IFQ142" s="418"/>
      <c r="IFR142" s="418"/>
      <c r="IFS142" s="418"/>
      <c r="IFT142" s="418"/>
      <c r="IFU142" s="418"/>
      <c r="IFV142" s="418"/>
      <c r="IFW142" s="418"/>
      <c r="IFX142" s="418"/>
      <c r="IFY142" s="418"/>
      <c r="IFZ142" s="418"/>
      <c r="IGA142" s="418"/>
      <c r="IGB142" s="418"/>
      <c r="IGC142" s="418"/>
      <c r="IGD142" s="418"/>
      <c r="IGE142" s="418"/>
      <c r="IGF142" s="418"/>
      <c r="IGG142" s="418"/>
      <c r="IGH142" s="418"/>
      <c r="IGI142" s="418"/>
      <c r="IGJ142" s="418"/>
      <c r="IGK142" s="418"/>
      <c r="IGL142" s="418"/>
      <c r="IGM142" s="418"/>
      <c r="IGN142" s="418"/>
      <c r="IGO142" s="418"/>
      <c r="IGP142" s="418"/>
      <c r="IGQ142" s="418"/>
      <c r="IGR142" s="418"/>
      <c r="IGS142" s="418"/>
      <c r="IGT142" s="418"/>
      <c r="IGU142" s="418"/>
      <c r="IGV142" s="418"/>
      <c r="IGW142" s="418"/>
      <c r="IGX142" s="418"/>
      <c r="IGY142" s="418"/>
      <c r="IGZ142" s="418"/>
      <c r="IHA142" s="418"/>
      <c r="IHB142" s="418"/>
      <c r="IHC142" s="418"/>
      <c r="IHD142" s="418"/>
      <c r="IHE142" s="418"/>
      <c r="IHF142" s="418"/>
      <c r="IHG142" s="418"/>
      <c r="IHH142" s="418"/>
      <c r="IHI142" s="418"/>
      <c r="IHJ142" s="418"/>
      <c r="IHK142" s="418"/>
      <c r="IHL142" s="418"/>
      <c r="IHM142" s="418"/>
      <c r="IHN142" s="418"/>
      <c r="IHO142" s="418"/>
      <c r="IHP142" s="418"/>
      <c r="IHQ142" s="418"/>
      <c r="IHR142" s="418"/>
      <c r="IHS142" s="418"/>
      <c r="IHT142" s="418"/>
      <c r="IHU142" s="418"/>
      <c r="IHV142" s="418"/>
      <c r="IHW142" s="418"/>
      <c r="IHX142" s="418"/>
      <c r="IHY142" s="418"/>
      <c r="IHZ142" s="418"/>
      <c r="IIA142" s="418"/>
      <c r="IIB142" s="418"/>
      <c r="IIC142" s="418"/>
      <c r="IID142" s="418"/>
      <c r="IIE142" s="418"/>
      <c r="IIF142" s="418"/>
      <c r="IIG142" s="418"/>
      <c r="IIH142" s="418"/>
      <c r="III142" s="418"/>
      <c r="IIJ142" s="418"/>
      <c r="IIK142" s="418"/>
      <c r="IIL142" s="418"/>
      <c r="IIM142" s="418"/>
      <c r="IIN142" s="418"/>
      <c r="IIO142" s="418"/>
      <c r="IIP142" s="418"/>
      <c r="IIQ142" s="418"/>
      <c r="IIR142" s="418"/>
      <c r="IIS142" s="418"/>
      <c r="IIT142" s="418"/>
      <c r="IIU142" s="418"/>
      <c r="IIV142" s="418"/>
      <c r="IIW142" s="418"/>
      <c r="IIX142" s="418"/>
      <c r="IIY142" s="418"/>
      <c r="IIZ142" s="418"/>
      <c r="IJA142" s="418"/>
      <c r="IJB142" s="418"/>
      <c r="IJC142" s="418"/>
      <c r="IJD142" s="418"/>
      <c r="IJE142" s="418"/>
      <c r="IJF142" s="418"/>
      <c r="IJG142" s="418"/>
      <c r="IJH142" s="418"/>
      <c r="IJI142" s="418"/>
      <c r="IJJ142" s="418"/>
      <c r="IJK142" s="418"/>
      <c r="IJL142" s="418"/>
      <c r="IJM142" s="418"/>
      <c r="IJN142" s="418"/>
      <c r="IJO142" s="418"/>
      <c r="IJP142" s="418"/>
      <c r="IJQ142" s="418"/>
      <c r="IJR142" s="418"/>
      <c r="IJS142" s="418"/>
      <c r="IJT142" s="418"/>
      <c r="IJU142" s="418"/>
      <c r="IJV142" s="418"/>
      <c r="IJW142" s="418"/>
      <c r="IJX142" s="418"/>
      <c r="IJY142" s="418"/>
      <c r="IJZ142" s="418"/>
      <c r="IKA142" s="418"/>
      <c r="IKB142" s="418"/>
      <c r="IKC142" s="418"/>
      <c r="IKD142" s="418"/>
      <c r="IKE142" s="418"/>
      <c r="IKF142" s="418"/>
      <c r="IKG142" s="418"/>
      <c r="IKH142" s="418"/>
      <c r="IKI142" s="418"/>
      <c r="IKJ142" s="418"/>
      <c r="IKK142" s="418"/>
      <c r="IKL142" s="418"/>
      <c r="IKM142" s="418"/>
      <c r="IKN142" s="418"/>
      <c r="IKO142" s="418"/>
      <c r="IKP142" s="418"/>
      <c r="IKQ142" s="418"/>
      <c r="IKR142" s="418"/>
      <c r="IKS142" s="418"/>
      <c r="IKT142" s="418"/>
      <c r="IKU142" s="418"/>
      <c r="IKV142" s="418"/>
      <c r="IKW142" s="418"/>
      <c r="IKX142" s="418"/>
      <c r="IKY142" s="418"/>
      <c r="IKZ142" s="418"/>
      <c r="ILA142" s="418"/>
      <c r="ILB142" s="418"/>
      <c r="ILC142" s="418"/>
      <c r="ILD142" s="418"/>
      <c r="ILE142" s="418"/>
      <c r="ILF142" s="418"/>
      <c r="ILG142" s="418"/>
      <c r="ILH142" s="418"/>
      <c r="ILI142" s="418"/>
      <c r="ILJ142" s="418"/>
      <c r="ILK142" s="418"/>
      <c r="ILL142" s="418"/>
      <c r="ILM142" s="418"/>
      <c r="ILN142" s="418"/>
      <c r="ILO142" s="418"/>
      <c r="ILP142" s="418"/>
      <c r="ILQ142" s="418"/>
      <c r="ILR142" s="418"/>
      <c r="ILS142" s="418"/>
      <c r="ILT142" s="418"/>
      <c r="ILU142" s="418"/>
      <c r="ILV142" s="418"/>
      <c r="ILW142" s="418"/>
      <c r="ILX142" s="418"/>
      <c r="ILY142" s="418"/>
      <c r="ILZ142" s="418"/>
      <c r="IMA142" s="418"/>
      <c r="IMB142" s="418"/>
      <c r="IMC142" s="418"/>
      <c r="IMD142" s="418"/>
      <c r="IME142" s="418"/>
      <c r="IMF142" s="418"/>
      <c r="IMG142" s="418"/>
      <c r="IMH142" s="418"/>
      <c r="IMI142" s="418"/>
      <c r="IMJ142" s="418"/>
      <c r="IMK142" s="418"/>
      <c r="IML142" s="418"/>
      <c r="IMM142" s="418"/>
      <c r="IMN142" s="418"/>
      <c r="IMO142" s="418"/>
      <c r="IMP142" s="418"/>
      <c r="IMQ142" s="418"/>
      <c r="IMR142" s="418"/>
      <c r="IMS142" s="418"/>
      <c r="IMT142" s="418"/>
      <c r="IMU142" s="418"/>
      <c r="IMV142" s="418"/>
      <c r="IMW142" s="418"/>
      <c r="IMX142" s="418"/>
      <c r="IMY142" s="418"/>
      <c r="IMZ142" s="418"/>
      <c r="INA142" s="418"/>
      <c r="INB142" s="418"/>
      <c r="INC142" s="418"/>
      <c r="IND142" s="418"/>
      <c r="INE142" s="418"/>
      <c r="INF142" s="418"/>
      <c r="ING142" s="418"/>
      <c r="INH142" s="418"/>
      <c r="INI142" s="418"/>
      <c r="INJ142" s="418"/>
      <c r="INK142" s="418"/>
      <c r="INL142" s="418"/>
      <c r="INM142" s="418"/>
      <c r="INN142" s="418"/>
      <c r="INO142" s="418"/>
      <c r="INP142" s="418"/>
      <c r="INQ142" s="418"/>
      <c r="INR142" s="418"/>
      <c r="INS142" s="418"/>
      <c r="INT142" s="418"/>
      <c r="INU142" s="418"/>
      <c r="INV142" s="418"/>
      <c r="INW142" s="418"/>
      <c r="INX142" s="418"/>
      <c r="INY142" s="418"/>
      <c r="INZ142" s="418"/>
      <c r="IOA142" s="418"/>
      <c r="IOB142" s="418"/>
      <c r="IOC142" s="418"/>
      <c r="IOD142" s="418"/>
      <c r="IOE142" s="418"/>
      <c r="IOF142" s="418"/>
      <c r="IOG142" s="418"/>
      <c r="IOH142" s="418"/>
      <c r="IOI142" s="418"/>
      <c r="IOJ142" s="418"/>
      <c r="IOK142" s="418"/>
      <c r="IOL142" s="418"/>
      <c r="IOM142" s="418"/>
      <c r="ION142" s="418"/>
      <c r="IOO142" s="418"/>
      <c r="IOP142" s="418"/>
      <c r="IOQ142" s="418"/>
      <c r="IOR142" s="418"/>
      <c r="IOS142" s="418"/>
      <c r="IOT142" s="418"/>
      <c r="IOU142" s="418"/>
      <c r="IOV142" s="418"/>
      <c r="IOW142" s="418"/>
      <c r="IOX142" s="418"/>
      <c r="IOY142" s="418"/>
      <c r="IOZ142" s="418"/>
      <c r="IPA142" s="418"/>
      <c r="IPB142" s="418"/>
      <c r="IPC142" s="418"/>
      <c r="IPD142" s="418"/>
      <c r="IPE142" s="418"/>
      <c r="IPF142" s="418"/>
      <c r="IPG142" s="418"/>
      <c r="IPH142" s="418"/>
      <c r="IPI142" s="418"/>
      <c r="IPJ142" s="418"/>
      <c r="IPK142" s="418"/>
      <c r="IPL142" s="418"/>
      <c r="IPM142" s="418"/>
      <c r="IPN142" s="418"/>
      <c r="IPO142" s="418"/>
      <c r="IPP142" s="418"/>
      <c r="IPQ142" s="418"/>
      <c r="IPR142" s="418"/>
      <c r="IPS142" s="418"/>
      <c r="IPT142" s="418"/>
      <c r="IPU142" s="418"/>
      <c r="IPV142" s="418"/>
      <c r="IPW142" s="418"/>
      <c r="IPX142" s="418"/>
      <c r="IPY142" s="418"/>
      <c r="IPZ142" s="418"/>
      <c r="IQA142" s="418"/>
      <c r="IQB142" s="418"/>
      <c r="IQC142" s="418"/>
      <c r="IQD142" s="418"/>
      <c r="IQE142" s="418"/>
      <c r="IQF142" s="418"/>
      <c r="IQG142" s="418"/>
      <c r="IQH142" s="418"/>
      <c r="IQI142" s="418"/>
      <c r="IQJ142" s="418"/>
      <c r="IQK142" s="418"/>
      <c r="IQL142" s="418"/>
      <c r="IQM142" s="418"/>
      <c r="IQN142" s="418"/>
      <c r="IQO142" s="418"/>
      <c r="IQP142" s="418"/>
      <c r="IQQ142" s="418"/>
      <c r="IQR142" s="418"/>
      <c r="IQS142" s="418"/>
      <c r="IQT142" s="418"/>
      <c r="IQU142" s="418"/>
      <c r="IQV142" s="418"/>
      <c r="IQW142" s="418"/>
      <c r="IQX142" s="418"/>
      <c r="IQY142" s="418"/>
      <c r="IQZ142" s="418"/>
      <c r="IRA142" s="418"/>
      <c r="IRB142" s="418"/>
      <c r="IRC142" s="418"/>
      <c r="IRD142" s="418"/>
      <c r="IRE142" s="418"/>
      <c r="IRF142" s="418"/>
      <c r="IRG142" s="418"/>
      <c r="IRH142" s="418"/>
      <c r="IRI142" s="418"/>
      <c r="IRJ142" s="418"/>
      <c r="IRK142" s="418"/>
      <c r="IRL142" s="418"/>
      <c r="IRM142" s="418"/>
      <c r="IRN142" s="418"/>
      <c r="IRO142" s="418"/>
      <c r="IRP142" s="418"/>
      <c r="IRQ142" s="418"/>
      <c r="IRR142" s="418"/>
      <c r="IRS142" s="418"/>
      <c r="IRT142" s="418"/>
      <c r="IRU142" s="418"/>
      <c r="IRV142" s="418"/>
      <c r="IRW142" s="418"/>
      <c r="IRX142" s="418"/>
      <c r="IRY142" s="418"/>
      <c r="IRZ142" s="418"/>
      <c r="ISA142" s="418"/>
      <c r="ISB142" s="418"/>
      <c r="ISC142" s="418"/>
      <c r="ISD142" s="418"/>
      <c r="ISE142" s="418"/>
      <c r="ISF142" s="418"/>
      <c r="ISG142" s="418"/>
      <c r="ISH142" s="418"/>
      <c r="ISI142" s="418"/>
      <c r="ISJ142" s="418"/>
      <c r="ISK142" s="418"/>
      <c r="ISL142" s="418"/>
      <c r="ISM142" s="418"/>
      <c r="ISN142" s="418"/>
      <c r="ISO142" s="418"/>
      <c r="ISP142" s="418"/>
      <c r="ISQ142" s="418"/>
      <c r="ISR142" s="418"/>
      <c r="ISS142" s="418"/>
      <c r="IST142" s="418"/>
      <c r="ISU142" s="418"/>
      <c r="ISV142" s="418"/>
      <c r="ISW142" s="418"/>
      <c r="ISX142" s="418"/>
      <c r="ISY142" s="418"/>
      <c r="ISZ142" s="418"/>
      <c r="ITA142" s="418"/>
      <c r="ITB142" s="418"/>
      <c r="ITC142" s="418"/>
      <c r="ITD142" s="418"/>
      <c r="ITE142" s="418"/>
      <c r="ITF142" s="418"/>
      <c r="ITG142" s="418"/>
      <c r="ITH142" s="418"/>
      <c r="ITI142" s="418"/>
      <c r="ITJ142" s="418"/>
      <c r="ITK142" s="418"/>
      <c r="ITL142" s="418"/>
      <c r="ITM142" s="418"/>
      <c r="ITN142" s="418"/>
      <c r="ITO142" s="418"/>
      <c r="ITP142" s="418"/>
      <c r="ITQ142" s="418"/>
      <c r="ITR142" s="418"/>
      <c r="ITS142" s="418"/>
      <c r="ITT142" s="418"/>
      <c r="ITU142" s="418"/>
      <c r="ITV142" s="418"/>
      <c r="ITW142" s="418"/>
      <c r="ITX142" s="418"/>
      <c r="ITY142" s="418"/>
      <c r="ITZ142" s="418"/>
      <c r="IUA142" s="418"/>
      <c r="IUB142" s="418"/>
      <c r="IUC142" s="418"/>
      <c r="IUD142" s="418"/>
      <c r="IUE142" s="418"/>
      <c r="IUF142" s="418"/>
      <c r="IUG142" s="418"/>
      <c r="IUH142" s="418"/>
      <c r="IUI142" s="418"/>
      <c r="IUJ142" s="418"/>
      <c r="IUK142" s="418"/>
      <c r="IUL142" s="418"/>
      <c r="IUM142" s="418"/>
      <c r="IUN142" s="418"/>
      <c r="IUO142" s="418"/>
      <c r="IUP142" s="418"/>
      <c r="IUQ142" s="418"/>
      <c r="IUR142" s="418"/>
      <c r="IUS142" s="418"/>
      <c r="IUT142" s="418"/>
      <c r="IUU142" s="418"/>
      <c r="IUV142" s="418"/>
      <c r="IUW142" s="418"/>
      <c r="IUX142" s="418"/>
      <c r="IUY142" s="418"/>
      <c r="IUZ142" s="418"/>
      <c r="IVA142" s="418"/>
      <c r="IVB142" s="418"/>
      <c r="IVC142" s="418"/>
      <c r="IVD142" s="418"/>
      <c r="IVE142" s="418"/>
      <c r="IVF142" s="418"/>
      <c r="IVG142" s="418"/>
      <c r="IVH142" s="418"/>
      <c r="IVI142" s="418"/>
      <c r="IVJ142" s="418"/>
      <c r="IVK142" s="418"/>
      <c r="IVL142" s="418"/>
      <c r="IVM142" s="418"/>
      <c r="IVN142" s="418"/>
      <c r="IVO142" s="418"/>
      <c r="IVP142" s="418"/>
      <c r="IVQ142" s="418"/>
      <c r="IVR142" s="418"/>
      <c r="IVS142" s="418"/>
      <c r="IVT142" s="418"/>
      <c r="IVU142" s="418"/>
      <c r="IVV142" s="418"/>
      <c r="IVW142" s="418"/>
      <c r="IVX142" s="418"/>
      <c r="IVY142" s="418"/>
      <c r="IVZ142" s="418"/>
      <c r="IWA142" s="418"/>
      <c r="IWB142" s="418"/>
      <c r="IWC142" s="418"/>
      <c r="IWD142" s="418"/>
      <c r="IWE142" s="418"/>
      <c r="IWF142" s="418"/>
      <c r="IWG142" s="418"/>
      <c r="IWH142" s="418"/>
      <c r="IWI142" s="418"/>
      <c r="IWJ142" s="418"/>
      <c r="IWK142" s="418"/>
      <c r="IWL142" s="418"/>
      <c r="IWM142" s="418"/>
      <c r="IWN142" s="418"/>
      <c r="IWO142" s="418"/>
      <c r="IWP142" s="418"/>
      <c r="IWQ142" s="418"/>
      <c r="IWR142" s="418"/>
      <c r="IWS142" s="418"/>
      <c r="IWT142" s="418"/>
      <c r="IWU142" s="418"/>
      <c r="IWV142" s="418"/>
      <c r="IWW142" s="418"/>
      <c r="IWX142" s="418"/>
      <c r="IWY142" s="418"/>
      <c r="IWZ142" s="418"/>
      <c r="IXA142" s="418"/>
      <c r="IXB142" s="418"/>
      <c r="IXC142" s="418"/>
      <c r="IXD142" s="418"/>
      <c r="IXE142" s="418"/>
      <c r="IXF142" s="418"/>
      <c r="IXG142" s="418"/>
      <c r="IXH142" s="418"/>
      <c r="IXI142" s="418"/>
      <c r="IXJ142" s="418"/>
      <c r="IXK142" s="418"/>
      <c r="IXL142" s="418"/>
      <c r="IXM142" s="418"/>
      <c r="IXN142" s="418"/>
      <c r="IXO142" s="418"/>
      <c r="IXP142" s="418"/>
      <c r="IXQ142" s="418"/>
      <c r="IXR142" s="418"/>
      <c r="IXS142" s="418"/>
      <c r="IXT142" s="418"/>
      <c r="IXU142" s="418"/>
      <c r="IXV142" s="418"/>
      <c r="IXW142" s="418"/>
      <c r="IXX142" s="418"/>
      <c r="IXY142" s="418"/>
      <c r="IXZ142" s="418"/>
      <c r="IYA142" s="418"/>
      <c r="IYB142" s="418"/>
      <c r="IYC142" s="418"/>
      <c r="IYD142" s="418"/>
      <c r="IYE142" s="418"/>
      <c r="IYF142" s="418"/>
      <c r="IYG142" s="418"/>
      <c r="IYH142" s="418"/>
      <c r="IYI142" s="418"/>
      <c r="IYJ142" s="418"/>
      <c r="IYK142" s="418"/>
      <c r="IYL142" s="418"/>
      <c r="IYM142" s="418"/>
      <c r="IYN142" s="418"/>
      <c r="IYO142" s="418"/>
      <c r="IYP142" s="418"/>
      <c r="IYQ142" s="418"/>
      <c r="IYR142" s="418"/>
      <c r="IYS142" s="418"/>
      <c r="IYT142" s="418"/>
      <c r="IYU142" s="418"/>
      <c r="IYV142" s="418"/>
      <c r="IYW142" s="418"/>
      <c r="IYX142" s="418"/>
      <c r="IYY142" s="418"/>
      <c r="IYZ142" s="418"/>
      <c r="IZA142" s="418"/>
      <c r="IZB142" s="418"/>
      <c r="IZC142" s="418"/>
      <c r="IZD142" s="418"/>
      <c r="IZE142" s="418"/>
      <c r="IZF142" s="418"/>
      <c r="IZG142" s="418"/>
      <c r="IZH142" s="418"/>
      <c r="IZI142" s="418"/>
      <c r="IZJ142" s="418"/>
      <c r="IZK142" s="418"/>
      <c r="IZL142" s="418"/>
      <c r="IZM142" s="418"/>
      <c r="IZN142" s="418"/>
      <c r="IZO142" s="418"/>
      <c r="IZP142" s="418"/>
      <c r="IZQ142" s="418"/>
      <c r="IZR142" s="418"/>
      <c r="IZS142" s="418"/>
      <c r="IZT142" s="418"/>
      <c r="IZU142" s="418"/>
      <c r="IZV142" s="418"/>
      <c r="IZW142" s="418"/>
      <c r="IZX142" s="418"/>
      <c r="IZY142" s="418"/>
      <c r="IZZ142" s="418"/>
      <c r="JAA142" s="418"/>
      <c r="JAB142" s="418"/>
      <c r="JAC142" s="418"/>
      <c r="JAD142" s="418"/>
      <c r="JAE142" s="418"/>
      <c r="JAF142" s="418"/>
      <c r="JAG142" s="418"/>
      <c r="JAH142" s="418"/>
      <c r="JAI142" s="418"/>
      <c r="JAJ142" s="418"/>
      <c r="JAK142" s="418"/>
      <c r="JAL142" s="418"/>
      <c r="JAM142" s="418"/>
      <c r="JAN142" s="418"/>
      <c r="JAO142" s="418"/>
      <c r="JAP142" s="418"/>
      <c r="JAQ142" s="418"/>
      <c r="JAR142" s="418"/>
      <c r="JAS142" s="418"/>
      <c r="JAT142" s="418"/>
      <c r="JAU142" s="418"/>
      <c r="JAV142" s="418"/>
      <c r="JAW142" s="418"/>
      <c r="JAX142" s="418"/>
      <c r="JAY142" s="418"/>
      <c r="JAZ142" s="418"/>
      <c r="JBA142" s="418"/>
      <c r="JBB142" s="418"/>
      <c r="JBC142" s="418"/>
      <c r="JBD142" s="418"/>
      <c r="JBE142" s="418"/>
      <c r="JBF142" s="418"/>
      <c r="JBG142" s="418"/>
      <c r="JBH142" s="418"/>
      <c r="JBI142" s="418"/>
      <c r="JBJ142" s="418"/>
      <c r="JBK142" s="418"/>
      <c r="JBL142" s="418"/>
      <c r="JBM142" s="418"/>
      <c r="JBN142" s="418"/>
      <c r="JBO142" s="418"/>
      <c r="JBP142" s="418"/>
      <c r="JBQ142" s="418"/>
      <c r="JBR142" s="418"/>
      <c r="JBS142" s="418"/>
      <c r="JBT142" s="418"/>
      <c r="JBU142" s="418"/>
      <c r="JBV142" s="418"/>
      <c r="JBW142" s="418"/>
      <c r="JBX142" s="418"/>
      <c r="JBY142" s="418"/>
      <c r="JBZ142" s="418"/>
      <c r="JCA142" s="418"/>
      <c r="JCB142" s="418"/>
      <c r="JCC142" s="418"/>
      <c r="JCD142" s="418"/>
      <c r="JCE142" s="418"/>
      <c r="JCF142" s="418"/>
      <c r="JCG142" s="418"/>
      <c r="JCH142" s="418"/>
      <c r="JCI142" s="418"/>
      <c r="JCJ142" s="418"/>
      <c r="JCK142" s="418"/>
      <c r="JCL142" s="418"/>
      <c r="JCM142" s="418"/>
      <c r="JCN142" s="418"/>
      <c r="JCO142" s="418"/>
      <c r="JCP142" s="418"/>
      <c r="JCQ142" s="418"/>
      <c r="JCR142" s="418"/>
      <c r="JCS142" s="418"/>
      <c r="JCT142" s="418"/>
      <c r="JCU142" s="418"/>
      <c r="JCV142" s="418"/>
      <c r="JCW142" s="418"/>
      <c r="JCX142" s="418"/>
      <c r="JCY142" s="418"/>
      <c r="JCZ142" s="418"/>
      <c r="JDA142" s="418"/>
      <c r="JDB142" s="418"/>
      <c r="JDC142" s="418"/>
      <c r="JDD142" s="418"/>
      <c r="JDE142" s="418"/>
      <c r="JDF142" s="418"/>
      <c r="JDG142" s="418"/>
      <c r="JDH142" s="418"/>
      <c r="JDI142" s="418"/>
      <c r="JDJ142" s="418"/>
      <c r="JDK142" s="418"/>
      <c r="JDL142" s="418"/>
      <c r="JDM142" s="418"/>
      <c r="JDN142" s="418"/>
      <c r="JDO142" s="418"/>
      <c r="JDP142" s="418"/>
      <c r="JDQ142" s="418"/>
      <c r="JDR142" s="418"/>
      <c r="JDS142" s="418"/>
      <c r="JDT142" s="418"/>
      <c r="JDU142" s="418"/>
      <c r="JDV142" s="418"/>
      <c r="JDW142" s="418"/>
      <c r="JDX142" s="418"/>
      <c r="JDY142" s="418"/>
      <c r="JDZ142" s="418"/>
      <c r="JEA142" s="418"/>
      <c r="JEB142" s="418"/>
      <c r="JEC142" s="418"/>
      <c r="JED142" s="418"/>
      <c r="JEE142" s="418"/>
      <c r="JEF142" s="418"/>
      <c r="JEG142" s="418"/>
      <c r="JEH142" s="418"/>
      <c r="JEI142" s="418"/>
      <c r="JEJ142" s="418"/>
      <c r="JEK142" s="418"/>
      <c r="JEL142" s="418"/>
      <c r="JEM142" s="418"/>
      <c r="JEN142" s="418"/>
      <c r="JEO142" s="418"/>
      <c r="JEP142" s="418"/>
      <c r="JEQ142" s="418"/>
      <c r="JER142" s="418"/>
      <c r="JES142" s="418"/>
      <c r="JET142" s="418"/>
      <c r="JEU142" s="418"/>
      <c r="JEV142" s="418"/>
      <c r="JEW142" s="418"/>
      <c r="JEX142" s="418"/>
      <c r="JEY142" s="418"/>
      <c r="JEZ142" s="418"/>
      <c r="JFA142" s="418"/>
      <c r="JFB142" s="418"/>
      <c r="JFC142" s="418"/>
      <c r="JFD142" s="418"/>
      <c r="JFE142" s="418"/>
      <c r="JFF142" s="418"/>
      <c r="JFG142" s="418"/>
      <c r="JFH142" s="418"/>
      <c r="JFI142" s="418"/>
      <c r="JFJ142" s="418"/>
      <c r="JFK142" s="418"/>
      <c r="JFL142" s="418"/>
      <c r="JFM142" s="418"/>
      <c r="JFN142" s="418"/>
      <c r="JFO142" s="418"/>
      <c r="JFP142" s="418"/>
      <c r="JFQ142" s="418"/>
      <c r="JFR142" s="418"/>
      <c r="JFS142" s="418"/>
      <c r="JFT142" s="418"/>
      <c r="JFU142" s="418"/>
      <c r="JFV142" s="418"/>
      <c r="JFW142" s="418"/>
      <c r="JFX142" s="418"/>
      <c r="JFY142" s="418"/>
      <c r="JFZ142" s="418"/>
      <c r="JGA142" s="418"/>
      <c r="JGB142" s="418"/>
      <c r="JGC142" s="418"/>
      <c r="JGD142" s="418"/>
      <c r="JGE142" s="418"/>
      <c r="JGF142" s="418"/>
      <c r="JGG142" s="418"/>
      <c r="JGH142" s="418"/>
      <c r="JGI142" s="418"/>
      <c r="JGJ142" s="418"/>
      <c r="JGK142" s="418"/>
      <c r="JGL142" s="418"/>
      <c r="JGM142" s="418"/>
      <c r="JGN142" s="418"/>
      <c r="JGO142" s="418"/>
      <c r="JGP142" s="418"/>
      <c r="JGQ142" s="418"/>
      <c r="JGR142" s="418"/>
      <c r="JGS142" s="418"/>
      <c r="JGT142" s="418"/>
      <c r="JGU142" s="418"/>
      <c r="JGV142" s="418"/>
      <c r="JGW142" s="418"/>
      <c r="JGX142" s="418"/>
      <c r="JGY142" s="418"/>
      <c r="JGZ142" s="418"/>
      <c r="JHA142" s="418"/>
      <c r="JHB142" s="418"/>
      <c r="JHC142" s="418"/>
      <c r="JHD142" s="418"/>
      <c r="JHE142" s="418"/>
      <c r="JHF142" s="418"/>
      <c r="JHG142" s="418"/>
      <c r="JHH142" s="418"/>
      <c r="JHI142" s="418"/>
      <c r="JHJ142" s="418"/>
      <c r="JHK142" s="418"/>
      <c r="JHL142" s="418"/>
      <c r="JHM142" s="418"/>
      <c r="JHN142" s="418"/>
      <c r="JHO142" s="418"/>
      <c r="JHP142" s="418"/>
      <c r="JHQ142" s="418"/>
      <c r="JHR142" s="418"/>
      <c r="JHS142" s="418"/>
      <c r="JHT142" s="418"/>
      <c r="JHU142" s="418"/>
      <c r="JHV142" s="418"/>
      <c r="JHW142" s="418"/>
      <c r="JHX142" s="418"/>
      <c r="JHY142" s="418"/>
      <c r="JHZ142" s="418"/>
      <c r="JIA142" s="418"/>
      <c r="JIB142" s="418"/>
      <c r="JIC142" s="418"/>
      <c r="JID142" s="418"/>
      <c r="JIE142" s="418"/>
      <c r="JIF142" s="418"/>
      <c r="JIG142" s="418"/>
      <c r="JIH142" s="418"/>
      <c r="JII142" s="418"/>
      <c r="JIJ142" s="418"/>
      <c r="JIK142" s="418"/>
      <c r="JIL142" s="418"/>
      <c r="JIM142" s="418"/>
      <c r="JIN142" s="418"/>
      <c r="JIO142" s="418"/>
      <c r="JIP142" s="418"/>
      <c r="JIQ142" s="418"/>
      <c r="JIR142" s="418"/>
      <c r="JIS142" s="418"/>
      <c r="JIT142" s="418"/>
      <c r="JIU142" s="418"/>
      <c r="JIV142" s="418"/>
      <c r="JIW142" s="418"/>
      <c r="JIX142" s="418"/>
      <c r="JIY142" s="418"/>
      <c r="JIZ142" s="418"/>
      <c r="JJA142" s="418"/>
      <c r="JJB142" s="418"/>
      <c r="JJC142" s="418"/>
      <c r="JJD142" s="418"/>
      <c r="JJE142" s="418"/>
      <c r="JJF142" s="418"/>
      <c r="JJG142" s="418"/>
      <c r="JJH142" s="418"/>
      <c r="JJI142" s="418"/>
      <c r="JJJ142" s="418"/>
      <c r="JJK142" s="418"/>
      <c r="JJL142" s="418"/>
      <c r="JJM142" s="418"/>
      <c r="JJN142" s="418"/>
      <c r="JJO142" s="418"/>
      <c r="JJP142" s="418"/>
      <c r="JJQ142" s="418"/>
      <c r="JJR142" s="418"/>
      <c r="JJS142" s="418"/>
      <c r="JJT142" s="418"/>
      <c r="JJU142" s="418"/>
      <c r="JJV142" s="418"/>
      <c r="JJW142" s="418"/>
      <c r="JJX142" s="418"/>
      <c r="JJY142" s="418"/>
      <c r="JJZ142" s="418"/>
      <c r="JKA142" s="418"/>
      <c r="JKB142" s="418"/>
      <c r="JKC142" s="418"/>
      <c r="JKD142" s="418"/>
      <c r="JKE142" s="418"/>
      <c r="JKF142" s="418"/>
      <c r="JKG142" s="418"/>
      <c r="JKH142" s="418"/>
      <c r="JKI142" s="418"/>
      <c r="JKJ142" s="418"/>
      <c r="JKK142" s="418"/>
      <c r="JKL142" s="418"/>
      <c r="JKM142" s="418"/>
      <c r="JKN142" s="418"/>
      <c r="JKO142" s="418"/>
      <c r="JKP142" s="418"/>
      <c r="JKQ142" s="418"/>
      <c r="JKR142" s="418"/>
      <c r="JKS142" s="418"/>
      <c r="JKT142" s="418"/>
      <c r="JKU142" s="418"/>
      <c r="JKV142" s="418"/>
      <c r="JKW142" s="418"/>
      <c r="JKX142" s="418"/>
      <c r="JKY142" s="418"/>
      <c r="JKZ142" s="418"/>
      <c r="JLA142" s="418"/>
      <c r="JLB142" s="418"/>
      <c r="JLC142" s="418"/>
      <c r="JLD142" s="418"/>
      <c r="JLE142" s="418"/>
      <c r="JLF142" s="418"/>
      <c r="JLG142" s="418"/>
      <c r="JLH142" s="418"/>
      <c r="JLI142" s="418"/>
      <c r="JLJ142" s="418"/>
      <c r="JLK142" s="418"/>
      <c r="JLL142" s="418"/>
      <c r="JLM142" s="418"/>
      <c r="JLN142" s="418"/>
      <c r="JLO142" s="418"/>
      <c r="JLP142" s="418"/>
      <c r="JLQ142" s="418"/>
      <c r="JLR142" s="418"/>
      <c r="JLS142" s="418"/>
      <c r="JLT142" s="418"/>
      <c r="JLU142" s="418"/>
      <c r="JLV142" s="418"/>
      <c r="JLW142" s="418"/>
      <c r="JLX142" s="418"/>
      <c r="JLY142" s="418"/>
      <c r="JLZ142" s="418"/>
      <c r="JMA142" s="418"/>
      <c r="JMB142" s="418"/>
      <c r="JMC142" s="418"/>
      <c r="JMD142" s="418"/>
      <c r="JME142" s="418"/>
      <c r="JMF142" s="418"/>
      <c r="JMG142" s="418"/>
      <c r="JMH142" s="418"/>
      <c r="JMI142" s="418"/>
      <c r="JMJ142" s="418"/>
      <c r="JMK142" s="418"/>
      <c r="JML142" s="418"/>
      <c r="JMM142" s="418"/>
      <c r="JMN142" s="418"/>
      <c r="JMO142" s="418"/>
      <c r="JMP142" s="418"/>
      <c r="JMQ142" s="418"/>
      <c r="JMR142" s="418"/>
      <c r="JMS142" s="418"/>
      <c r="JMT142" s="418"/>
      <c r="JMU142" s="418"/>
      <c r="JMV142" s="418"/>
      <c r="JMW142" s="418"/>
      <c r="JMX142" s="418"/>
      <c r="JMY142" s="418"/>
      <c r="JMZ142" s="418"/>
      <c r="JNA142" s="418"/>
      <c r="JNB142" s="418"/>
      <c r="JNC142" s="418"/>
      <c r="JND142" s="418"/>
      <c r="JNE142" s="418"/>
      <c r="JNF142" s="418"/>
      <c r="JNG142" s="418"/>
      <c r="JNH142" s="418"/>
      <c r="JNI142" s="418"/>
      <c r="JNJ142" s="418"/>
      <c r="JNK142" s="418"/>
      <c r="JNL142" s="418"/>
      <c r="JNM142" s="418"/>
      <c r="JNN142" s="418"/>
      <c r="JNO142" s="418"/>
      <c r="JNP142" s="418"/>
      <c r="JNQ142" s="418"/>
      <c r="JNR142" s="418"/>
      <c r="JNS142" s="418"/>
      <c r="JNT142" s="418"/>
      <c r="JNU142" s="418"/>
      <c r="JNV142" s="418"/>
      <c r="JNW142" s="418"/>
      <c r="JNX142" s="418"/>
      <c r="JNY142" s="418"/>
      <c r="JNZ142" s="418"/>
      <c r="JOA142" s="418"/>
      <c r="JOB142" s="418"/>
      <c r="JOC142" s="418"/>
      <c r="JOD142" s="418"/>
      <c r="JOE142" s="418"/>
      <c r="JOF142" s="418"/>
      <c r="JOG142" s="418"/>
      <c r="JOH142" s="418"/>
      <c r="JOI142" s="418"/>
      <c r="JOJ142" s="418"/>
      <c r="JOK142" s="418"/>
      <c r="JOL142" s="418"/>
      <c r="JOM142" s="418"/>
      <c r="JON142" s="418"/>
      <c r="JOO142" s="418"/>
      <c r="JOP142" s="418"/>
      <c r="JOQ142" s="418"/>
      <c r="JOR142" s="418"/>
      <c r="JOS142" s="418"/>
      <c r="JOT142" s="418"/>
      <c r="JOU142" s="418"/>
      <c r="JOV142" s="418"/>
      <c r="JOW142" s="418"/>
      <c r="JOX142" s="418"/>
      <c r="JOY142" s="418"/>
      <c r="JOZ142" s="418"/>
      <c r="JPA142" s="418"/>
      <c r="JPB142" s="418"/>
      <c r="JPC142" s="418"/>
      <c r="JPD142" s="418"/>
      <c r="JPE142" s="418"/>
      <c r="JPF142" s="418"/>
      <c r="JPG142" s="418"/>
      <c r="JPH142" s="418"/>
      <c r="JPI142" s="418"/>
      <c r="JPJ142" s="418"/>
      <c r="JPK142" s="418"/>
      <c r="JPL142" s="418"/>
      <c r="JPM142" s="418"/>
      <c r="JPN142" s="418"/>
      <c r="JPO142" s="418"/>
      <c r="JPP142" s="418"/>
      <c r="JPQ142" s="418"/>
      <c r="JPR142" s="418"/>
      <c r="JPS142" s="418"/>
      <c r="JPT142" s="418"/>
      <c r="JPU142" s="418"/>
      <c r="JPV142" s="418"/>
      <c r="JPW142" s="418"/>
      <c r="JPX142" s="418"/>
      <c r="JPY142" s="418"/>
      <c r="JPZ142" s="418"/>
      <c r="JQA142" s="418"/>
      <c r="JQB142" s="418"/>
      <c r="JQC142" s="418"/>
      <c r="JQD142" s="418"/>
      <c r="JQE142" s="418"/>
      <c r="JQF142" s="418"/>
      <c r="JQG142" s="418"/>
      <c r="JQH142" s="418"/>
      <c r="JQI142" s="418"/>
      <c r="JQJ142" s="418"/>
      <c r="JQK142" s="418"/>
      <c r="JQL142" s="418"/>
      <c r="JQM142" s="418"/>
      <c r="JQN142" s="418"/>
      <c r="JQO142" s="418"/>
      <c r="JQP142" s="418"/>
      <c r="JQQ142" s="418"/>
      <c r="JQR142" s="418"/>
      <c r="JQS142" s="418"/>
      <c r="JQT142" s="418"/>
      <c r="JQU142" s="418"/>
      <c r="JQV142" s="418"/>
      <c r="JQW142" s="418"/>
      <c r="JQX142" s="418"/>
      <c r="JQY142" s="418"/>
      <c r="JQZ142" s="418"/>
      <c r="JRA142" s="418"/>
      <c r="JRB142" s="418"/>
      <c r="JRC142" s="418"/>
      <c r="JRD142" s="418"/>
      <c r="JRE142" s="418"/>
      <c r="JRF142" s="418"/>
      <c r="JRG142" s="418"/>
      <c r="JRH142" s="418"/>
      <c r="JRI142" s="418"/>
      <c r="JRJ142" s="418"/>
      <c r="JRK142" s="418"/>
      <c r="JRL142" s="418"/>
      <c r="JRM142" s="418"/>
      <c r="JRN142" s="418"/>
      <c r="JRO142" s="418"/>
      <c r="JRP142" s="418"/>
      <c r="JRQ142" s="418"/>
      <c r="JRR142" s="418"/>
      <c r="JRS142" s="418"/>
      <c r="JRT142" s="418"/>
      <c r="JRU142" s="418"/>
      <c r="JRV142" s="418"/>
      <c r="JRW142" s="418"/>
      <c r="JRX142" s="418"/>
      <c r="JRY142" s="418"/>
      <c r="JRZ142" s="418"/>
      <c r="JSA142" s="418"/>
      <c r="JSB142" s="418"/>
      <c r="JSC142" s="418"/>
      <c r="JSD142" s="418"/>
      <c r="JSE142" s="418"/>
      <c r="JSF142" s="418"/>
      <c r="JSG142" s="418"/>
      <c r="JSH142" s="418"/>
      <c r="JSI142" s="418"/>
      <c r="JSJ142" s="418"/>
      <c r="JSK142" s="418"/>
      <c r="JSL142" s="418"/>
      <c r="JSM142" s="418"/>
      <c r="JSN142" s="418"/>
      <c r="JSO142" s="418"/>
      <c r="JSP142" s="418"/>
      <c r="JSQ142" s="418"/>
      <c r="JSR142" s="418"/>
      <c r="JSS142" s="418"/>
      <c r="JST142" s="418"/>
      <c r="JSU142" s="418"/>
      <c r="JSV142" s="418"/>
      <c r="JSW142" s="418"/>
      <c r="JSX142" s="418"/>
      <c r="JSY142" s="418"/>
      <c r="JSZ142" s="418"/>
      <c r="JTA142" s="418"/>
      <c r="JTB142" s="418"/>
      <c r="JTC142" s="418"/>
      <c r="JTD142" s="418"/>
      <c r="JTE142" s="418"/>
      <c r="JTF142" s="418"/>
      <c r="JTG142" s="418"/>
      <c r="JTH142" s="418"/>
      <c r="JTI142" s="418"/>
      <c r="JTJ142" s="418"/>
      <c r="JTK142" s="418"/>
      <c r="JTL142" s="418"/>
      <c r="JTM142" s="418"/>
      <c r="JTN142" s="418"/>
      <c r="JTO142" s="418"/>
      <c r="JTP142" s="418"/>
      <c r="JTQ142" s="418"/>
      <c r="JTR142" s="418"/>
      <c r="JTS142" s="418"/>
      <c r="JTT142" s="418"/>
      <c r="JTU142" s="418"/>
      <c r="JTV142" s="418"/>
      <c r="JTW142" s="418"/>
      <c r="JTX142" s="418"/>
      <c r="JTY142" s="418"/>
      <c r="JTZ142" s="418"/>
      <c r="JUA142" s="418"/>
      <c r="JUB142" s="418"/>
      <c r="JUC142" s="418"/>
      <c r="JUD142" s="418"/>
      <c r="JUE142" s="418"/>
      <c r="JUF142" s="418"/>
      <c r="JUG142" s="418"/>
      <c r="JUH142" s="418"/>
      <c r="JUI142" s="418"/>
      <c r="JUJ142" s="418"/>
      <c r="JUK142" s="418"/>
      <c r="JUL142" s="418"/>
      <c r="JUM142" s="418"/>
      <c r="JUN142" s="418"/>
      <c r="JUO142" s="418"/>
      <c r="JUP142" s="418"/>
      <c r="JUQ142" s="418"/>
      <c r="JUR142" s="418"/>
      <c r="JUS142" s="418"/>
      <c r="JUT142" s="418"/>
      <c r="JUU142" s="418"/>
      <c r="JUV142" s="418"/>
      <c r="JUW142" s="418"/>
      <c r="JUX142" s="418"/>
      <c r="JUY142" s="418"/>
      <c r="JUZ142" s="418"/>
      <c r="JVA142" s="418"/>
      <c r="JVB142" s="418"/>
      <c r="JVC142" s="418"/>
      <c r="JVD142" s="418"/>
      <c r="JVE142" s="418"/>
      <c r="JVF142" s="418"/>
      <c r="JVG142" s="418"/>
      <c r="JVH142" s="418"/>
      <c r="JVI142" s="418"/>
      <c r="JVJ142" s="418"/>
      <c r="JVK142" s="418"/>
      <c r="JVL142" s="418"/>
      <c r="JVM142" s="418"/>
      <c r="JVN142" s="418"/>
      <c r="JVO142" s="418"/>
      <c r="JVP142" s="418"/>
      <c r="JVQ142" s="418"/>
      <c r="JVR142" s="418"/>
      <c r="JVS142" s="418"/>
      <c r="JVT142" s="418"/>
      <c r="JVU142" s="418"/>
      <c r="JVV142" s="418"/>
      <c r="JVW142" s="418"/>
      <c r="JVX142" s="418"/>
      <c r="JVY142" s="418"/>
      <c r="JVZ142" s="418"/>
      <c r="JWA142" s="418"/>
      <c r="JWB142" s="418"/>
      <c r="JWC142" s="418"/>
      <c r="JWD142" s="418"/>
      <c r="JWE142" s="418"/>
      <c r="JWF142" s="418"/>
      <c r="JWG142" s="418"/>
      <c r="JWH142" s="418"/>
      <c r="JWI142" s="418"/>
      <c r="JWJ142" s="418"/>
      <c r="JWK142" s="418"/>
      <c r="JWL142" s="418"/>
      <c r="JWM142" s="418"/>
      <c r="JWN142" s="418"/>
      <c r="JWO142" s="418"/>
      <c r="JWP142" s="418"/>
      <c r="JWQ142" s="418"/>
      <c r="JWR142" s="418"/>
      <c r="JWS142" s="418"/>
      <c r="JWT142" s="418"/>
      <c r="JWU142" s="418"/>
      <c r="JWV142" s="418"/>
      <c r="JWW142" s="418"/>
      <c r="JWX142" s="418"/>
      <c r="JWY142" s="418"/>
      <c r="JWZ142" s="418"/>
      <c r="JXA142" s="418"/>
      <c r="JXB142" s="418"/>
      <c r="JXC142" s="418"/>
      <c r="JXD142" s="418"/>
      <c r="JXE142" s="418"/>
      <c r="JXF142" s="418"/>
      <c r="JXG142" s="418"/>
      <c r="JXH142" s="418"/>
      <c r="JXI142" s="418"/>
      <c r="JXJ142" s="418"/>
      <c r="JXK142" s="418"/>
      <c r="JXL142" s="418"/>
      <c r="JXM142" s="418"/>
      <c r="JXN142" s="418"/>
      <c r="JXO142" s="418"/>
      <c r="JXP142" s="418"/>
      <c r="JXQ142" s="418"/>
      <c r="JXR142" s="418"/>
      <c r="JXS142" s="418"/>
      <c r="JXT142" s="418"/>
      <c r="JXU142" s="418"/>
      <c r="JXV142" s="418"/>
      <c r="JXW142" s="418"/>
      <c r="JXX142" s="418"/>
      <c r="JXY142" s="418"/>
      <c r="JXZ142" s="418"/>
      <c r="JYA142" s="418"/>
      <c r="JYB142" s="418"/>
      <c r="JYC142" s="418"/>
      <c r="JYD142" s="418"/>
      <c r="JYE142" s="418"/>
      <c r="JYF142" s="418"/>
      <c r="JYG142" s="418"/>
      <c r="JYH142" s="418"/>
      <c r="JYI142" s="418"/>
      <c r="JYJ142" s="418"/>
      <c r="JYK142" s="418"/>
      <c r="JYL142" s="418"/>
      <c r="JYM142" s="418"/>
      <c r="JYN142" s="418"/>
      <c r="JYO142" s="418"/>
      <c r="JYP142" s="418"/>
      <c r="JYQ142" s="418"/>
      <c r="JYR142" s="418"/>
      <c r="JYS142" s="418"/>
      <c r="JYT142" s="418"/>
      <c r="JYU142" s="418"/>
      <c r="JYV142" s="418"/>
      <c r="JYW142" s="418"/>
      <c r="JYX142" s="418"/>
      <c r="JYY142" s="418"/>
      <c r="JYZ142" s="418"/>
      <c r="JZA142" s="418"/>
      <c r="JZB142" s="418"/>
      <c r="JZC142" s="418"/>
      <c r="JZD142" s="418"/>
      <c r="JZE142" s="418"/>
      <c r="JZF142" s="418"/>
      <c r="JZG142" s="418"/>
      <c r="JZH142" s="418"/>
      <c r="JZI142" s="418"/>
      <c r="JZJ142" s="418"/>
      <c r="JZK142" s="418"/>
      <c r="JZL142" s="418"/>
      <c r="JZM142" s="418"/>
      <c r="JZN142" s="418"/>
      <c r="JZO142" s="418"/>
      <c r="JZP142" s="418"/>
      <c r="JZQ142" s="418"/>
      <c r="JZR142" s="418"/>
      <c r="JZS142" s="418"/>
      <c r="JZT142" s="418"/>
      <c r="JZU142" s="418"/>
      <c r="JZV142" s="418"/>
      <c r="JZW142" s="418"/>
      <c r="JZX142" s="418"/>
      <c r="JZY142" s="418"/>
      <c r="JZZ142" s="418"/>
      <c r="KAA142" s="418"/>
      <c r="KAB142" s="418"/>
      <c r="KAC142" s="418"/>
      <c r="KAD142" s="418"/>
      <c r="KAE142" s="418"/>
      <c r="KAF142" s="418"/>
      <c r="KAG142" s="418"/>
      <c r="KAH142" s="418"/>
      <c r="KAI142" s="418"/>
      <c r="KAJ142" s="418"/>
      <c r="KAK142" s="418"/>
      <c r="KAL142" s="418"/>
      <c r="KAM142" s="418"/>
      <c r="KAN142" s="418"/>
      <c r="KAO142" s="418"/>
      <c r="KAP142" s="418"/>
      <c r="KAQ142" s="418"/>
      <c r="KAR142" s="418"/>
      <c r="KAS142" s="418"/>
      <c r="KAT142" s="418"/>
      <c r="KAU142" s="418"/>
      <c r="KAV142" s="418"/>
      <c r="KAW142" s="418"/>
      <c r="KAX142" s="418"/>
      <c r="KAY142" s="418"/>
      <c r="KAZ142" s="418"/>
      <c r="KBA142" s="418"/>
      <c r="KBB142" s="418"/>
      <c r="KBC142" s="418"/>
      <c r="KBD142" s="418"/>
      <c r="KBE142" s="418"/>
      <c r="KBF142" s="418"/>
      <c r="KBG142" s="418"/>
      <c r="KBH142" s="418"/>
      <c r="KBI142" s="418"/>
      <c r="KBJ142" s="418"/>
      <c r="KBK142" s="418"/>
      <c r="KBL142" s="418"/>
      <c r="KBM142" s="418"/>
      <c r="KBN142" s="418"/>
      <c r="KBO142" s="418"/>
      <c r="KBP142" s="418"/>
      <c r="KBQ142" s="418"/>
      <c r="KBR142" s="418"/>
      <c r="KBS142" s="418"/>
      <c r="KBT142" s="418"/>
      <c r="KBU142" s="418"/>
      <c r="KBV142" s="418"/>
      <c r="KBW142" s="418"/>
      <c r="KBX142" s="418"/>
      <c r="KBY142" s="418"/>
      <c r="KBZ142" s="418"/>
      <c r="KCA142" s="418"/>
      <c r="KCB142" s="418"/>
      <c r="KCC142" s="418"/>
      <c r="KCD142" s="418"/>
      <c r="KCE142" s="418"/>
      <c r="KCF142" s="418"/>
      <c r="KCG142" s="418"/>
      <c r="KCH142" s="418"/>
      <c r="KCI142" s="418"/>
      <c r="KCJ142" s="418"/>
      <c r="KCK142" s="418"/>
      <c r="KCL142" s="418"/>
      <c r="KCM142" s="418"/>
      <c r="KCN142" s="418"/>
      <c r="KCO142" s="418"/>
      <c r="KCP142" s="418"/>
      <c r="KCQ142" s="418"/>
      <c r="KCR142" s="418"/>
      <c r="KCS142" s="418"/>
      <c r="KCT142" s="418"/>
      <c r="KCU142" s="418"/>
      <c r="KCV142" s="418"/>
      <c r="KCW142" s="418"/>
      <c r="KCX142" s="418"/>
      <c r="KCY142" s="418"/>
      <c r="KCZ142" s="418"/>
      <c r="KDA142" s="418"/>
      <c r="KDB142" s="418"/>
      <c r="KDC142" s="418"/>
      <c r="KDD142" s="418"/>
      <c r="KDE142" s="418"/>
      <c r="KDF142" s="418"/>
      <c r="KDG142" s="418"/>
      <c r="KDH142" s="418"/>
      <c r="KDI142" s="418"/>
      <c r="KDJ142" s="418"/>
      <c r="KDK142" s="418"/>
      <c r="KDL142" s="418"/>
      <c r="KDM142" s="418"/>
      <c r="KDN142" s="418"/>
      <c r="KDO142" s="418"/>
      <c r="KDP142" s="418"/>
      <c r="KDQ142" s="418"/>
      <c r="KDR142" s="418"/>
      <c r="KDS142" s="418"/>
      <c r="KDT142" s="418"/>
      <c r="KDU142" s="418"/>
      <c r="KDV142" s="418"/>
      <c r="KDW142" s="418"/>
      <c r="KDX142" s="418"/>
      <c r="KDY142" s="418"/>
      <c r="KDZ142" s="418"/>
      <c r="KEA142" s="418"/>
      <c r="KEB142" s="418"/>
      <c r="KEC142" s="418"/>
      <c r="KED142" s="418"/>
      <c r="KEE142" s="418"/>
      <c r="KEF142" s="418"/>
      <c r="KEG142" s="418"/>
      <c r="KEH142" s="418"/>
      <c r="KEI142" s="418"/>
      <c r="KEJ142" s="418"/>
      <c r="KEK142" s="418"/>
      <c r="KEL142" s="418"/>
      <c r="KEM142" s="418"/>
      <c r="KEN142" s="418"/>
      <c r="KEO142" s="418"/>
      <c r="KEP142" s="418"/>
      <c r="KEQ142" s="418"/>
      <c r="KER142" s="418"/>
      <c r="KES142" s="418"/>
      <c r="KET142" s="418"/>
      <c r="KEU142" s="418"/>
      <c r="KEV142" s="418"/>
      <c r="KEW142" s="418"/>
      <c r="KEX142" s="418"/>
      <c r="KEY142" s="418"/>
      <c r="KEZ142" s="418"/>
      <c r="KFA142" s="418"/>
      <c r="KFB142" s="418"/>
      <c r="KFC142" s="418"/>
      <c r="KFD142" s="418"/>
      <c r="KFE142" s="418"/>
      <c r="KFF142" s="418"/>
      <c r="KFG142" s="418"/>
      <c r="KFH142" s="418"/>
      <c r="KFI142" s="418"/>
      <c r="KFJ142" s="418"/>
      <c r="KFK142" s="418"/>
      <c r="KFL142" s="418"/>
      <c r="KFM142" s="418"/>
      <c r="KFN142" s="418"/>
      <c r="KFO142" s="418"/>
      <c r="KFP142" s="418"/>
      <c r="KFQ142" s="418"/>
      <c r="KFR142" s="418"/>
      <c r="KFS142" s="418"/>
      <c r="KFT142" s="418"/>
      <c r="KFU142" s="418"/>
      <c r="KFV142" s="418"/>
      <c r="KFW142" s="418"/>
      <c r="KFX142" s="418"/>
      <c r="KFY142" s="418"/>
      <c r="KFZ142" s="418"/>
      <c r="KGA142" s="418"/>
      <c r="KGB142" s="418"/>
      <c r="KGC142" s="418"/>
      <c r="KGD142" s="418"/>
      <c r="KGE142" s="418"/>
      <c r="KGF142" s="418"/>
      <c r="KGG142" s="418"/>
      <c r="KGH142" s="418"/>
      <c r="KGI142" s="418"/>
      <c r="KGJ142" s="418"/>
      <c r="KGK142" s="418"/>
      <c r="KGL142" s="418"/>
      <c r="KGM142" s="418"/>
      <c r="KGN142" s="418"/>
      <c r="KGO142" s="418"/>
      <c r="KGP142" s="418"/>
      <c r="KGQ142" s="418"/>
      <c r="KGR142" s="418"/>
      <c r="KGS142" s="418"/>
      <c r="KGT142" s="418"/>
      <c r="KGU142" s="418"/>
      <c r="KGV142" s="418"/>
      <c r="KGW142" s="418"/>
      <c r="KGX142" s="418"/>
      <c r="KGY142" s="418"/>
      <c r="KGZ142" s="418"/>
      <c r="KHA142" s="418"/>
      <c r="KHB142" s="418"/>
      <c r="KHC142" s="418"/>
      <c r="KHD142" s="418"/>
      <c r="KHE142" s="418"/>
      <c r="KHF142" s="418"/>
      <c r="KHG142" s="418"/>
      <c r="KHH142" s="418"/>
      <c r="KHI142" s="418"/>
      <c r="KHJ142" s="418"/>
      <c r="KHK142" s="418"/>
      <c r="KHL142" s="418"/>
      <c r="KHM142" s="418"/>
      <c r="KHN142" s="418"/>
      <c r="KHO142" s="418"/>
      <c r="KHP142" s="418"/>
      <c r="KHQ142" s="418"/>
      <c r="KHR142" s="418"/>
      <c r="KHS142" s="418"/>
      <c r="KHT142" s="418"/>
      <c r="KHU142" s="418"/>
      <c r="KHV142" s="418"/>
      <c r="KHW142" s="418"/>
      <c r="KHX142" s="418"/>
      <c r="KHY142" s="418"/>
      <c r="KHZ142" s="418"/>
      <c r="KIA142" s="418"/>
      <c r="KIB142" s="418"/>
      <c r="KIC142" s="418"/>
      <c r="KID142" s="418"/>
      <c r="KIE142" s="418"/>
      <c r="KIF142" s="418"/>
      <c r="KIG142" s="418"/>
      <c r="KIH142" s="418"/>
      <c r="KII142" s="418"/>
      <c r="KIJ142" s="418"/>
      <c r="KIK142" s="418"/>
      <c r="KIL142" s="418"/>
      <c r="KIM142" s="418"/>
      <c r="KIN142" s="418"/>
      <c r="KIO142" s="418"/>
      <c r="KIP142" s="418"/>
      <c r="KIQ142" s="418"/>
      <c r="KIR142" s="418"/>
      <c r="KIS142" s="418"/>
      <c r="KIT142" s="418"/>
      <c r="KIU142" s="418"/>
      <c r="KIV142" s="418"/>
      <c r="KIW142" s="418"/>
      <c r="KIX142" s="418"/>
      <c r="KIY142" s="418"/>
      <c r="KIZ142" s="418"/>
      <c r="KJA142" s="418"/>
      <c r="KJB142" s="418"/>
      <c r="KJC142" s="418"/>
      <c r="KJD142" s="418"/>
      <c r="KJE142" s="418"/>
      <c r="KJF142" s="418"/>
      <c r="KJG142" s="418"/>
      <c r="KJH142" s="418"/>
      <c r="KJI142" s="418"/>
      <c r="KJJ142" s="418"/>
      <c r="KJK142" s="418"/>
      <c r="KJL142" s="418"/>
      <c r="KJM142" s="418"/>
      <c r="KJN142" s="418"/>
      <c r="KJO142" s="418"/>
      <c r="KJP142" s="418"/>
      <c r="KJQ142" s="418"/>
      <c r="KJR142" s="418"/>
      <c r="KJS142" s="418"/>
      <c r="KJT142" s="418"/>
      <c r="KJU142" s="418"/>
      <c r="KJV142" s="418"/>
      <c r="KJW142" s="418"/>
      <c r="KJX142" s="418"/>
      <c r="KJY142" s="418"/>
      <c r="KJZ142" s="418"/>
      <c r="KKA142" s="418"/>
      <c r="KKB142" s="418"/>
      <c r="KKC142" s="418"/>
      <c r="KKD142" s="418"/>
      <c r="KKE142" s="418"/>
      <c r="KKF142" s="418"/>
      <c r="KKG142" s="418"/>
      <c r="KKH142" s="418"/>
      <c r="KKI142" s="418"/>
      <c r="KKJ142" s="418"/>
      <c r="KKK142" s="418"/>
      <c r="KKL142" s="418"/>
      <c r="KKM142" s="418"/>
      <c r="KKN142" s="418"/>
      <c r="KKO142" s="418"/>
      <c r="KKP142" s="418"/>
      <c r="KKQ142" s="418"/>
      <c r="KKR142" s="418"/>
      <c r="KKS142" s="418"/>
      <c r="KKT142" s="418"/>
      <c r="KKU142" s="418"/>
      <c r="KKV142" s="418"/>
      <c r="KKW142" s="418"/>
      <c r="KKX142" s="418"/>
      <c r="KKY142" s="418"/>
      <c r="KKZ142" s="418"/>
      <c r="KLA142" s="418"/>
      <c r="KLB142" s="418"/>
      <c r="KLC142" s="418"/>
      <c r="KLD142" s="418"/>
      <c r="KLE142" s="418"/>
      <c r="KLF142" s="418"/>
      <c r="KLG142" s="418"/>
      <c r="KLH142" s="418"/>
      <c r="KLI142" s="418"/>
      <c r="KLJ142" s="418"/>
      <c r="KLK142" s="418"/>
      <c r="KLL142" s="418"/>
      <c r="KLM142" s="418"/>
      <c r="KLN142" s="418"/>
      <c r="KLO142" s="418"/>
      <c r="KLP142" s="418"/>
      <c r="KLQ142" s="418"/>
      <c r="KLR142" s="418"/>
      <c r="KLS142" s="418"/>
      <c r="KLT142" s="418"/>
      <c r="KLU142" s="418"/>
      <c r="KLV142" s="418"/>
      <c r="KLW142" s="418"/>
      <c r="KLX142" s="418"/>
      <c r="KLY142" s="418"/>
      <c r="KLZ142" s="418"/>
      <c r="KMA142" s="418"/>
      <c r="KMB142" s="418"/>
      <c r="KMC142" s="418"/>
      <c r="KMD142" s="418"/>
      <c r="KME142" s="418"/>
      <c r="KMF142" s="418"/>
      <c r="KMG142" s="418"/>
      <c r="KMH142" s="418"/>
      <c r="KMI142" s="418"/>
      <c r="KMJ142" s="418"/>
      <c r="KMK142" s="418"/>
      <c r="KML142" s="418"/>
      <c r="KMM142" s="418"/>
      <c r="KMN142" s="418"/>
      <c r="KMO142" s="418"/>
      <c r="KMP142" s="418"/>
      <c r="KMQ142" s="418"/>
      <c r="KMR142" s="418"/>
      <c r="KMS142" s="418"/>
      <c r="KMT142" s="418"/>
      <c r="KMU142" s="418"/>
      <c r="KMV142" s="418"/>
      <c r="KMW142" s="418"/>
      <c r="KMX142" s="418"/>
      <c r="KMY142" s="418"/>
      <c r="KMZ142" s="418"/>
      <c r="KNA142" s="418"/>
      <c r="KNB142" s="418"/>
      <c r="KNC142" s="418"/>
      <c r="KND142" s="418"/>
      <c r="KNE142" s="418"/>
      <c r="KNF142" s="418"/>
      <c r="KNG142" s="418"/>
      <c r="KNH142" s="418"/>
      <c r="KNI142" s="418"/>
      <c r="KNJ142" s="418"/>
      <c r="KNK142" s="418"/>
      <c r="KNL142" s="418"/>
      <c r="KNM142" s="418"/>
      <c r="KNN142" s="418"/>
      <c r="KNO142" s="418"/>
      <c r="KNP142" s="418"/>
      <c r="KNQ142" s="418"/>
      <c r="KNR142" s="418"/>
      <c r="KNS142" s="418"/>
      <c r="KNT142" s="418"/>
      <c r="KNU142" s="418"/>
      <c r="KNV142" s="418"/>
      <c r="KNW142" s="418"/>
      <c r="KNX142" s="418"/>
      <c r="KNY142" s="418"/>
      <c r="KNZ142" s="418"/>
      <c r="KOA142" s="418"/>
      <c r="KOB142" s="418"/>
      <c r="KOC142" s="418"/>
      <c r="KOD142" s="418"/>
      <c r="KOE142" s="418"/>
      <c r="KOF142" s="418"/>
      <c r="KOG142" s="418"/>
      <c r="KOH142" s="418"/>
      <c r="KOI142" s="418"/>
      <c r="KOJ142" s="418"/>
      <c r="KOK142" s="418"/>
      <c r="KOL142" s="418"/>
      <c r="KOM142" s="418"/>
      <c r="KON142" s="418"/>
      <c r="KOO142" s="418"/>
      <c r="KOP142" s="418"/>
      <c r="KOQ142" s="418"/>
      <c r="KOR142" s="418"/>
      <c r="KOS142" s="418"/>
      <c r="KOT142" s="418"/>
      <c r="KOU142" s="418"/>
      <c r="KOV142" s="418"/>
      <c r="KOW142" s="418"/>
      <c r="KOX142" s="418"/>
      <c r="KOY142" s="418"/>
      <c r="KOZ142" s="418"/>
      <c r="KPA142" s="418"/>
      <c r="KPB142" s="418"/>
      <c r="KPC142" s="418"/>
      <c r="KPD142" s="418"/>
      <c r="KPE142" s="418"/>
      <c r="KPF142" s="418"/>
      <c r="KPG142" s="418"/>
      <c r="KPH142" s="418"/>
      <c r="KPI142" s="418"/>
      <c r="KPJ142" s="418"/>
      <c r="KPK142" s="418"/>
      <c r="KPL142" s="418"/>
      <c r="KPM142" s="418"/>
      <c r="KPN142" s="418"/>
      <c r="KPO142" s="418"/>
      <c r="KPP142" s="418"/>
      <c r="KPQ142" s="418"/>
      <c r="KPR142" s="418"/>
      <c r="KPS142" s="418"/>
      <c r="KPT142" s="418"/>
      <c r="KPU142" s="418"/>
      <c r="KPV142" s="418"/>
      <c r="KPW142" s="418"/>
      <c r="KPX142" s="418"/>
      <c r="KPY142" s="418"/>
      <c r="KPZ142" s="418"/>
      <c r="KQA142" s="418"/>
      <c r="KQB142" s="418"/>
      <c r="KQC142" s="418"/>
      <c r="KQD142" s="418"/>
      <c r="KQE142" s="418"/>
      <c r="KQF142" s="418"/>
      <c r="KQG142" s="418"/>
      <c r="KQH142" s="418"/>
      <c r="KQI142" s="418"/>
      <c r="KQJ142" s="418"/>
      <c r="KQK142" s="418"/>
      <c r="KQL142" s="418"/>
      <c r="KQM142" s="418"/>
      <c r="KQN142" s="418"/>
      <c r="KQO142" s="418"/>
      <c r="KQP142" s="418"/>
      <c r="KQQ142" s="418"/>
      <c r="KQR142" s="418"/>
      <c r="KQS142" s="418"/>
      <c r="KQT142" s="418"/>
      <c r="KQU142" s="418"/>
      <c r="KQV142" s="418"/>
      <c r="KQW142" s="418"/>
      <c r="KQX142" s="418"/>
      <c r="KQY142" s="418"/>
      <c r="KQZ142" s="418"/>
      <c r="KRA142" s="418"/>
      <c r="KRB142" s="418"/>
      <c r="KRC142" s="418"/>
      <c r="KRD142" s="418"/>
      <c r="KRE142" s="418"/>
      <c r="KRF142" s="418"/>
      <c r="KRG142" s="418"/>
      <c r="KRH142" s="418"/>
      <c r="KRI142" s="418"/>
      <c r="KRJ142" s="418"/>
      <c r="KRK142" s="418"/>
      <c r="KRL142" s="418"/>
      <c r="KRM142" s="418"/>
      <c r="KRN142" s="418"/>
      <c r="KRO142" s="418"/>
      <c r="KRP142" s="418"/>
      <c r="KRQ142" s="418"/>
      <c r="KRR142" s="418"/>
      <c r="KRS142" s="418"/>
      <c r="KRT142" s="418"/>
      <c r="KRU142" s="418"/>
      <c r="KRV142" s="418"/>
      <c r="KRW142" s="418"/>
      <c r="KRX142" s="418"/>
      <c r="KRY142" s="418"/>
      <c r="KRZ142" s="418"/>
      <c r="KSA142" s="418"/>
      <c r="KSB142" s="418"/>
      <c r="KSC142" s="418"/>
      <c r="KSD142" s="418"/>
      <c r="KSE142" s="418"/>
      <c r="KSF142" s="418"/>
      <c r="KSG142" s="418"/>
      <c r="KSH142" s="418"/>
      <c r="KSI142" s="418"/>
      <c r="KSJ142" s="418"/>
      <c r="KSK142" s="418"/>
      <c r="KSL142" s="418"/>
      <c r="KSM142" s="418"/>
      <c r="KSN142" s="418"/>
      <c r="KSO142" s="418"/>
      <c r="KSP142" s="418"/>
      <c r="KSQ142" s="418"/>
      <c r="KSR142" s="418"/>
      <c r="KSS142" s="418"/>
      <c r="KST142" s="418"/>
      <c r="KSU142" s="418"/>
      <c r="KSV142" s="418"/>
      <c r="KSW142" s="418"/>
      <c r="KSX142" s="418"/>
      <c r="KSY142" s="418"/>
      <c r="KSZ142" s="418"/>
      <c r="KTA142" s="418"/>
      <c r="KTB142" s="418"/>
      <c r="KTC142" s="418"/>
      <c r="KTD142" s="418"/>
      <c r="KTE142" s="418"/>
      <c r="KTF142" s="418"/>
      <c r="KTG142" s="418"/>
      <c r="KTH142" s="418"/>
      <c r="KTI142" s="418"/>
      <c r="KTJ142" s="418"/>
      <c r="KTK142" s="418"/>
      <c r="KTL142" s="418"/>
      <c r="KTM142" s="418"/>
      <c r="KTN142" s="418"/>
      <c r="KTO142" s="418"/>
      <c r="KTP142" s="418"/>
      <c r="KTQ142" s="418"/>
      <c r="KTR142" s="418"/>
      <c r="KTS142" s="418"/>
      <c r="KTT142" s="418"/>
      <c r="KTU142" s="418"/>
      <c r="KTV142" s="418"/>
      <c r="KTW142" s="418"/>
      <c r="KTX142" s="418"/>
      <c r="KTY142" s="418"/>
      <c r="KTZ142" s="418"/>
      <c r="KUA142" s="418"/>
      <c r="KUB142" s="418"/>
      <c r="KUC142" s="418"/>
      <c r="KUD142" s="418"/>
      <c r="KUE142" s="418"/>
      <c r="KUF142" s="418"/>
      <c r="KUG142" s="418"/>
      <c r="KUH142" s="418"/>
      <c r="KUI142" s="418"/>
      <c r="KUJ142" s="418"/>
      <c r="KUK142" s="418"/>
      <c r="KUL142" s="418"/>
      <c r="KUM142" s="418"/>
      <c r="KUN142" s="418"/>
      <c r="KUO142" s="418"/>
      <c r="KUP142" s="418"/>
      <c r="KUQ142" s="418"/>
      <c r="KUR142" s="418"/>
      <c r="KUS142" s="418"/>
      <c r="KUT142" s="418"/>
      <c r="KUU142" s="418"/>
      <c r="KUV142" s="418"/>
      <c r="KUW142" s="418"/>
      <c r="KUX142" s="418"/>
      <c r="KUY142" s="418"/>
      <c r="KUZ142" s="418"/>
      <c r="KVA142" s="418"/>
      <c r="KVB142" s="418"/>
      <c r="KVC142" s="418"/>
      <c r="KVD142" s="418"/>
      <c r="KVE142" s="418"/>
      <c r="KVF142" s="418"/>
      <c r="KVG142" s="418"/>
      <c r="KVH142" s="418"/>
      <c r="KVI142" s="418"/>
      <c r="KVJ142" s="418"/>
      <c r="KVK142" s="418"/>
      <c r="KVL142" s="418"/>
      <c r="KVM142" s="418"/>
      <c r="KVN142" s="418"/>
      <c r="KVO142" s="418"/>
      <c r="KVP142" s="418"/>
      <c r="KVQ142" s="418"/>
      <c r="KVR142" s="418"/>
      <c r="KVS142" s="418"/>
      <c r="KVT142" s="418"/>
      <c r="KVU142" s="418"/>
      <c r="KVV142" s="418"/>
      <c r="KVW142" s="418"/>
      <c r="KVX142" s="418"/>
      <c r="KVY142" s="418"/>
      <c r="KVZ142" s="418"/>
      <c r="KWA142" s="418"/>
      <c r="KWB142" s="418"/>
      <c r="KWC142" s="418"/>
      <c r="KWD142" s="418"/>
      <c r="KWE142" s="418"/>
      <c r="KWF142" s="418"/>
      <c r="KWG142" s="418"/>
      <c r="KWH142" s="418"/>
      <c r="KWI142" s="418"/>
      <c r="KWJ142" s="418"/>
      <c r="KWK142" s="418"/>
      <c r="KWL142" s="418"/>
      <c r="KWM142" s="418"/>
      <c r="KWN142" s="418"/>
      <c r="KWO142" s="418"/>
      <c r="KWP142" s="418"/>
      <c r="KWQ142" s="418"/>
      <c r="KWR142" s="418"/>
      <c r="KWS142" s="418"/>
      <c r="KWT142" s="418"/>
      <c r="KWU142" s="418"/>
      <c r="KWV142" s="418"/>
      <c r="KWW142" s="418"/>
      <c r="KWX142" s="418"/>
      <c r="KWY142" s="418"/>
      <c r="KWZ142" s="418"/>
      <c r="KXA142" s="418"/>
      <c r="KXB142" s="418"/>
      <c r="KXC142" s="418"/>
      <c r="KXD142" s="418"/>
      <c r="KXE142" s="418"/>
      <c r="KXF142" s="418"/>
      <c r="KXG142" s="418"/>
      <c r="KXH142" s="418"/>
      <c r="KXI142" s="418"/>
      <c r="KXJ142" s="418"/>
      <c r="KXK142" s="418"/>
      <c r="KXL142" s="418"/>
      <c r="KXM142" s="418"/>
      <c r="KXN142" s="418"/>
      <c r="KXO142" s="418"/>
      <c r="KXP142" s="418"/>
      <c r="KXQ142" s="418"/>
      <c r="KXR142" s="418"/>
      <c r="KXS142" s="418"/>
      <c r="KXT142" s="418"/>
      <c r="KXU142" s="418"/>
      <c r="KXV142" s="418"/>
      <c r="KXW142" s="418"/>
      <c r="KXX142" s="418"/>
      <c r="KXY142" s="418"/>
      <c r="KXZ142" s="418"/>
      <c r="KYA142" s="418"/>
      <c r="KYB142" s="418"/>
      <c r="KYC142" s="418"/>
      <c r="KYD142" s="418"/>
      <c r="KYE142" s="418"/>
      <c r="KYF142" s="418"/>
      <c r="KYG142" s="418"/>
      <c r="KYH142" s="418"/>
      <c r="KYI142" s="418"/>
      <c r="KYJ142" s="418"/>
      <c r="KYK142" s="418"/>
      <c r="KYL142" s="418"/>
      <c r="KYM142" s="418"/>
      <c r="KYN142" s="418"/>
      <c r="KYO142" s="418"/>
      <c r="KYP142" s="418"/>
      <c r="KYQ142" s="418"/>
      <c r="KYR142" s="418"/>
      <c r="KYS142" s="418"/>
      <c r="KYT142" s="418"/>
      <c r="KYU142" s="418"/>
      <c r="KYV142" s="418"/>
      <c r="KYW142" s="418"/>
      <c r="KYX142" s="418"/>
      <c r="KYY142" s="418"/>
      <c r="KYZ142" s="418"/>
      <c r="KZA142" s="418"/>
      <c r="KZB142" s="418"/>
      <c r="KZC142" s="418"/>
      <c r="KZD142" s="418"/>
      <c r="KZE142" s="418"/>
      <c r="KZF142" s="418"/>
      <c r="KZG142" s="418"/>
      <c r="KZH142" s="418"/>
      <c r="KZI142" s="418"/>
      <c r="KZJ142" s="418"/>
      <c r="KZK142" s="418"/>
      <c r="KZL142" s="418"/>
      <c r="KZM142" s="418"/>
      <c r="KZN142" s="418"/>
      <c r="KZO142" s="418"/>
      <c r="KZP142" s="418"/>
      <c r="KZQ142" s="418"/>
      <c r="KZR142" s="418"/>
      <c r="KZS142" s="418"/>
      <c r="KZT142" s="418"/>
      <c r="KZU142" s="418"/>
      <c r="KZV142" s="418"/>
      <c r="KZW142" s="418"/>
      <c r="KZX142" s="418"/>
      <c r="KZY142" s="418"/>
      <c r="KZZ142" s="418"/>
      <c r="LAA142" s="418"/>
      <c r="LAB142" s="418"/>
      <c r="LAC142" s="418"/>
      <c r="LAD142" s="418"/>
      <c r="LAE142" s="418"/>
      <c r="LAF142" s="418"/>
      <c r="LAG142" s="418"/>
      <c r="LAH142" s="418"/>
      <c r="LAI142" s="418"/>
      <c r="LAJ142" s="418"/>
      <c r="LAK142" s="418"/>
      <c r="LAL142" s="418"/>
      <c r="LAM142" s="418"/>
      <c r="LAN142" s="418"/>
      <c r="LAO142" s="418"/>
      <c r="LAP142" s="418"/>
      <c r="LAQ142" s="418"/>
      <c r="LAR142" s="418"/>
      <c r="LAS142" s="418"/>
      <c r="LAT142" s="418"/>
      <c r="LAU142" s="418"/>
      <c r="LAV142" s="418"/>
      <c r="LAW142" s="418"/>
      <c r="LAX142" s="418"/>
      <c r="LAY142" s="418"/>
      <c r="LAZ142" s="418"/>
      <c r="LBA142" s="418"/>
      <c r="LBB142" s="418"/>
      <c r="LBC142" s="418"/>
      <c r="LBD142" s="418"/>
      <c r="LBE142" s="418"/>
      <c r="LBF142" s="418"/>
      <c r="LBG142" s="418"/>
      <c r="LBH142" s="418"/>
      <c r="LBI142" s="418"/>
      <c r="LBJ142" s="418"/>
      <c r="LBK142" s="418"/>
      <c r="LBL142" s="418"/>
      <c r="LBM142" s="418"/>
      <c r="LBN142" s="418"/>
      <c r="LBO142" s="418"/>
      <c r="LBP142" s="418"/>
      <c r="LBQ142" s="418"/>
      <c r="LBR142" s="418"/>
      <c r="LBS142" s="418"/>
      <c r="LBT142" s="418"/>
      <c r="LBU142" s="418"/>
      <c r="LBV142" s="418"/>
      <c r="LBW142" s="418"/>
      <c r="LBX142" s="418"/>
      <c r="LBY142" s="418"/>
      <c r="LBZ142" s="418"/>
      <c r="LCA142" s="418"/>
      <c r="LCB142" s="418"/>
      <c r="LCC142" s="418"/>
      <c r="LCD142" s="418"/>
      <c r="LCE142" s="418"/>
      <c r="LCF142" s="418"/>
      <c r="LCG142" s="418"/>
      <c r="LCH142" s="418"/>
      <c r="LCI142" s="418"/>
      <c r="LCJ142" s="418"/>
      <c r="LCK142" s="418"/>
      <c r="LCL142" s="418"/>
      <c r="LCM142" s="418"/>
      <c r="LCN142" s="418"/>
      <c r="LCO142" s="418"/>
      <c r="LCP142" s="418"/>
      <c r="LCQ142" s="418"/>
      <c r="LCR142" s="418"/>
      <c r="LCS142" s="418"/>
      <c r="LCT142" s="418"/>
      <c r="LCU142" s="418"/>
      <c r="LCV142" s="418"/>
      <c r="LCW142" s="418"/>
      <c r="LCX142" s="418"/>
      <c r="LCY142" s="418"/>
      <c r="LCZ142" s="418"/>
      <c r="LDA142" s="418"/>
      <c r="LDB142" s="418"/>
      <c r="LDC142" s="418"/>
      <c r="LDD142" s="418"/>
      <c r="LDE142" s="418"/>
      <c r="LDF142" s="418"/>
      <c r="LDG142" s="418"/>
      <c r="LDH142" s="418"/>
      <c r="LDI142" s="418"/>
      <c r="LDJ142" s="418"/>
      <c r="LDK142" s="418"/>
      <c r="LDL142" s="418"/>
      <c r="LDM142" s="418"/>
      <c r="LDN142" s="418"/>
      <c r="LDO142" s="418"/>
      <c r="LDP142" s="418"/>
      <c r="LDQ142" s="418"/>
      <c r="LDR142" s="418"/>
      <c r="LDS142" s="418"/>
      <c r="LDT142" s="418"/>
      <c r="LDU142" s="418"/>
      <c r="LDV142" s="418"/>
      <c r="LDW142" s="418"/>
      <c r="LDX142" s="418"/>
      <c r="LDY142" s="418"/>
      <c r="LDZ142" s="418"/>
      <c r="LEA142" s="418"/>
      <c r="LEB142" s="418"/>
      <c r="LEC142" s="418"/>
      <c r="LED142" s="418"/>
      <c r="LEE142" s="418"/>
      <c r="LEF142" s="418"/>
      <c r="LEG142" s="418"/>
      <c r="LEH142" s="418"/>
      <c r="LEI142" s="418"/>
      <c r="LEJ142" s="418"/>
      <c r="LEK142" s="418"/>
      <c r="LEL142" s="418"/>
      <c r="LEM142" s="418"/>
      <c r="LEN142" s="418"/>
      <c r="LEO142" s="418"/>
      <c r="LEP142" s="418"/>
      <c r="LEQ142" s="418"/>
      <c r="LER142" s="418"/>
      <c r="LES142" s="418"/>
      <c r="LET142" s="418"/>
      <c r="LEU142" s="418"/>
      <c r="LEV142" s="418"/>
      <c r="LEW142" s="418"/>
      <c r="LEX142" s="418"/>
      <c r="LEY142" s="418"/>
      <c r="LEZ142" s="418"/>
      <c r="LFA142" s="418"/>
      <c r="LFB142" s="418"/>
      <c r="LFC142" s="418"/>
      <c r="LFD142" s="418"/>
      <c r="LFE142" s="418"/>
      <c r="LFF142" s="418"/>
      <c r="LFG142" s="418"/>
      <c r="LFH142" s="418"/>
      <c r="LFI142" s="418"/>
      <c r="LFJ142" s="418"/>
      <c r="LFK142" s="418"/>
      <c r="LFL142" s="418"/>
      <c r="LFM142" s="418"/>
      <c r="LFN142" s="418"/>
      <c r="LFO142" s="418"/>
      <c r="LFP142" s="418"/>
      <c r="LFQ142" s="418"/>
      <c r="LFR142" s="418"/>
      <c r="LFS142" s="418"/>
      <c r="LFT142" s="418"/>
      <c r="LFU142" s="418"/>
      <c r="LFV142" s="418"/>
      <c r="LFW142" s="418"/>
      <c r="LFX142" s="418"/>
      <c r="LFY142" s="418"/>
      <c r="LFZ142" s="418"/>
      <c r="LGA142" s="418"/>
      <c r="LGB142" s="418"/>
      <c r="LGC142" s="418"/>
      <c r="LGD142" s="418"/>
      <c r="LGE142" s="418"/>
      <c r="LGF142" s="418"/>
      <c r="LGG142" s="418"/>
      <c r="LGH142" s="418"/>
      <c r="LGI142" s="418"/>
      <c r="LGJ142" s="418"/>
      <c r="LGK142" s="418"/>
      <c r="LGL142" s="418"/>
      <c r="LGM142" s="418"/>
      <c r="LGN142" s="418"/>
      <c r="LGO142" s="418"/>
      <c r="LGP142" s="418"/>
      <c r="LGQ142" s="418"/>
      <c r="LGR142" s="418"/>
      <c r="LGS142" s="418"/>
      <c r="LGT142" s="418"/>
      <c r="LGU142" s="418"/>
      <c r="LGV142" s="418"/>
      <c r="LGW142" s="418"/>
      <c r="LGX142" s="418"/>
      <c r="LGY142" s="418"/>
      <c r="LGZ142" s="418"/>
      <c r="LHA142" s="418"/>
      <c r="LHB142" s="418"/>
      <c r="LHC142" s="418"/>
      <c r="LHD142" s="418"/>
      <c r="LHE142" s="418"/>
      <c r="LHF142" s="418"/>
      <c r="LHG142" s="418"/>
      <c r="LHH142" s="418"/>
      <c r="LHI142" s="418"/>
      <c r="LHJ142" s="418"/>
      <c r="LHK142" s="418"/>
      <c r="LHL142" s="418"/>
      <c r="LHM142" s="418"/>
      <c r="LHN142" s="418"/>
      <c r="LHO142" s="418"/>
      <c r="LHP142" s="418"/>
      <c r="LHQ142" s="418"/>
      <c r="LHR142" s="418"/>
      <c r="LHS142" s="418"/>
      <c r="LHT142" s="418"/>
      <c r="LHU142" s="418"/>
      <c r="LHV142" s="418"/>
      <c r="LHW142" s="418"/>
      <c r="LHX142" s="418"/>
      <c r="LHY142" s="418"/>
      <c r="LHZ142" s="418"/>
      <c r="LIA142" s="418"/>
      <c r="LIB142" s="418"/>
      <c r="LIC142" s="418"/>
      <c r="LID142" s="418"/>
      <c r="LIE142" s="418"/>
      <c r="LIF142" s="418"/>
      <c r="LIG142" s="418"/>
      <c r="LIH142" s="418"/>
      <c r="LII142" s="418"/>
      <c r="LIJ142" s="418"/>
      <c r="LIK142" s="418"/>
      <c r="LIL142" s="418"/>
      <c r="LIM142" s="418"/>
      <c r="LIN142" s="418"/>
      <c r="LIO142" s="418"/>
      <c r="LIP142" s="418"/>
      <c r="LIQ142" s="418"/>
      <c r="LIR142" s="418"/>
      <c r="LIS142" s="418"/>
      <c r="LIT142" s="418"/>
      <c r="LIU142" s="418"/>
      <c r="LIV142" s="418"/>
      <c r="LIW142" s="418"/>
      <c r="LIX142" s="418"/>
      <c r="LIY142" s="418"/>
      <c r="LIZ142" s="418"/>
      <c r="LJA142" s="418"/>
      <c r="LJB142" s="418"/>
      <c r="LJC142" s="418"/>
      <c r="LJD142" s="418"/>
      <c r="LJE142" s="418"/>
      <c r="LJF142" s="418"/>
      <c r="LJG142" s="418"/>
      <c r="LJH142" s="418"/>
      <c r="LJI142" s="418"/>
      <c r="LJJ142" s="418"/>
      <c r="LJK142" s="418"/>
      <c r="LJL142" s="418"/>
      <c r="LJM142" s="418"/>
      <c r="LJN142" s="418"/>
      <c r="LJO142" s="418"/>
      <c r="LJP142" s="418"/>
      <c r="LJQ142" s="418"/>
      <c r="LJR142" s="418"/>
      <c r="LJS142" s="418"/>
      <c r="LJT142" s="418"/>
      <c r="LJU142" s="418"/>
      <c r="LJV142" s="418"/>
      <c r="LJW142" s="418"/>
      <c r="LJX142" s="418"/>
      <c r="LJY142" s="418"/>
      <c r="LJZ142" s="418"/>
      <c r="LKA142" s="418"/>
      <c r="LKB142" s="418"/>
      <c r="LKC142" s="418"/>
      <c r="LKD142" s="418"/>
      <c r="LKE142" s="418"/>
      <c r="LKF142" s="418"/>
      <c r="LKG142" s="418"/>
      <c r="LKH142" s="418"/>
      <c r="LKI142" s="418"/>
      <c r="LKJ142" s="418"/>
      <c r="LKK142" s="418"/>
      <c r="LKL142" s="418"/>
      <c r="LKM142" s="418"/>
      <c r="LKN142" s="418"/>
      <c r="LKO142" s="418"/>
      <c r="LKP142" s="418"/>
      <c r="LKQ142" s="418"/>
      <c r="LKR142" s="418"/>
      <c r="LKS142" s="418"/>
      <c r="LKT142" s="418"/>
      <c r="LKU142" s="418"/>
      <c r="LKV142" s="418"/>
      <c r="LKW142" s="418"/>
      <c r="LKX142" s="418"/>
      <c r="LKY142" s="418"/>
      <c r="LKZ142" s="418"/>
      <c r="LLA142" s="418"/>
      <c r="LLB142" s="418"/>
      <c r="LLC142" s="418"/>
      <c r="LLD142" s="418"/>
      <c r="LLE142" s="418"/>
      <c r="LLF142" s="418"/>
      <c r="LLG142" s="418"/>
      <c r="LLH142" s="418"/>
      <c r="LLI142" s="418"/>
      <c r="LLJ142" s="418"/>
      <c r="LLK142" s="418"/>
      <c r="LLL142" s="418"/>
      <c r="LLM142" s="418"/>
      <c r="LLN142" s="418"/>
      <c r="LLO142" s="418"/>
      <c r="LLP142" s="418"/>
      <c r="LLQ142" s="418"/>
      <c r="LLR142" s="418"/>
      <c r="LLS142" s="418"/>
      <c r="LLT142" s="418"/>
      <c r="LLU142" s="418"/>
      <c r="LLV142" s="418"/>
      <c r="LLW142" s="418"/>
      <c r="LLX142" s="418"/>
      <c r="LLY142" s="418"/>
      <c r="LLZ142" s="418"/>
      <c r="LMA142" s="418"/>
      <c r="LMB142" s="418"/>
      <c r="LMC142" s="418"/>
      <c r="LMD142" s="418"/>
      <c r="LME142" s="418"/>
      <c r="LMF142" s="418"/>
      <c r="LMG142" s="418"/>
      <c r="LMH142" s="418"/>
      <c r="LMI142" s="418"/>
      <c r="LMJ142" s="418"/>
      <c r="LMK142" s="418"/>
      <c r="LML142" s="418"/>
      <c r="LMM142" s="418"/>
      <c r="LMN142" s="418"/>
      <c r="LMO142" s="418"/>
      <c r="LMP142" s="418"/>
      <c r="LMQ142" s="418"/>
      <c r="LMR142" s="418"/>
      <c r="LMS142" s="418"/>
      <c r="LMT142" s="418"/>
      <c r="LMU142" s="418"/>
      <c r="LMV142" s="418"/>
      <c r="LMW142" s="418"/>
      <c r="LMX142" s="418"/>
      <c r="LMY142" s="418"/>
      <c r="LMZ142" s="418"/>
      <c r="LNA142" s="418"/>
      <c r="LNB142" s="418"/>
      <c r="LNC142" s="418"/>
      <c r="LND142" s="418"/>
      <c r="LNE142" s="418"/>
      <c r="LNF142" s="418"/>
      <c r="LNG142" s="418"/>
      <c r="LNH142" s="418"/>
      <c r="LNI142" s="418"/>
      <c r="LNJ142" s="418"/>
      <c r="LNK142" s="418"/>
      <c r="LNL142" s="418"/>
      <c r="LNM142" s="418"/>
      <c r="LNN142" s="418"/>
      <c r="LNO142" s="418"/>
      <c r="LNP142" s="418"/>
      <c r="LNQ142" s="418"/>
      <c r="LNR142" s="418"/>
      <c r="LNS142" s="418"/>
      <c r="LNT142" s="418"/>
      <c r="LNU142" s="418"/>
      <c r="LNV142" s="418"/>
      <c r="LNW142" s="418"/>
      <c r="LNX142" s="418"/>
      <c r="LNY142" s="418"/>
      <c r="LNZ142" s="418"/>
      <c r="LOA142" s="418"/>
      <c r="LOB142" s="418"/>
      <c r="LOC142" s="418"/>
      <c r="LOD142" s="418"/>
      <c r="LOE142" s="418"/>
      <c r="LOF142" s="418"/>
      <c r="LOG142" s="418"/>
      <c r="LOH142" s="418"/>
      <c r="LOI142" s="418"/>
      <c r="LOJ142" s="418"/>
      <c r="LOK142" s="418"/>
      <c r="LOL142" s="418"/>
      <c r="LOM142" s="418"/>
      <c r="LON142" s="418"/>
      <c r="LOO142" s="418"/>
      <c r="LOP142" s="418"/>
      <c r="LOQ142" s="418"/>
      <c r="LOR142" s="418"/>
      <c r="LOS142" s="418"/>
      <c r="LOT142" s="418"/>
      <c r="LOU142" s="418"/>
      <c r="LOV142" s="418"/>
      <c r="LOW142" s="418"/>
      <c r="LOX142" s="418"/>
      <c r="LOY142" s="418"/>
      <c r="LOZ142" s="418"/>
      <c r="LPA142" s="418"/>
      <c r="LPB142" s="418"/>
      <c r="LPC142" s="418"/>
      <c r="LPD142" s="418"/>
      <c r="LPE142" s="418"/>
      <c r="LPF142" s="418"/>
      <c r="LPG142" s="418"/>
      <c r="LPH142" s="418"/>
      <c r="LPI142" s="418"/>
      <c r="LPJ142" s="418"/>
      <c r="LPK142" s="418"/>
      <c r="LPL142" s="418"/>
      <c r="LPM142" s="418"/>
      <c r="LPN142" s="418"/>
      <c r="LPO142" s="418"/>
      <c r="LPP142" s="418"/>
      <c r="LPQ142" s="418"/>
      <c r="LPR142" s="418"/>
      <c r="LPS142" s="418"/>
      <c r="LPT142" s="418"/>
      <c r="LPU142" s="418"/>
      <c r="LPV142" s="418"/>
      <c r="LPW142" s="418"/>
      <c r="LPX142" s="418"/>
      <c r="LPY142" s="418"/>
      <c r="LPZ142" s="418"/>
      <c r="LQA142" s="418"/>
      <c r="LQB142" s="418"/>
      <c r="LQC142" s="418"/>
      <c r="LQD142" s="418"/>
      <c r="LQE142" s="418"/>
      <c r="LQF142" s="418"/>
      <c r="LQG142" s="418"/>
      <c r="LQH142" s="418"/>
      <c r="LQI142" s="418"/>
      <c r="LQJ142" s="418"/>
      <c r="LQK142" s="418"/>
      <c r="LQL142" s="418"/>
      <c r="LQM142" s="418"/>
      <c r="LQN142" s="418"/>
      <c r="LQO142" s="418"/>
      <c r="LQP142" s="418"/>
      <c r="LQQ142" s="418"/>
      <c r="LQR142" s="418"/>
      <c r="LQS142" s="418"/>
      <c r="LQT142" s="418"/>
      <c r="LQU142" s="418"/>
      <c r="LQV142" s="418"/>
      <c r="LQW142" s="418"/>
      <c r="LQX142" s="418"/>
      <c r="LQY142" s="418"/>
      <c r="LQZ142" s="418"/>
      <c r="LRA142" s="418"/>
      <c r="LRB142" s="418"/>
      <c r="LRC142" s="418"/>
      <c r="LRD142" s="418"/>
      <c r="LRE142" s="418"/>
      <c r="LRF142" s="418"/>
      <c r="LRG142" s="418"/>
      <c r="LRH142" s="418"/>
      <c r="LRI142" s="418"/>
      <c r="LRJ142" s="418"/>
      <c r="LRK142" s="418"/>
      <c r="LRL142" s="418"/>
      <c r="LRM142" s="418"/>
      <c r="LRN142" s="418"/>
      <c r="LRO142" s="418"/>
      <c r="LRP142" s="418"/>
      <c r="LRQ142" s="418"/>
      <c r="LRR142" s="418"/>
      <c r="LRS142" s="418"/>
      <c r="LRT142" s="418"/>
      <c r="LRU142" s="418"/>
      <c r="LRV142" s="418"/>
      <c r="LRW142" s="418"/>
      <c r="LRX142" s="418"/>
      <c r="LRY142" s="418"/>
      <c r="LRZ142" s="418"/>
      <c r="LSA142" s="418"/>
      <c r="LSB142" s="418"/>
      <c r="LSC142" s="418"/>
      <c r="LSD142" s="418"/>
      <c r="LSE142" s="418"/>
      <c r="LSF142" s="418"/>
      <c r="LSG142" s="418"/>
      <c r="LSH142" s="418"/>
      <c r="LSI142" s="418"/>
      <c r="LSJ142" s="418"/>
      <c r="LSK142" s="418"/>
      <c r="LSL142" s="418"/>
      <c r="LSM142" s="418"/>
      <c r="LSN142" s="418"/>
      <c r="LSO142" s="418"/>
      <c r="LSP142" s="418"/>
      <c r="LSQ142" s="418"/>
      <c r="LSR142" s="418"/>
      <c r="LSS142" s="418"/>
      <c r="LST142" s="418"/>
      <c r="LSU142" s="418"/>
      <c r="LSV142" s="418"/>
      <c r="LSW142" s="418"/>
      <c r="LSX142" s="418"/>
      <c r="LSY142" s="418"/>
      <c r="LSZ142" s="418"/>
      <c r="LTA142" s="418"/>
      <c r="LTB142" s="418"/>
      <c r="LTC142" s="418"/>
      <c r="LTD142" s="418"/>
      <c r="LTE142" s="418"/>
      <c r="LTF142" s="418"/>
      <c r="LTG142" s="418"/>
      <c r="LTH142" s="418"/>
      <c r="LTI142" s="418"/>
      <c r="LTJ142" s="418"/>
      <c r="LTK142" s="418"/>
      <c r="LTL142" s="418"/>
      <c r="LTM142" s="418"/>
      <c r="LTN142" s="418"/>
      <c r="LTO142" s="418"/>
      <c r="LTP142" s="418"/>
      <c r="LTQ142" s="418"/>
      <c r="LTR142" s="418"/>
      <c r="LTS142" s="418"/>
      <c r="LTT142" s="418"/>
      <c r="LTU142" s="418"/>
      <c r="LTV142" s="418"/>
      <c r="LTW142" s="418"/>
      <c r="LTX142" s="418"/>
      <c r="LTY142" s="418"/>
      <c r="LTZ142" s="418"/>
      <c r="LUA142" s="418"/>
      <c r="LUB142" s="418"/>
      <c r="LUC142" s="418"/>
      <c r="LUD142" s="418"/>
      <c r="LUE142" s="418"/>
      <c r="LUF142" s="418"/>
      <c r="LUG142" s="418"/>
      <c r="LUH142" s="418"/>
      <c r="LUI142" s="418"/>
      <c r="LUJ142" s="418"/>
      <c r="LUK142" s="418"/>
      <c r="LUL142" s="418"/>
      <c r="LUM142" s="418"/>
      <c r="LUN142" s="418"/>
      <c r="LUO142" s="418"/>
      <c r="LUP142" s="418"/>
      <c r="LUQ142" s="418"/>
      <c r="LUR142" s="418"/>
      <c r="LUS142" s="418"/>
      <c r="LUT142" s="418"/>
      <c r="LUU142" s="418"/>
      <c r="LUV142" s="418"/>
      <c r="LUW142" s="418"/>
      <c r="LUX142" s="418"/>
      <c r="LUY142" s="418"/>
      <c r="LUZ142" s="418"/>
      <c r="LVA142" s="418"/>
      <c r="LVB142" s="418"/>
      <c r="LVC142" s="418"/>
      <c r="LVD142" s="418"/>
      <c r="LVE142" s="418"/>
      <c r="LVF142" s="418"/>
      <c r="LVG142" s="418"/>
      <c r="LVH142" s="418"/>
      <c r="LVI142" s="418"/>
      <c r="LVJ142" s="418"/>
      <c r="LVK142" s="418"/>
      <c r="LVL142" s="418"/>
      <c r="LVM142" s="418"/>
      <c r="LVN142" s="418"/>
      <c r="LVO142" s="418"/>
      <c r="LVP142" s="418"/>
      <c r="LVQ142" s="418"/>
      <c r="LVR142" s="418"/>
      <c r="LVS142" s="418"/>
      <c r="LVT142" s="418"/>
      <c r="LVU142" s="418"/>
      <c r="LVV142" s="418"/>
      <c r="LVW142" s="418"/>
      <c r="LVX142" s="418"/>
      <c r="LVY142" s="418"/>
      <c r="LVZ142" s="418"/>
      <c r="LWA142" s="418"/>
      <c r="LWB142" s="418"/>
      <c r="LWC142" s="418"/>
      <c r="LWD142" s="418"/>
      <c r="LWE142" s="418"/>
      <c r="LWF142" s="418"/>
      <c r="LWG142" s="418"/>
      <c r="LWH142" s="418"/>
      <c r="LWI142" s="418"/>
      <c r="LWJ142" s="418"/>
      <c r="LWK142" s="418"/>
      <c r="LWL142" s="418"/>
      <c r="LWM142" s="418"/>
      <c r="LWN142" s="418"/>
      <c r="LWO142" s="418"/>
      <c r="LWP142" s="418"/>
      <c r="LWQ142" s="418"/>
      <c r="LWR142" s="418"/>
      <c r="LWS142" s="418"/>
      <c r="LWT142" s="418"/>
      <c r="LWU142" s="418"/>
      <c r="LWV142" s="418"/>
      <c r="LWW142" s="418"/>
      <c r="LWX142" s="418"/>
      <c r="LWY142" s="418"/>
      <c r="LWZ142" s="418"/>
      <c r="LXA142" s="418"/>
      <c r="LXB142" s="418"/>
      <c r="LXC142" s="418"/>
      <c r="LXD142" s="418"/>
      <c r="LXE142" s="418"/>
      <c r="LXF142" s="418"/>
      <c r="LXG142" s="418"/>
      <c r="LXH142" s="418"/>
      <c r="LXI142" s="418"/>
      <c r="LXJ142" s="418"/>
      <c r="LXK142" s="418"/>
      <c r="LXL142" s="418"/>
      <c r="LXM142" s="418"/>
      <c r="LXN142" s="418"/>
      <c r="LXO142" s="418"/>
      <c r="LXP142" s="418"/>
      <c r="LXQ142" s="418"/>
      <c r="LXR142" s="418"/>
      <c r="LXS142" s="418"/>
      <c r="LXT142" s="418"/>
      <c r="LXU142" s="418"/>
      <c r="LXV142" s="418"/>
      <c r="LXW142" s="418"/>
      <c r="LXX142" s="418"/>
      <c r="LXY142" s="418"/>
      <c r="LXZ142" s="418"/>
      <c r="LYA142" s="418"/>
      <c r="LYB142" s="418"/>
      <c r="LYC142" s="418"/>
      <c r="LYD142" s="418"/>
      <c r="LYE142" s="418"/>
      <c r="LYF142" s="418"/>
      <c r="LYG142" s="418"/>
      <c r="LYH142" s="418"/>
      <c r="LYI142" s="418"/>
      <c r="LYJ142" s="418"/>
      <c r="LYK142" s="418"/>
      <c r="LYL142" s="418"/>
      <c r="LYM142" s="418"/>
      <c r="LYN142" s="418"/>
      <c r="LYO142" s="418"/>
      <c r="LYP142" s="418"/>
      <c r="LYQ142" s="418"/>
      <c r="LYR142" s="418"/>
      <c r="LYS142" s="418"/>
      <c r="LYT142" s="418"/>
      <c r="LYU142" s="418"/>
      <c r="LYV142" s="418"/>
      <c r="LYW142" s="418"/>
      <c r="LYX142" s="418"/>
      <c r="LYY142" s="418"/>
      <c r="LYZ142" s="418"/>
      <c r="LZA142" s="418"/>
      <c r="LZB142" s="418"/>
      <c r="LZC142" s="418"/>
      <c r="LZD142" s="418"/>
      <c r="LZE142" s="418"/>
      <c r="LZF142" s="418"/>
      <c r="LZG142" s="418"/>
      <c r="LZH142" s="418"/>
      <c r="LZI142" s="418"/>
      <c r="LZJ142" s="418"/>
      <c r="LZK142" s="418"/>
      <c r="LZL142" s="418"/>
      <c r="LZM142" s="418"/>
      <c r="LZN142" s="418"/>
      <c r="LZO142" s="418"/>
      <c r="LZP142" s="418"/>
      <c r="LZQ142" s="418"/>
      <c r="LZR142" s="418"/>
      <c r="LZS142" s="418"/>
      <c r="LZT142" s="418"/>
      <c r="LZU142" s="418"/>
      <c r="LZV142" s="418"/>
      <c r="LZW142" s="418"/>
      <c r="LZX142" s="418"/>
      <c r="LZY142" s="418"/>
      <c r="LZZ142" s="418"/>
      <c r="MAA142" s="418"/>
      <c r="MAB142" s="418"/>
      <c r="MAC142" s="418"/>
      <c r="MAD142" s="418"/>
      <c r="MAE142" s="418"/>
      <c r="MAF142" s="418"/>
      <c r="MAG142" s="418"/>
      <c r="MAH142" s="418"/>
      <c r="MAI142" s="418"/>
      <c r="MAJ142" s="418"/>
      <c r="MAK142" s="418"/>
      <c r="MAL142" s="418"/>
      <c r="MAM142" s="418"/>
      <c r="MAN142" s="418"/>
      <c r="MAO142" s="418"/>
      <c r="MAP142" s="418"/>
      <c r="MAQ142" s="418"/>
      <c r="MAR142" s="418"/>
      <c r="MAS142" s="418"/>
      <c r="MAT142" s="418"/>
      <c r="MAU142" s="418"/>
      <c r="MAV142" s="418"/>
      <c r="MAW142" s="418"/>
      <c r="MAX142" s="418"/>
      <c r="MAY142" s="418"/>
      <c r="MAZ142" s="418"/>
      <c r="MBA142" s="418"/>
      <c r="MBB142" s="418"/>
      <c r="MBC142" s="418"/>
      <c r="MBD142" s="418"/>
      <c r="MBE142" s="418"/>
      <c r="MBF142" s="418"/>
      <c r="MBG142" s="418"/>
      <c r="MBH142" s="418"/>
      <c r="MBI142" s="418"/>
      <c r="MBJ142" s="418"/>
      <c r="MBK142" s="418"/>
      <c r="MBL142" s="418"/>
      <c r="MBM142" s="418"/>
      <c r="MBN142" s="418"/>
      <c r="MBO142" s="418"/>
      <c r="MBP142" s="418"/>
      <c r="MBQ142" s="418"/>
      <c r="MBR142" s="418"/>
      <c r="MBS142" s="418"/>
      <c r="MBT142" s="418"/>
      <c r="MBU142" s="418"/>
      <c r="MBV142" s="418"/>
      <c r="MBW142" s="418"/>
      <c r="MBX142" s="418"/>
      <c r="MBY142" s="418"/>
      <c r="MBZ142" s="418"/>
      <c r="MCA142" s="418"/>
      <c r="MCB142" s="418"/>
      <c r="MCC142" s="418"/>
      <c r="MCD142" s="418"/>
      <c r="MCE142" s="418"/>
      <c r="MCF142" s="418"/>
      <c r="MCG142" s="418"/>
      <c r="MCH142" s="418"/>
      <c r="MCI142" s="418"/>
      <c r="MCJ142" s="418"/>
      <c r="MCK142" s="418"/>
      <c r="MCL142" s="418"/>
      <c r="MCM142" s="418"/>
      <c r="MCN142" s="418"/>
      <c r="MCO142" s="418"/>
      <c r="MCP142" s="418"/>
      <c r="MCQ142" s="418"/>
      <c r="MCR142" s="418"/>
      <c r="MCS142" s="418"/>
      <c r="MCT142" s="418"/>
      <c r="MCU142" s="418"/>
      <c r="MCV142" s="418"/>
      <c r="MCW142" s="418"/>
      <c r="MCX142" s="418"/>
      <c r="MCY142" s="418"/>
      <c r="MCZ142" s="418"/>
      <c r="MDA142" s="418"/>
      <c r="MDB142" s="418"/>
      <c r="MDC142" s="418"/>
      <c r="MDD142" s="418"/>
      <c r="MDE142" s="418"/>
      <c r="MDF142" s="418"/>
      <c r="MDG142" s="418"/>
      <c r="MDH142" s="418"/>
      <c r="MDI142" s="418"/>
      <c r="MDJ142" s="418"/>
      <c r="MDK142" s="418"/>
      <c r="MDL142" s="418"/>
      <c r="MDM142" s="418"/>
      <c r="MDN142" s="418"/>
      <c r="MDO142" s="418"/>
      <c r="MDP142" s="418"/>
      <c r="MDQ142" s="418"/>
      <c r="MDR142" s="418"/>
      <c r="MDS142" s="418"/>
      <c r="MDT142" s="418"/>
      <c r="MDU142" s="418"/>
      <c r="MDV142" s="418"/>
      <c r="MDW142" s="418"/>
      <c r="MDX142" s="418"/>
      <c r="MDY142" s="418"/>
      <c r="MDZ142" s="418"/>
      <c r="MEA142" s="418"/>
      <c r="MEB142" s="418"/>
      <c r="MEC142" s="418"/>
      <c r="MED142" s="418"/>
      <c r="MEE142" s="418"/>
      <c r="MEF142" s="418"/>
      <c r="MEG142" s="418"/>
      <c r="MEH142" s="418"/>
      <c r="MEI142" s="418"/>
      <c r="MEJ142" s="418"/>
      <c r="MEK142" s="418"/>
      <c r="MEL142" s="418"/>
      <c r="MEM142" s="418"/>
      <c r="MEN142" s="418"/>
      <c r="MEO142" s="418"/>
      <c r="MEP142" s="418"/>
      <c r="MEQ142" s="418"/>
      <c r="MER142" s="418"/>
      <c r="MES142" s="418"/>
      <c r="MET142" s="418"/>
      <c r="MEU142" s="418"/>
      <c r="MEV142" s="418"/>
      <c r="MEW142" s="418"/>
      <c r="MEX142" s="418"/>
      <c r="MEY142" s="418"/>
      <c r="MEZ142" s="418"/>
      <c r="MFA142" s="418"/>
      <c r="MFB142" s="418"/>
      <c r="MFC142" s="418"/>
      <c r="MFD142" s="418"/>
      <c r="MFE142" s="418"/>
      <c r="MFF142" s="418"/>
      <c r="MFG142" s="418"/>
      <c r="MFH142" s="418"/>
      <c r="MFI142" s="418"/>
      <c r="MFJ142" s="418"/>
      <c r="MFK142" s="418"/>
      <c r="MFL142" s="418"/>
      <c r="MFM142" s="418"/>
      <c r="MFN142" s="418"/>
      <c r="MFO142" s="418"/>
      <c r="MFP142" s="418"/>
      <c r="MFQ142" s="418"/>
      <c r="MFR142" s="418"/>
      <c r="MFS142" s="418"/>
      <c r="MFT142" s="418"/>
      <c r="MFU142" s="418"/>
      <c r="MFV142" s="418"/>
      <c r="MFW142" s="418"/>
      <c r="MFX142" s="418"/>
      <c r="MFY142" s="418"/>
      <c r="MFZ142" s="418"/>
      <c r="MGA142" s="418"/>
      <c r="MGB142" s="418"/>
      <c r="MGC142" s="418"/>
      <c r="MGD142" s="418"/>
      <c r="MGE142" s="418"/>
      <c r="MGF142" s="418"/>
      <c r="MGG142" s="418"/>
      <c r="MGH142" s="418"/>
      <c r="MGI142" s="418"/>
      <c r="MGJ142" s="418"/>
      <c r="MGK142" s="418"/>
      <c r="MGL142" s="418"/>
      <c r="MGM142" s="418"/>
      <c r="MGN142" s="418"/>
      <c r="MGO142" s="418"/>
      <c r="MGP142" s="418"/>
      <c r="MGQ142" s="418"/>
      <c r="MGR142" s="418"/>
      <c r="MGS142" s="418"/>
      <c r="MGT142" s="418"/>
      <c r="MGU142" s="418"/>
      <c r="MGV142" s="418"/>
      <c r="MGW142" s="418"/>
      <c r="MGX142" s="418"/>
      <c r="MGY142" s="418"/>
      <c r="MGZ142" s="418"/>
      <c r="MHA142" s="418"/>
      <c r="MHB142" s="418"/>
      <c r="MHC142" s="418"/>
      <c r="MHD142" s="418"/>
      <c r="MHE142" s="418"/>
      <c r="MHF142" s="418"/>
      <c r="MHG142" s="418"/>
      <c r="MHH142" s="418"/>
      <c r="MHI142" s="418"/>
      <c r="MHJ142" s="418"/>
      <c r="MHK142" s="418"/>
      <c r="MHL142" s="418"/>
      <c r="MHM142" s="418"/>
      <c r="MHN142" s="418"/>
      <c r="MHO142" s="418"/>
      <c r="MHP142" s="418"/>
      <c r="MHQ142" s="418"/>
      <c r="MHR142" s="418"/>
      <c r="MHS142" s="418"/>
      <c r="MHT142" s="418"/>
      <c r="MHU142" s="418"/>
      <c r="MHV142" s="418"/>
      <c r="MHW142" s="418"/>
      <c r="MHX142" s="418"/>
      <c r="MHY142" s="418"/>
      <c r="MHZ142" s="418"/>
      <c r="MIA142" s="418"/>
      <c r="MIB142" s="418"/>
      <c r="MIC142" s="418"/>
      <c r="MID142" s="418"/>
      <c r="MIE142" s="418"/>
      <c r="MIF142" s="418"/>
      <c r="MIG142" s="418"/>
      <c r="MIH142" s="418"/>
      <c r="MII142" s="418"/>
      <c r="MIJ142" s="418"/>
      <c r="MIK142" s="418"/>
      <c r="MIL142" s="418"/>
      <c r="MIM142" s="418"/>
      <c r="MIN142" s="418"/>
      <c r="MIO142" s="418"/>
      <c r="MIP142" s="418"/>
      <c r="MIQ142" s="418"/>
      <c r="MIR142" s="418"/>
      <c r="MIS142" s="418"/>
      <c r="MIT142" s="418"/>
      <c r="MIU142" s="418"/>
      <c r="MIV142" s="418"/>
      <c r="MIW142" s="418"/>
      <c r="MIX142" s="418"/>
      <c r="MIY142" s="418"/>
      <c r="MIZ142" s="418"/>
      <c r="MJA142" s="418"/>
      <c r="MJB142" s="418"/>
      <c r="MJC142" s="418"/>
      <c r="MJD142" s="418"/>
      <c r="MJE142" s="418"/>
      <c r="MJF142" s="418"/>
      <c r="MJG142" s="418"/>
      <c r="MJH142" s="418"/>
      <c r="MJI142" s="418"/>
      <c r="MJJ142" s="418"/>
      <c r="MJK142" s="418"/>
      <c r="MJL142" s="418"/>
      <c r="MJM142" s="418"/>
      <c r="MJN142" s="418"/>
      <c r="MJO142" s="418"/>
      <c r="MJP142" s="418"/>
      <c r="MJQ142" s="418"/>
      <c r="MJR142" s="418"/>
      <c r="MJS142" s="418"/>
      <c r="MJT142" s="418"/>
      <c r="MJU142" s="418"/>
      <c r="MJV142" s="418"/>
      <c r="MJW142" s="418"/>
      <c r="MJX142" s="418"/>
      <c r="MJY142" s="418"/>
      <c r="MJZ142" s="418"/>
      <c r="MKA142" s="418"/>
      <c r="MKB142" s="418"/>
      <c r="MKC142" s="418"/>
      <c r="MKD142" s="418"/>
      <c r="MKE142" s="418"/>
      <c r="MKF142" s="418"/>
      <c r="MKG142" s="418"/>
      <c r="MKH142" s="418"/>
      <c r="MKI142" s="418"/>
      <c r="MKJ142" s="418"/>
      <c r="MKK142" s="418"/>
      <c r="MKL142" s="418"/>
      <c r="MKM142" s="418"/>
      <c r="MKN142" s="418"/>
      <c r="MKO142" s="418"/>
      <c r="MKP142" s="418"/>
      <c r="MKQ142" s="418"/>
      <c r="MKR142" s="418"/>
      <c r="MKS142" s="418"/>
      <c r="MKT142" s="418"/>
      <c r="MKU142" s="418"/>
      <c r="MKV142" s="418"/>
      <c r="MKW142" s="418"/>
      <c r="MKX142" s="418"/>
      <c r="MKY142" s="418"/>
      <c r="MKZ142" s="418"/>
      <c r="MLA142" s="418"/>
      <c r="MLB142" s="418"/>
      <c r="MLC142" s="418"/>
      <c r="MLD142" s="418"/>
      <c r="MLE142" s="418"/>
      <c r="MLF142" s="418"/>
      <c r="MLG142" s="418"/>
      <c r="MLH142" s="418"/>
      <c r="MLI142" s="418"/>
      <c r="MLJ142" s="418"/>
      <c r="MLK142" s="418"/>
      <c r="MLL142" s="418"/>
      <c r="MLM142" s="418"/>
      <c r="MLN142" s="418"/>
      <c r="MLO142" s="418"/>
      <c r="MLP142" s="418"/>
      <c r="MLQ142" s="418"/>
      <c r="MLR142" s="418"/>
      <c r="MLS142" s="418"/>
      <c r="MLT142" s="418"/>
      <c r="MLU142" s="418"/>
      <c r="MLV142" s="418"/>
      <c r="MLW142" s="418"/>
      <c r="MLX142" s="418"/>
      <c r="MLY142" s="418"/>
      <c r="MLZ142" s="418"/>
      <c r="MMA142" s="418"/>
      <c r="MMB142" s="418"/>
      <c r="MMC142" s="418"/>
      <c r="MMD142" s="418"/>
      <c r="MME142" s="418"/>
      <c r="MMF142" s="418"/>
      <c r="MMG142" s="418"/>
      <c r="MMH142" s="418"/>
      <c r="MMI142" s="418"/>
      <c r="MMJ142" s="418"/>
      <c r="MMK142" s="418"/>
      <c r="MML142" s="418"/>
      <c r="MMM142" s="418"/>
      <c r="MMN142" s="418"/>
      <c r="MMO142" s="418"/>
      <c r="MMP142" s="418"/>
      <c r="MMQ142" s="418"/>
      <c r="MMR142" s="418"/>
      <c r="MMS142" s="418"/>
      <c r="MMT142" s="418"/>
      <c r="MMU142" s="418"/>
      <c r="MMV142" s="418"/>
      <c r="MMW142" s="418"/>
      <c r="MMX142" s="418"/>
      <c r="MMY142" s="418"/>
      <c r="MMZ142" s="418"/>
      <c r="MNA142" s="418"/>
      <c r="MNB142" s="418"/>
      <c r="MNC142" s="418"/>
      <c r="MND142" s="418"/>
      <c r="MNE142" s="418"/>
      <c r="MNF142" s="418"/>
      <c r="MNG142" s="418"/>
      <c r="MNH142" s="418"/>
      <c r="MNI142" s="418"/>
      <c r="MNJ142" s="418"/>
      <c r="MNK142" s="418"/>
      <c r="MNL142" s="418"/>
      <c r="MNM142" s="418"/>
      <c r="MNN142" s="418"/>
      <c r="MNO142" s="418"/>
      <c r="MNP142" s="418"/>
      <c r="MNQ142" s="418"/>
      <c r="MNR142" s="418"/>
      <c r="MNS142" s="418"/>
      <c r="MNT142" s="418"/>
      <c r="MNU142" s="418"/>
      <c r="MNV142" s="418"/>
      <c r="MNW142" s="418"/>
      <c r="MNX142" s="418"/>
      <c r="MNY142" s="418"/>
      <c r="MNZ142" s="418"/>
      <c r="MOA142" s="418"/>
      <c r="MOB142" s="418"/>
      <c r="MOC142" s="418"/>
      <c r="MOD142" s="418"/>
      <c r="MOE142" s="418"/>
      <c r="MOF142" s="418"/>
      <c r="MOG142" s="418"/>
      <c r="MOH142" s="418"/>
      <c r="MOI142" s="418"/>
      <c r="MOJ142" s="418"/>
      <c r="MOK142" s="418"/>
      <c r="MOL142" s="418"/>
      <c r="MOM142" s="418"/>
      <c r="MON142" s="418"/>
      <c r="MOO142" s="418"/>
      <c r="MOP142" s="418"/>
      <c r="MOQ142" s="418"/>
      <c r="MOR142" s="418"/>
      <c r="MOS142" s="418"/>
      <c r="MOT142" s="418"/>
      <c r="MOU142" s="418"/>
      <c r="MOV142" s="418"/>
      <c r="MOW142" s="418"/>
      <c r="MOX142" s="418"/>
      <c r="MOY142" s="418"/>
      <c r="MOZ142" s="418"/>
      <c r="MPA142" s="418"/>
      <c r="MPB142" s="418"/>
      <c r="MPC142" s="418"/>
      <c r="MPD142" s="418"/>
      <c r="MPE142" s="418"/>
      <c r="MPF142" s="418"/>
      <c r="MPG142" s="418"/>
      <c r="MPH142" s="418"/>
      <c r="MPI142" s="418"/>
      <c r="MPJ142" s="418"/>
      <c r="MPK142" s="418"/>
      <c r="MPL142" s="418"/>
      <c r="MPM142" s="418"/>
      <c r="MPN142" s="418"/>
      <c r="MPO142" s="418"/>
      <c r="MPP142" s="418"/>
      <c r="MPQ142" s="418"/>
      <c r="MPR142" s="418"/>
      <c r="MPS142" s="418"/>
      <c r="MPT142" s="418"/>
      <c r="MPU142" s="418"/>
      <c r="MPV142" s="418"/>
      <c r="MPW142" s="418"/>
      <c r="MPX142" s="418"/>
      <c r="MPY142" s="418"/>
      <c r="MPZ142" s="418"/>
      <c r="MQA142" s="418"/>
      <c r="MQB142" s="418"/>
      <c r="MQC142" s="418"/>
      <c r="MQD142" s="418"/>
      <c r="MQE142" s="418"/>
      <c r="MQF142" s="418"/>
      <c r="MQG142" s="418"/>
      <c r="MQH142" s="418"/>
      <c r="MQI142" s="418"/>
      <c r="MQJ142" s="418"/>
      <c r="MQK142" s="418"/>
      <c r="MQL142" s="418"/>
      <c r="MQM142" s="418"/>
      <c r="MQN142" s="418"/>
      <c r="MQO142" s="418"/>
      <c r="MQP142" s="418"/>
      <c r="MQQ142" s="418"/>
      <c r="MQR142" s="418"/>
      <c r="MQS142" s="418"/>
      <c r="MQT142" s="418"/>
      <c r="MQU142" s="418"/>
      <c r="MQV142" s="418"/>
      <c r="MQW142" s="418"/>
      <c r="MQX142" s="418"/>
      <c r="MQY142" s="418"/>
      <c r="MQZ142" s="418"/>
      <c r="MRA142" s="418"/>
      <c r="MRB142" s="418"/>
      <c r="MRC142" s="418"/>
      <c r="MRD142" s="418"/>
      <c r="MRE142" s="418"/>
      <c r="MRF142" s="418"/>
      <c r="MRG142" s="418"/>
      <c r="MRH142" s="418"/>
      <c r="MRI142" s="418"/>
      <c r="MRJ142" s="418"/>
      <c r="MRK142" s="418"/>
      <c r="MRL142" s="418"/>
      <c r="MRM142" s="418"/>
      <c r="MRN142" s="418"/>
      <c r="MRO142" s="418"/>
      <c r="MRP142" s="418"/>
      <c r="MRQ142" s="418"/>
      <c r="MRR142" s="418"/>
      <c r="MRS142" s="418"/>
      <c r="MRT142" s="418"/>
      <c r="MRU142" s="418"/>
      <c r="MRV142" s="418"/>
      <c r="MRW142" s="418"/>
      <c r="MRX142" s="418"/>
      <c r="MRY142" s="418"/>
      <c r="MRZ142" s="418"/>
      <c r="MSA142" s="418"/>
      <c r="MSB142" s="418"/>
      <c r="MSC142" s="418"/>
      <c r="MSD142" s="418"/>
      <c r="MSE142" s="418"/>
      <c r="MSF142" s="418"/>
      <c r="MSG142" s="418"/>
      <c r="MSH142" s="418"/>
      <c r="MSI142" s="418"/>
      <c r="MSJ142" s="418"/>
      <c r="MSK142" s="418"/>
      <c r="MSL142" s="418"/>
      <c r="MSM142" s="418"/>
      <c r="MSN142" s="418"/>
      <c r="MSO142" s="418"/>
      <c r="MSP142" s="418"/>
      <c r="MSQ142" s="418"/>
      <c r="MSR142" s="418"/>
      <c r="MSS142" s="418"/>
      <c r="MST142" s="418"/>
      <c r="MSU142" s="418"/>
      <c r="MSV142" s="418"/>
      <c r="MSW142" s="418"/>
      <c r="MSX142" s="418"/>
      <c r="MSY142" s="418"/>
      <c r="MSZ142" s="418"/>
      <c r="MTA142" s="418"/>
      <c r="MTB142" s="418"/>
      <c r="MTC142" s="418"/>
      <c r="MTD142" s="418"/>
      <c r="MTE142" s="418"/>
      <c r="MTF142" s="418"/>
      <c r="MTG142" s="418"/>
      <c r="MTH142" s="418"/>
      <c r="MTI142" s="418"/>
      <c r="MTJ142" s="418"/>
      <c r="MTK142" s="418"/>
      <c r="MTL142" s="418"/>
      <c r="MTM142" s="418"/>
      <c r="MTN142" s="418"/>
      <c r="MTO142" s="418"/>
      <c r="MTP142" s="418"/>
      <c r="MTQ142" s="418"/>
      <c r="MTR142" s="418"/>
      <c r="MTS142" s="418"/>
      <c r="MTT142" s="418"/>
      <c r="MTU142" s="418"/>
      <c r="MTV142" s="418"/>
      <c r="MTW142" s="418"/>
      <c r="MTX142" s="418"/>
      <c r="MTY142" s="418"/>
      <c r="MTZ142" s="418"/>
      <c r="MUA142" s="418"/>
      <c r="MUB142" s="418"/>
      <c r="MUC142" s="418"/>
      <c r="MUD142" s="418"/>
      <c r="MUE142" s="418"/>
      <c r="MUF142" s="418"/>
      <c r="MUG142" s="418"/>
      <c r="MUH142" s="418"/>
      <c r="MUI142" s="418"/>
      <c r="MUJ142" s="418"/>
      <c r="MUK142" s="418"/>
      <c r="MUL142" s="418"/>
      <c r="MUM142" s="418"/>
      <c r="MUN142" s="418"/>
      <c r="MUO142" s="418"/>
      <c r="MUP142" s="418"/>
      <c r="MUQ142" s="418"/>
      <c r="MUR142" s="418"/>
      <c r="MUS142" s="418"/>
      <c r="MUT142" s="418"/>
      <c r="MUU142" s="418"/>
      <c r="MUV142" s="418"/>
      <c r="MUW142" s="418"/>
      <c r="MUX142" s="418"/>
      <c r="MUY142" s="418"/>
      <c r="MUZ142" s="418"/>
      <c r="MVA142" s="418"/>
      <c r="MVB142" s="418"/>
      <c r="MVC142" s="418"/>
      <c r="MVD142" s="418"/>
      <c r="MVE142" s="418"/>
      <c r="MVF142" s="418"/>
      <c r="MVG142" s="418"/>
      <c r="MVH142" s="418"/>
      <c r="MVI142" s="418"/>
      <c r="MVJ142" s="418"/>
      <c r="MVK142" s="418"/>
      <c r="MVL142" s="418"/>
      <c r="MVM142" s="418"/>
      <c r="MVN142" s="418"/>
      <c r="MVO142" s="418"/>
      <c r="MVP142" s="418"/>
      <c r="MVQ142" s="418"/>
      <c r="MVR142" s="418"/>
      <c r="MVS142" s="418"/>
      <c r="MVT142" s="418"/>
      <c r="MVU142" s="418"/>
      <c r="MVV142" s="418"/>
      <c r="MVW142" s="418"/>
      <c r="MVX142" s="418"/>
      <c r="MVY142" s="418"/>
      <c r="MVZ142" s="418"/>
      <c r="MWA142" s="418"/>
      <c r="MWB142" s="418"/>
      <c r="MWC142" s="418"/>
      <c r="MWD142" s="418"/>
      <c r="MWE142" s="418"/>
      <c r="MWF142" s="418"/>
      <c r="MWG142" s="418"/>
      <c r="MWH142" s="418"/>
      <c r="MWI142" s="418"/>
      <c r="MWJ142" s="418"/>
      <c r="MWK142" s="418"/>
      <c r="MWL142" s="418"/>
      <c r="MWM142" s="418"/>
      <c r="MWN142" s="418"/>
      <c r="MWO142" s="418"/>
      <c r="MWP142" s="418"/>
      <c r="MWQ142" s="418"/>
      <c r="MWR142" s="418"/>
      <c r="MWS142" s="418"/>
      <c r="MWT142" s="418"/>
      <c r="MWU142" s="418"/>
      <c r="MWV142" s="418"/>
      <c r="MWW142" s="418"/>
      <c r="MWX142" s="418"/>
      <c r="MWY142" s="418"/>
      <c r="MWZ142" s="418"/>
      <c r="MXA142" s="418"/>
      <c r="MXB142" s="418"/>
      <c r="MXC142" s="418"/>
      <c r="MXD142" s="418"/>
      <c r="MXE142" s="418"/>
      <c r="MXF142" s="418"/>
      <c r="MXG142" s="418"/>
      <c r="MXH142" s="418"/>
      <c r="MXI142" s="418"/>
      <c r="MXJ142" s="418"/>
      <c r="MXK142" s="418"/>
      <c r="MXL142" s="418"/>
      <c r="MXM142" s="418"/>
      <c r="MXN142" s="418"/>
      <c r="MXO142" s="418"/>
      <c r="MXP142" s="418"/>
      <c r="MXQ142" s="418"/>
      <c r="MXR142" s="418"/>
      <c r="MXS142" s="418"/>
      <c r="MXT142" s="418"/>
      <c r="MXU142" s="418"/>
      <c r="MXV142" s="418"/>
      <c r="MXW142" s="418"/>
      <c r="MXX142" s="418"/>
      <c r="MXY142" s="418"/>
      <c r="MXZ142" s="418"/>
      <c r="MYA142" s="418"/>
      <c r="MYB142" s="418"/>
      <c r="MYC142" s="418"/>
      <c r="MYD142" s="418"/>
      <c r="MYE142" s="418"/>
      <c r="MYF142" s="418"/>
      <c r="MYG142" s="418"/>
      <c r="MYH142" s="418"/>
      <c r="MYI142" s="418"/>
      <c r="MYJ142" s="418"/>
      <c r="MYK142" s="418"/>
      <c r="MYL142" s="418"/>
      <c r="MYM142" s="418"/>
      <c r="MYN142" s="418"/>
      <c r="MYO142" s="418"/>
      <c r="MYP142" s="418"/>
      <c r="MYQ142" s="418"/>
      <c r="MYR142" s="418"/>
      <c r="MYS142" s="418"/>
      <c r="MYT142" s="418"/>
      <c r="MYU142" s="418"/>
      <c r="MYV142" s="418"/>
      <c r="MYW142" s="418"/>
      <c r="MYX142" s="418"/>
      <c r="MYY142" s="418"/>
      <c r="MYZ142" s="418"/>
      <c r="MZA142" s="418"/>
      <c r="MZB142" s="418"/>
      <c r="MZC142" s="418"/>
      <c r="MZD142" s="418"/>
      <c r="MZE142" s="418"/>
      <c r="MZF142" s="418"/>
      <c r="MZG142" s="418"/>
      <c r="MZH142" s="418"/>
      <c r="MZI142" s="418"/>
      <c r="MZJ142" s="418"/>
      <c r="MZK142" s="418"/>
      <c r="MZL142" s="418"/>
      <c r="MZM142" s="418"/>
      <c r="MZN142" s="418"/>
      <c r="MZO142" s="418"/>
      <c r="MZP142" s="418"/>
      <c r="MZQ142" s="418"/>
      <c r="MZR142" s="418"/>
      <c r="MZS142" s="418"/>
      <c r="MZT142" s="418"/>
      <c r="MZU142" s="418"/>
      <c r="MZV142" s="418"/>
      <c r="MZW142" s="418"/>
      <c r="MZX142" s="418"/>
      <c r="MZY142" s="418"/>
      <c r="MZZ142" s="418"/>
      <c r="NAA142" s="418"/>
      <c r="NAB142" s="418"/>
      <c r="NAC142" s="418"/>
      <c r="NAD142" s="418"/>
      <c r="NAE142" s="418"/>
      <c r="NAF142" s="418"/>
      <c r="NAG142" s="418"/>
      <c r="NAH142" s="418"/>
      <c r="NAI142" s="418"/>
      <c r="NAJ142" s="418"/>
      <c r="NAK142" s="418"/>
      <c r="NAL142" s="418"/>
      <c r="NAM142" s="418"/>
      <c r="NAN142" s="418"/>
      <c r="NAO142" s="418"/>
      <c r="NAP142" s="418"/>
      <c r="NAQ142" s="418"/>
      <c r="NAR142" s="418"/>
      <c r="NAS142" s="418"/>
      <c r="NAT142" s="418"/>
      <c r="NAU142" s="418"/>
      <c r="NAV142" s="418"/>
      <c r="NAW142" s="418"/>
      <c r="NAX142" s="418"/>
      <c r="NAY142" s="418"/>
      <c r="NAZ142" s="418"/>
      <c r="NBA142" s="418"/>
      <c r="NBB142" s="418"/>
      <c r="NBC142" s="418"/>
      <c r="NBD142" s="418"/>
      <c r="NBE142" s="418"/>
      <c r="NBF142" s="418"/>
      <c r="NBG142" s="418"/>
      <c r="NBH142" s="418"/>
      <c r="NBI142" s="418"/>
      <c r="NBJ142" s="418"/>
      <c r="NBK142" s="418"/>
      <c r="NBL142" s="418"/>
      <c r="NBM142" s="418"/>
      <c r="NBN142" s="418"/>
      <c r="NBO142" s="418"/>
      <c r="NBP142" s="418"/>
      <c r="NBQ142" s="418"/>
      <c r="NBR142" s="418"/>
      <c r="NBS142" s="418"/>
      <c r="NBT142" s="418"/>
      <c r="NBU142" s="418"/>
      <c r="NBV142" s="418"/>
      <c r="NBW142" s="418"/>
      <c r="NBX142" s="418"/>
      <c r="NBY142" s="418"/>
      <c r="NBZ142" s="418"/>
      <c r="NCA142" s="418"/>
      <c r="NCB142" s="418"/>
      <c r="NCC142" s="418"/>
      <c r="NCD142" s="418"/>
      <c r="NCE142" s="418"/>
      <c r="NCF142" s="418"/>
      <c r="NCG142" s="418"/>
      <c r="NCH142" s="418"/>
      <c r="NCI142" s="418"/>
      <c r="NCJ142" s="418"/>
      <c r="NCK142" s="418"/>
      <c r="NCL142" s="418"/>
      <c r="NCM142" s="418"/>
      <c r="NCN142" s="418"/>
      <c r="NCO142" s="418"/>
      <c r="NCP142" s="418"/>
      <c r="NCQ142" s="418"/>
      <c r="NCR142" s="418"/>
      <c r="NCS142" s="418"/>
      <c r="NCT142" s="418"/>
      <c r="NCU142" s="418"/>
      <c r="NCV142" s="418"/>
      <c r="NCW142" s="418"/>
      <c r="NCX142" s="418"/>
      <c r="NCY142" s="418"/>
      <c r="NCZ142" s="418"/>
      <c r="NDA142" s="418"/>
      <c r="NDB142" s="418"/>
      <c r="NDC142" s="418"/>
      <c r="NDD142" s="418"/>
      <c r="NDE142" s="418"/>
      <c r="NDF142" s="418"/>
      <c r="NDG142" s="418"/>
      <c r="NDH142" s="418"/>
      <c r="NDI142" s="418"/>
      <c r="NDJ142" s="418"/>
      <c r="NDK142" s="418"/>
      <c r="NDL142" s="418"/>
      <c r="NDM142" s="418"/>
      <c r="NDN142" s="418"/>
      <c r="NDO142" s="418"/>
      <c r="NDP142" s="418"/>
      <c r="NDQ142" s="418"/>
      <c r="NDR142" s="418"/>
      <c r="NDS142" s="418"/>
      <c r="NDT142" s="418"/>
      <c r="NDU142" s="418"/>
      <c r="NDV142" s="418"/>
      <c r="NDW142" s="418"/>
      <c r="NDX142" s="418"/>
      <c r="NDY142" s="418"/>
      <c r="NDZ142" s="418"/>
      <c r="NEA142" s="418"/>
      <c r="NEB142" s="418"/>
      <c r="NEC142" s="418"/>
      <c r="NED142" s="418"/>
      <c r="NEE142" s="418"/>
      <c r="NEF142" s="418"/>
      <c r="NEG142" s="418"/>
      <c r="NEH142" s="418"/>
      <c r="NEI142" s="418"/>
      <c r="NEJ142" s="418"/>
      <c r="NEK142" s="418"/>
      <c r="NEL142" s="418"/>
      <c r="NEM142" s="418"/>
      <c r="NEN142" s="418"/>
      <c r="NEO142" s="418"/>
      <c r="NEP142" s="418"/>
      <c r="NEQ142" s="418"/>
      <c r="NER142" s="418"/>
      <c r="NES142" s="418"/>
      <c r="NET142" s="418"/>
      <c r="NEU142" s="418"/>
      <c r="NEV142" s="418"/>
      <c r="NEW142" s="418"/>
      <c r="NEX142" s="418"/>
      <c r="NEY142" s="418"/>
      <c r="NEZ142" s="418"/>
      <c r="NFA142" s="418"/>
      <c r="NFB142" s="418"/>
      <c r="NFC142" s="418"/>
      <c r="NFD142" s="418"/>
      <c r="NFE142" s="418"/>
      <c r="NFF142" s="418"/>
      <c r="NFG142" s="418"/>
      <c r="NFH142" s="418"/>
      <c r="NFI142" s="418"/>
      <c r="NFJ142" s="418"/>
      <c r="NFK142" s="418"/>
      <c r="NFL142" s="418"/>
      <c r="NFM142" s="418"/>
      <c r="NFN142" s="418"/>
      <c r="NFO142" s="418"/>
      <c r="NFP142" s="418"/>
      <c r="NFQ142" s="418"/>
      <c r="NFR142" s="418"/>
      <c r="NFS142" s="418"/>
      <c r="NFT142" s="418"/>
      <c r="NFU142" s="418"/>
      <c r="NFV142" s="418"/>
      <c r="NFW142" s="418"/>
      <c r="NFX142" s="418"/>
      <c r="NFY142" s="418"/>
      <c r="NFZ142" s="418"/>
      <c r="NGA142" s="418"/>
      <c r="NGB142" s="418"/>
      <c r="NGC142" s="418"/>
      <c r="NGD142" s="418"/>
      <c r="NGE142" s="418"/>
      <c r="NGF142" s="418"/>
      <c r="NGG142" s="418"/>
      <c r="NGH142" s="418"/>
      <c r="NGI142" s="418"/>
      <c r="NGJ142" s="418"/>
      <c r="NGK142" s="418"/>
      <c r="NGL142" s="418"/>
      <c r="NGM142" s="418"/>
      <c r="NGN142" s="418"/>
      <c r="NGO142" s="418"/>
      <c r="NGP142" s="418"/>
      <c r="NGQ142" s="418"/>
      <c r="NGR142" s="418"/>
      <c r="NGS142" s="418"/>
      <c r="NGT142" s="418"/>
      <c r="NGU142" s="418"/>
      <c r="NGV142" s="418"/>
      <c r="NGW142" s="418"/>
      <c r="NGX142" s="418"/>
      <c r="NGY142" s="418"/>
      <c r="NGZ142" s="418"/>
      <c r="NHA142" s="418"/>
      <c r="NHB142" s="418"/>
      <c r="NHC142" s="418"/>
      <c r="NHD142" s="418"/>
      <c r="NHE142" s="418"/>
      <c r="NHF142" s="418"/>
      <c r="NHG142" s="418"/>
      <c r="NHH142" s="418"/>
      <c r="NHI142" s="418"/>
      <c r="NHJ142" s="418"/>
      <c r="NHK142" s="418"/>
      <c r="NHL142" s="418"/>
      <c r="NHM142" s="418"/>
      <c r="NHN142" s="418"/>
      <c r="NHO142" s="418"/>
      <c r="NHP142" s="418"/>
      <c r="NHQ142" s="418"/>
      <c r="NHR142" s="418"/>
      <c r="NHS142" s="418"/>
      <c r="NHT142" s="418"/>
      <c r="NHU142" s="418"/>
      <c r="NHV142" s="418"/>
      <c r="NHW142" s="418"/>
      <c r="NHX142" s="418"/>
      <c r="NHY142" s="418"/>
      <c r="NHZ142" s="418"/>
      <c r="NIA142" s="418"/>
      <c r="NIB142" s="418"/>
      <c r="NIC142" s="418"/>
      <c r="NID142" s="418"/>
      <c r="NIE142" s="418"/>
      <c r="NIF142" s="418"/>
      <c r="NIG142" s="418"/>
      <c r="NIH142" s="418"/>
      <c r="NII142" s="418"/>
      <c r="NIJ142" s="418"/>
      <c r="NIK142" s="418"/>
      <c r="NIL142" s="418"/>
      <c r="NIM142" s="418"/>
      <c r="NIN142" s="418"/>
      <c r="NIO142" s="418"/>
      <c r="NIP142" s="418"/>
      <c r="NIQ142" s="418"/>
      <c r="NIR142" s="418"/>
      <c r="NIS142" s="418"/>
      <c r="NIT142" s="418"/>
      <c r="NIU142" s="418"/>
      <c r="NIV142" s="418"/>
      <c r="NIW142" s="418"/>
      <c r="NIX142" s="418"/>
      <c r="NIY142" s="418"/>
      <c r="NIZ142" s="418"/>
      <c r="NJA142" s="418"/>
      <c r="NJB142" s="418"/>
      <c r="NJC142" s="418"/>
      <c r="NJD142" s="418"/>
      <c r="NJE142" s="418"/>
      <c r="NJF142" s="418"/>
      <c r="NJG142" s="418"/>
      <c r="NJH142" s="418"/>
      <c r="NJI142" s="418"/>
      <c r="NJJ142" s="418"/>
      <c r="NJK142" s="418"/>
      <c r="NJL142" s="418"/>
      <c r="NJM142" s="418"/>
      <c r="NJN142" s="418"/>
      <c r="NJO142" s="418"/>
      <c r="NJP142" s="418"/>
      <c r="NJQ142" s="418"/>
      <c r="NJR142" s="418"/>
      <c r="NJS142" s="418"/>
      <c r="NJT142" s="418"/>
      <c r="NJU142" s="418"/>
      <c r="NJV142" s="418"/>
      <c r="NJW142" s="418"/>
      <c r="NJX142" s="418"/>
      <c r="NJY142" s="418"/>
      <c r="NJZ142" s="418"/>
      <c r="NKA142" s="418"/>
      <c r="NKB142" s="418"/>
      <c r="NKC142" s="418"/>
      <c r="NKD142" s="418"/>
      <c r="NKE142" s="418"/>
      <c r="NKF142" s="418"/>
      <c r="NKG142" s="418"/>
      <c r="NKH142" s="418"/>
      <c r="NKI142" s="418"/>
      <c r="NKJ142" s="418"/>
      <c r="NKK142" s="418"/>
      <c r="NKL142" s="418"/>
      <c r="NKM142" s="418"/>
      <c r="NKN142" s="418"/>
      <c r="NKO142" s="418"/>
      <c r="NKP142" s="418"/>
      <c r="NKQ142" s="418"/>
      <c r="NKR142" s="418"/>
      <c r="NKS142" s="418"/>
      <c r="NKT142" s="418"/>
      <c r="NKU142" s="418"/>
      <c r="NKV142" s="418"/>
      <c r="NKW142" s="418"/>
      <c r="NKX142" s="418"/>
      <c r="NKY142" s="418"/>
      <c r="NKZ142" s="418"/>
      <c r="NLA142" s="418"/>
      <c r="NLB142" s="418"/>
      <c r="NLC142" s="418"/>
      <c r="NLD142" s="418"/>
      <c r="NLE142" s="418"/>
      <c r="NLF142" s="418"/>
      <c r="NLG142" s="418"/>
      <c r="NLH142" s="418"/>
      <c r="NLI142" s="418"/>
      <c r="NLJ142" s="418"/>
      <c r="NLK142" s="418"/>
      <c r="NLL142" s="418"/>
      <c r="NLM142" s="418"/>
      <c r="NLN142" s="418"/>
      <c r="NLO142" s="418"/>
      <c r="NLP142" s="418"/>
      <c r="NLQ142" s="418"/>
      <c r="NLR142" s="418"/>
      <c r="NLS142" s="418"/>
      <c r="NLT142" s="418"/>
      <c r="NLU142" s="418"/>
      <c r="NLV142" s="418"/>
      <c r="NLW142" s="418"/>
      <c r="NLX142" s="418"/>
      <c r="NLY142" s="418"/>
      <c r="NLZ142" s="418"/>
      <c r="NMA142" s="418"/>
      <c r="NMB142" s="418"/>
      <c r="NMC142" s="418"/>
      <c r="NMD142" s="418"/>
      <c r="NME142" s="418"/>
      <c r="NMF142" s="418"/>
      <c r="NMG142" s="418"/>
      <c r="NMH142" s="418"/>
      <c r="NMI142" s="418"/>
      <c r="NMJ142" s="418"/>
      <c r="NMK142" s="418"/>
      <c r="NML142" s="418"/>
      <c r="NMM142" s="418"/>
      <c r="NMN142" s="418"/>
      <c r="NMO142" s="418"/>
      <c r="NMP142" s="418"/>
      <c r="NMQ142" s="418"/>
      <c r="NMR142" s="418"/>
      <c r="NMS142" s="418"/>
      <c r="NMT142" s="418"/>
      <c r="NMU142" s="418"/>
      <c r="NMV142" s="418"/>
      <c r="NMW142" s="418"/>
      <c r="NMX142" s="418"/>
      <c r="NMY142" s="418"/>
      <c r="NMZ142" s="418"/>
      <c r="NNA142" s="418"/>
      <c r="NNB142" s="418"/>
      <c r="NNC142" s="418"/>
      <c r="NND142" s="418"/>
      <c r="NNE142" s="418"/>
      <c r="NNF142" s="418"/>
      <c r="NNG142" s="418"/>
      <c r="NNH142" s="418"/>
      <c r="NNI142" s="418"/>
      <c r="NNJ142" s="418"/>
      <c r="NNK142" s="418"/>
      <c r="NNL142" s="418"/>
      <c r="NNM142" s="418"/>
      <c r="NNN142" s="418"/>
      <c r="NNO142" s="418"/>
      <c r="NNP142" s="418"/>
      <c r="NNQ142" s="418"/>
      <c r="NNR142" s="418"/>
      <c r="NNS142" s="418"/>
      <c r="NNT142" s="418"/>
      <c r="NNU142" s="418"/>
      <c r="NNV142" s="418"/>
      <c r="NNW142" s="418"/>
      <c r="NNX142" s="418"/>
      <c r="NNY142" s="418"/>
      <c r="NNZ142" s="418"/>
      <c r="NOA142" s="418"/>
      <c r="NOB142" s="418"/>
      <c r="NOC142" s="418"/>
      <c r="NOD142" s="418"/>
      <c r="NOE142" s="418"/>
      <c r="NOF142" s="418"/>
      <c r="NOG142" s="418"/>
      <c r="NOH142" s="418"/>
      <c r="NOI142" s="418"/>
      <c r="NOJ142" s="418"/>
      <c r="NOK142" s="418"/>
      <c r="NOL142" s="418"/>
      <c r="NOM142" s="418"/>
      <c r="NON142" s="418"/>
      <c r="NOO142" s="418"/>
      <c r="NOP142" s="418"/>
      <c r="NOQ142" s="418"/>
      <c r="NOR142" s="418"/>
      <c r="NOS142" s="418"/>
      <c r="NOT142" s="418"/>
      <c r="NOU142" s="418"/>
      <c r="NOV142" s="418"/>
      <c r="NOW142" s="418"/>
      <c r="NOX142" s="418"/>
      <c r="NOY142" s="418"/>
      <c r="NOZ142" s="418"/>
      <c r="NPA142" s="418"/>
      <c r="NPB142" s="418"/>
      <c r="NPC142" s="418"/>
      <c r="NPD142" s="418"/>
      <c r="NPE142" s="418"/>
      <c r="NPF142" s="418"/>
      <c r="NPG142" s="418"/>
      <c r="NPH142" s="418"/>
      <c r="NPI142" s="418"/>
      <c r="NPJ142" s="418"/>
      <c r="NPK142" s="418"/>
      <c r="NPL142" s="418"/>
      <c r="NPM142" s="418"/>
      <c r="NPN142" s="418"/>
      <c r="NPO142" s="418"/>
      <c r="NPP142" s="418"/>
      <c r="NPQ142" s="418"/>
      <c r="NPR142" s="418"/>
      <c r="NPS142" s="418"/>
      <c r="NPT142" s="418"/>
      <c r="NPU142" s="418"/>
      <c r="NPV142" s="418"/>
      <c r="NPW142" s="418"/>
      <c r="NPX142" s="418"/>
      <c r="NPY142" s="418"/>
      <c r="NPZ142" s="418"/>
      <c r="NQA142" s="418"/>
      <c r="NQB142" s="418"/>
      <c r="NQC142" s="418"/>
      <c r="NQD142" s="418"/>
      <c r="NQE142" s="418"/>
      <c r="NQF142" s="418"/>
      <c r="NQG142" s="418"/>
      <c r="NQH142" s="418"/>
      <c r="NQI142" s="418"/>
      <c r="NQJ142" s="418"/>
      <c r="NQK142" s="418"/>
      <c r="NQL142" s="418"/>
      <c r="NQM142" s="418"/>
      <c r="NQN142" s="418"/>
      <c r="NQO142" s="418"/>
      <c r="NQP142" s="418"/>
      <c r="NQQ142" s="418"/>
      <c r="NQR142" s="418"/>
      <c r="NQS142" s="418"/>
      <c r="NQT142" s="418"/>
      <c r="NQU142" s="418"/>
      <c r="NQV142" s="418"/>
      <c r="NQW142" s="418"/>
      <c r="NQX142" s="418"/>
      <c r="NQY142" s="418"/>
      <c r="NQZ142" s="418"/>
      <c r="NRA142" s="418"/>
      <c r="NRB142" s="418"/>
      <c r="NRC142" s="418"/>
      <c r="NRD142" s="418"/>
      <c r="NRE142" s="418"/>
      <c r="NRF142" s="418"/>
      <c r="NRG142" s="418"/>
      <c r="NRH142" s="418"/>
      <c r="NRI142" s="418"/>
      <c r="NRJ142" s="418"/>
      <c r="NRK142" s="418"/>
      <c r="NRL142" s="418"/>
      <c r="NRM142" s="418"/>
      <c r="NRN142" s="418"/>
      <c r="NRO142" s="418"/>
      <c r="NRP142" s="418"/>
      <c r="NRQ142" s="418"/>
      <c r="NRR142" s="418"/>
      <c r="NRS142" s="418"/>
      <c r="NRT142" s="418"/>
      <c r="NRU142" s="418"/>
      <c r="NRV142" s="418"/>
      <c r="NRW142" s="418"/>
      <c r="NRX142" s="418"/>
      <c r="NRY142" s="418"/>
      <c r="NRZ142" s="418"/>
      <c r="NSA142" s="418"/>
      <c r="NSB142" s="418"/>
      <c r="NSC142" s="418"/>
      <c r="NSD142" s="418"/>
      <c r="NSE142" s="418"/>
      <c r="NSF142" s="418"/>
      <c r="NSG142" s="418"/>
      <c r="NSH142" s="418"/>
      <c r="NSI142" s="418"/>
      <c r="NSJ142" s="418"/>
      <c r="NSK142" s="418"/>
      <c r="NSL142" s="418"/>
      <c r="NSM142" s="418"/>
      <c r="NSN142" s="418"/>
      <c r="NSO142" s="418"/>
      <c r="NSP142" s="418"/>
      <c r="NSQ142" s="418"/>
      <c r="NSR142" s="418"/>
      <c r="NSS142" s="418"/>
      <c r="NST142" s="418"/>
      <c r="NSU142" s="418"/>
      <c r="NSV142" s="418"/>
      <c r="NSW142" s="418"/>
      <c r="NSX142" s="418"/>
      <c r="NSY142" s="418"/>
      <c r="NSZ142" s="418"/>
      <c r="NTA142" s="418"/>
      <c r="NTB142" s="418"/>
      <c r="NTC142" s="418"/>
      <c r="NTD142" s="418"/>
      <c r="NTE142" s="418"/>
      <c r="NTF142" s="418"/>
      <c r="NTG142" s="418"/>
      <c r="NTH142" s="418"/>
      <c r="NTI142" s="418"/>
      <c r="NTJ142" s="418"/>
      <c r="NTK142" s="418"/>
      <c r="NTL142" s="418"/>
      <c r="NTM142" s="418"/>
      <c r="NTN142" s="418"/>
      <c r="NTO142" s="418"/>
      <c r="NTP142" s="418"/>
      <c r="NTQ142" s="418"/>
      <c r="NTR142" s="418"/>
      <c r="NTS142" s="418"/>
      <c r="NTT142" s="418"/>
      <c r="NTU142" s="418"/>
      <c r="NTV142" s="418"/>
      <c r="NTW142" s="418"/>
      <c r="NTX142" s="418"/>
      <c r="NTY142" s="418"/>
      <c r="NTZ142" s="418"/>
      <c r="NUA142" s="418"/>
      <c r="NUB142" s="418"/>
      <c r="NUC142" s="418"/>
      <c r="NUD142" s="418"/>
      <c r="NUE142" s="418"/>
      <c r="NUF142" s="418"/>
      <c r="NUG142" s="418"/>
      <c r="NUH142" s="418"/>
      <c r="NUI142" s="418"/>
      <c r="NUJ142" s="418"/>
      <c r="NUK142" s="418"/>
      <c r="NUL142" s="418"/>
      <c r="NUM142" s="418"/>
      <c r="NUN142" s="418"/>
      <c r="NUO142" s="418"/>
      <c r="NUP142" s="418"/>
      <c r="NUQ142" s="418"/>
      <c r="NUR142" s="418"/>
      <c r="NUS142" s="418"/>
      <c r="NUT142" s="418"/>
      <c r="NUU142" s="418"/>
      <c r="NUV142" s="418"/>
      <c r="NUW142" s="418"/>
      <c r="NUX142" s="418"/>
      <c r="NUY142" s="418"/>
      <c r="NUZ142" s="418"/>
      <c r="NVA142" s="418"/>
      <c r="NVB142" s="418"/>
      <c r="NVC142" s="418"/>
      <c r="NVD142" s="418"/>
      <c r="NVE142" s="418"/>
      <c r="NVF142" s="418"/>
      <c r="NVG142" s="418"/>
      <c r="NVH142" s="418"/>
      <c r="NVI142" s="418"/>
      <c r="NVJ142" s="418"/>
      <c r="NVK142" s="418"/>
      <c r="NVL142" s="418"/>
      <c r="NVM142" s="418"/>
      <c r="NVN142" s="418"/>
      <c r="NVO142" s="418"/>
      <c r="NVP142" s="418"/>
      <c r="NVQ142" s="418"/>
      <c r="NVR142" s="418"/>
      <c r="NVS142" s="418"/>
      <c r="NVT142" s="418"/>
      <c r="NVU142" s="418"/>
      <c r="NVV142" s="418"/>
      <c r="NVW142" s="418"/>
      <c r="NVX142" s="418"/>
      <c r="NVY142" s="418"/>
      <c r="NVZ142" s="418"/>
      <c r="NWA142" s="418"/>
      <c r="NWB142" s="418"/>
      <c r="NWC142" s="418"/>
      <c r="NWD142" s="418"/>
      <c r="NWE142" s="418"/>
      <c r="NWF142" s="418"/>
      <c r="NWG142" s="418"/>
      <c r="NWH142" s="418"/>
      <c r="NWI142" s="418"/>
      <c r="NWJ142" s="418"/>
      <c r="NWK142" s="418"/>
      <c r="NWL142" s="418"/>
      <c r="NWM142" s="418"/>
      <c r="NWN142" s="418"/>
      <c r="NWO142" s="418"/>
      <c r="NWP142" s="418"/>
      <c r="NWQ142" s="418"/>
      <c r="NWR142" s="418"/>
      <c r="NWS142" s="418"/>
      <c r="NWT142" s="418"/>
      <c r="NWU142" s="418"/>
      <c r="NWV142" s="418"/>
      <c r="NWW142" s="418"/>
      <c r="NWX142" s="418"/>
      <c r="NWY142" s="418"/>
      <c r="NWZ142" s="418"/>
      <c r="NXA142" s="418"/>
      <c r="NXB142" s="418"/>
      <c r="NXC142" s="418"/>
      <c r="NXD142" s="418"/>
      <c r="NXE142" s="418"/>
      <c r="NXF142" s="418"/>
      <c r="NXG142" s="418"/>
      <c r="NXH142" s="418"/>
      <c r="NXI142" s="418"/>
      <c r="NXJ142" s="418"/>
      <c r="NXK142" s="418"/>
      <c r="NXL142" s="418"/>
      <c r="NXM142" s="418"/>
      <c r="NXN142" s="418"/>
      <c r="NXO142" s="418"/>
      <c r="NXP142" s="418"/>
      <c r="NXQ142" s="418"/>
      <c r="NXR142" s="418"/>
      <c r="NXS142" s="418"/>
      <c r="NXT142" s="418"/>
      <c r="NXU142" s="418"/>
      <c r="NXV142" s="418"/>
      <c r="NXW142" s="418"/>
      <c r="NXX142" s="418"/>
      <c r="NXY142" s="418"/>
      <c r="NXZ142" s="418"/>
      <c r="NYA142" s="418"/>
      <c r="NYB142" s="418"/>
      <c r="NYC142" s="418"/>
      <c r="NYD142" s="418"/>
      <c r="NYE142" s="418"/>
      <c r="NYF142" s="418"/>
      <c r="NYG142" s="418"/>
      <c r="NYH142" s="418"/>
      <c r="NYI142" s="418"/>
      <c r="NYJ142" s="418"/>
      <c r="NYK142" s="418"/>
      <c r="NYL142" s="418"/>
      <c r="NYM142" s="418"/>
      <c r="NYN142" s="418"/>
      <c r="NYO142" s="418"/>
      <c r="NYP142" s="418"/>
      <c r="NYQ142" s="418"/>
      <c r="NYR142" s="418"/>
      <c r="NYS142" s="418"/>
      <c r="NYT142" s="418"/>
      <c r="NYU142" s="418"/>
      <c r="NYV142" s="418"/>
      <c r="NYW142" s="418"/>
      <c r="NYX142" s="418"/>
      <c r="NYY142" s="418"/>
      <c r="NYZ142" s="418"/>
      <c r="NZA142" s="418"/>
      <c r="NZB142" s="418"/>
      <c r="NZC142" s="418"/>
      <c r="NZD142" s="418"/>
      <c r="NZE142" s="418"/>
      <c r="NZF142" s="418"/>
      <c r="NZG142" s="418"/>
      <c r="NZH142" s="418"/>
      <c r="NZI142" s="418"/>
      <c r="NZJ142" s="418"/>
      <c r="NZK142" s="418"/>
      <c r="NZL142" s="418"/>
      <c r="NZM142" s="418"/>
      <c r="NZN142" s="418"/>
      <c r="NZO142" s="418"/>
      <c r="NZP142" s="418"/>
      <c r="NZQ142" s="418"/>
      <c r="NZR142" s="418"/>
      <c r="NZS142" s="418"/>
      <c r="NZT142" s="418"/>
      <c r="NZU142" s="418"/>
      <c r="NZV142" s="418"/>
      <c r="NZW142" s="418"/>
      <c r="NZX142" s="418"/>
      <c r="NZY142" s="418"/>
      <c r="NZZ142" s="418"/>
      <c r="OAA142" s="418"/>
      <c r="OAB142" s="418"/>
      <c r="OAC142" s="418"/>
      <c r="OAD142" s="418"/>
      <c r="OAE142" s="418"/>
      <c r="OAF142" s="418"/>
      <c r="OAG142" s="418"/>
      <c r="OAH142" s="418"/>
      <c r="OAI142" s="418"/>
      <c r="OAJ142" s="418"/>
      <c r="OAK142" s="418"/>
      <c r="OAL142" s="418"/>
      <c r="OAM142" s="418"/>
      <c r="OAN142" s="418"/>
      <c r="OAO142" s="418"/>
      <c r="OAP142" s="418"/>
      <c r="OAQ142" s="418"/>
      <c r="OAR142" s="418"/>
      <c r="OAS142" s="418"/>
      <c r="OAT142" s="418"/>
      <c r="OAU142" s="418"/>
      <c r="OAV142" s="418"/>
      <c r="OAW142" s="418"/>
      <c r="OAX142" s="418"/>
      <c r="OAY142" s="418"/>
      <c r="OAZ142" s="418"/>
      <c r="OBA142" s="418"/>
      <c r="OBB142" s="418"/>
      <c r="OBC142" s="418"/>
      <c r="OBD142" s="418"/>
      <c r="OBE142" s="418"/>
      <c r="OBF142" s="418"/>
      <c r="OBG142" s="418"/>
      <c r="OBH142" s="418"/>
      <c r="OBI142" s="418"/>
      <c r="OBJ142" s="418"/>
      <c r="OBK142" s="418"/>
      <c r="OBL142" s="418"/>
      <c r="OBM142" s="418"/>
      <c r="OBN142" s="418"/>
      <c r="OBO142" s="418"/>
      <c r="OBP142" s="418"/>
      <c r="OBQ142" s="418"/>
      <c r="OBR142" s="418"/>
      <c r="OBS142" s="418"/>
      <c r="OBT142" s="418"/>
      <c r="OBU142" s="418"/>
      <c r="OBV142" s="418"/>
      <c r="OBW142" s="418"/>
      <c r="OBX142" s="418"/>
      <c r="OBY142" s="418"/>
      <c r="OBZ142" s="418"/>
      <c r="OCA142" s="418"/>
      <c r="OCB142" s="418"/>
      <c r="OCC142" s="418"/>
      <c r="OCD142" s="418"/>
      <c r="OCE142" s="418"/>
      <c r="OCF142" s="418"/>
      <c r="OCG142" s="418"/>
      <c r="OCH142" s="418"/>
      <c r="OCI142" s="418"/>
      <c r="OCJ142" s="418"/>
      <c r="OCK142" s="418"/>
      <c r="OCL142" s="418"/>
      <c r="OCM142" s="418"/>
      <c r="OCN142" s="418"/>
      <c r="OCO142" s="418"/>
      <c r="OCP142" s="418"/>
      <c r="OCQ142" s="418"/>
      <c r="OCR142" s="418"/>
      <c r="OCS142" s="418"/>
      <c r="OCT142" s="418"/>
      <c r="OCU142" s="418"/>
      <c r="OCV142" s="418"/>
      <c r="OCW142" s="418"/>
      <c r="OCX142" s="418"/>
      <c r="OCY142" s="418"/>
      <c r="OCZ142" s="418"/>
      <c r="ODA142" s="418"/>
      <c r="ODB142" s="418"/>
      <c r="ODC142" s="418"/>
      <c r="ODD142" s="418"/>
      <c r="ODE142" s="418"/>
      <c r="ODF142" s="418"/>
      <c r="ODG142" s="418"/>
      <c r="ODH142" s="418"/>
      <c r="ODI142" s="418"/>
      <c r="ODJ142" s="418"/>
      <c r="ODK142" s="418"/>
      <c r="ODL142" s="418"/>
      <c r="ODM142" s="418"/>
      <c r="ODN142" s="418"/>
      <c r="ODO142" s="418"/>
      <c r="ODP142" s="418"/>
      <c r="ODQ142" s="418"/>
      <c r="ODR142" s="418"/>
      <c r="ODS142" s="418"/>
      <c r="ODT142" s="418"/>
      <c r="ODU142" s="418"/>
      <c r="ODV142" s="418"/>
      <c r="ODW142" s="418"/>
      <c r="ODX142" s="418"/>
      <c r="ODY142" s="418"/>
      <c r="ODZ142" s="418"/>
      <c r="OEA142" s="418"/>
      <c r="OEB142" s="418"/>
      <c r="OEC142" s="418"/>
      <c r="OED142" s="418"/>
      <c r="OEE142" s="418"/>
      <c r="OEF142" s="418"/>
      <c r="OEG142" s="418"/>
      <c r="OEH142" s="418"/>
      <c r="OEI142" s="418"/>
      <c r="OEJ142" s="418"/>
      <c r="OEK142" s="418"/>
      <c r="OEL142" s="418"/>
      <c r="OEM142" s="418"/>
      <c r="OEN142" s="418"/>
      <c r="OEO142" s="418"/>
      <c r="OEP142" s="418"/>
      <c r="OEQ142" s="418"/>
      <c r="OER142" s="418"/>
      <c r="OES142" s="418"/>
      <c r="OET142" s="418"/>
      <c r="OEU142" s="418"/>
      <c r="OEV142" s="418"/>
      <c r="OEW142" s="418"/>
      <c r="OEX142" s="418"/>
      <c r="OEY142" s="418"/>
      <c r="OEZ142" s="418"/>
      <c r="OFA142" s="418"/>
      <c r="OFB142" s="418"/>
      <c r="OFC142" s="418"/>
      <c r="OFD142" s="418"/>
      <c r="OFE142" s="418"/>
      <c r="OFF142" s="418"/>
      <c r="OFG142" s="418"/>
      <c r="OFH142" s="418"/>
      <c r="OFI142" s="418"/>
      <c r="OFJ142" s="418"/>
      <c r="OFK142" s="418"/>
      <c r="OFL142" s="418"/>
      <c r="OFM142" s="418"/>
      <c r="OFN142" s="418"/>
      <c r="OFO142" s="418"/>
      <c r="OFP142" s="418"/>
      <c r="OFQ142" s="418"/>
      <c r="OFR142" s="418"/>
      <c r="OFS142" s="418"/>
      <c r="OFT142" s="418"/>
      <c r="OFU142" s="418"/>
      <c r="OFV142" s="418"/>
      <c r="OFW142" s="418"/>
      <c r="OFX142" s="418"/>
      <c r="OFY142" s="418"/>
      <c r="OFZ142" s="418"/>
      <c r="OGA142" s="418"/>
      <c r="OGB142" s="418"/>
      <c r="OGC142" s="418"/>
      <c r="OGD142" s="418"/>
      <c r="OGE142" s="418"/>
      <c r="OGF142" s="418"/>
      <c r="OGG142" s="418"/>
      <c r="OGH142" s="418"/>
      <c r="OGI142" s="418"/>
      <c r="OGJ142" s="418"/>
      <c r="OGK142" s="418"/>
      <c r="OGL142" s="418"/>
      <c r="OGM142" s="418"/>
      <c r="OGN142" s="418"/>
      <c r="OGO142" s="418"/>
      <c r="OGP142" s="418"/>
      <c r="OGQ142" s="418"/>
      <c r="OGR142" s="418"/>
      <c r="OGS142" s="418"/>
      <c r="OGT142" s="418"/>
      <c r="OGU142" s="418"/>
      <c r="OGV142" s="418"/>
      <c r="OGW142" s="418"/>
      <c r="OGX142" s="418"/>
      <c r="OGY142" s="418"/>
      <c r="OGZ142" s="418"/>
      <c r="OHA142" s="418"/>
      <c r="OHB142" s="418"/>
      <c r="OHC142" s="418"/>
      <c r="OHD142" s="418"/>
      <c r="OHE142" s="418"/>
      <c r="OHF142" s="418"/>
      <c r="OHG142" s="418"/>
      <c r="OHH142" s="418"/>
      <c r="OHI142" s="418"/>
      <c r="OHJ142" s="418"/>
      <c r="OHK142" s="418"/>
      <c r="OHL142" s="418"/>
      <c r="OHM142" s="418"/>
      <c r="OHN142" s="418"/>
      <c r="OHO142" s="418"/>
      <c r="OHP142" s="418"/>
      <c r="OHQ142" s="418"/>
      <c r="OHR142" s="418"/>
      <c r="OHS142" s="418"/>
      <c r="OHT142" s="418"/>
      <c r="OHU142" s="418"/>
      <c r="OHV142" s="418"/>
      <c r="OHW142" s="418"/>
      <c r="OHX142" s="418"/>
      <c r="OHY142" s="418"/>
      <c r="OHZ142" s="418"/>
      <c r="OIA142" s="418"/>
      <c r="OIB142" s="418"/>
      <c r="OIC142" s="418"/>
      <c r="OID142" s="418"/>
      <c r="OIE142" s="418"/>
      <c r="OIF142" s="418"/>
      <c r="OIG142" s="418"/>
      <c r="OIH142" s="418"/>
      <c r="OII142" s="418"/>
      <c r="OIJ142" s="418"/>
      <c r="OIK142" s="418"/>
      <c r="OIL142" s="418"/>
      <c r="OIM142" s="418"/>
      <c r="OIN142" s="418"/>
      <c r="OIO142" s="418"/>
      <c r="OIP142" s="418"/>
      <c r="OIQ142" s="418"/>
      <c r="OIR142" s="418"/>
      <c r="OIS142" s="418"/>
      <c r="OIT142" s="418"/>
      <c r="OIU142" s="418"/>
      <c r="OIV142" s="418"/>
      <c r="OIW142" s="418"/>
      <c r="OIX142" s="418"/>
      <c r="OIY142" s="418"/>
      <c r="OIZ142" s="418"/>
      <c r="OJA142" s="418"/>
      <c r="OJB142" s="418"/>
      <c r="OJC142" s="418"/>
      <c r="OJD142" s="418"/>
      <c r="OJE142" s="418"/>
      <c r="OJF142" s="418"/>
      <c r="OJG142" s="418"/>
      <c r="OJH142" s="418"/>
      <c r="OJI142" s="418"/>
      <c r="OJJ142" s="418"/>
      <c r="OJK142" s="418"/>
      <c r="OJL142" s="418"/>
      <c r="OJM142" s="418"/>
      <c r="OJN142" s="418"/>
      <c r="OJO142" s="418"/>
      <c r="OJP142" s="418"/>
      <c r="OJQ142" s="418"/>
      <c r="OJR142" s="418"/>
      <c r="OJS142" s="418"/>
      <c r="OJT142" s="418"/>
      <c r="OJU142" s="418"/>
      <c r="OJV142" s="418"/>
      <c r="OJW142" s="418"/>
      <c r="OJX142" s="418"/>
      <c r="OJY142" s="418"/>
      <c r="OJZ142" s="418"/>
      <c r="OKA142" s="418"/>
      <c r="OKB142" s="418"/>
      <c r="OKC142" s="418"/>
      <c r="OKD142" s="418"/>
      <c r="OKE142" s="418"/>
      <c r="OKF142" s="418"/>
      <c r="OKG142" s="418"/>
      <c r="OKH142" s="418"/>
      <c r="OKI142" s="418"/>
      <c r="OKJ142" s="418"/>
      <c r="OKK142" s="418"/>
      <c r="OKL142" s="418"/>
      <c r="OKM142" s="418"/>
      <c r="OKN142" s="418"/>
      <c r="OKO142" s="418"/>
      <c r="OKP142" s="418"/>
      <c r="OKQ142" s="418"/>
      <c r="OKR142" s="418"/>
      <c r="OKS142" s="418"/>
      <c r="OKT142" s="418"/>
      <c r="OKU142" s="418"/>
      <c r="OKV142" s="418"/>
      <c r="OKW142" s="418"/>
      <c r="OKX142" s="418"/>
      <c r="OKY142" s="418"/>
      <c r="OKZ142" s="418"/>
      <c r="OLA142" s="418"/>
      <c r="OLB142" s="418"/>
      <c r="OLC142" s="418"/>
      <c r="OLD142" s="418"/>
      <c r="OLE142" s="418"/>
      <c r="OLF142" s="418"/>
      <c r="OLG142" s="418"/>
      <c r="OLH142" s="418"/>
      <c r="OLI142" s="418"/>
      <c r="OLJ142" s="418"/>
      <c r="OLK142" s="418"/>
      <c r="OLL142" s="418"/>
      <c r="OLM142" s="418"/>
      <c r="OLN142" s="418"/>
      <c r="OLO142" s="418"/>
      <c r="OLP142" s="418"/>
      <c r="OLQ142" s="418"/>
      <c r="OLR142" s="418"/>
      <c r="OLS142" s="418"/>
      <c r="OLT142" s="418"/>
      <c r="OLU142" s="418"/>
      <c r="OLV142" s="418"/>
      <c r="OLW142" s="418"/>
      <c r="OLX142" s="418"/>
      <c r="OLY142" s="418"/>
      <c r="OLZ142" s="418"/>
      <c r="OMA142" s="418"/>
      <c r="OMB142" s="418"/>
      <c r="OMC142" s="418"/>
      <c r="OMD142" s="418"/>
      <c r="OME142" s="418"/>
      <c r="OMF142" s="418"/>
      <c r="OMG142" s="418"/>
      <c r="OMH142" s="418"/>
      <c r="OMI142" s="418"/>
      <c r="OMJ142" s="418"/>
      <c r="OMK142" s="418"/>
      <c r="OML142" s="418"/>
      <c r="OMM142" s="418"/>
      <c r="OMN142" s="418"/>
      <c r="OMO142" s="418"/>
      <c r="OMP142" s="418"/>
      <c r="OMQ142" s="418"/>
      <c r="OMR142" s="418"/>
      <c r="OMS142" s="418"/>
      <c r="OMT142" s="418"/>
      <c r="OMU142" s="418"/>
      <c r="OMV142" s="418"/>
      <c r="OMW142" s="418"/>
      <c r="OMX142" s="418"/>
      <c r="OMY142" s="418"/>
      <c r="OMZ142" s="418"/>
      <c r="ONA142" s="418"/>
      <c r="ONB142" s="418"/>
      <c r="ONC142" s="418"/>
      <c r="OND142" s="418"/>
      <c r="ONE142" s="418"/>
      <c r="ONF142" s="418"/>
      <c r="ONG142" s="418"/>
      <c r="ONH142" s="418"/>
      <c r="ONI142" s="418"/>
      <c r="ONJ142" s="418"/>
      <c r="ONK142" s="418"/>
      <c r="ONL142" s="418"/>
      <c r="ONM142" s="418"/>
      <c r="ONN142" s="418"/>
      <c r="ONO142" s="418"/>
      <c r="ONP142" s="418"/>
      <c r="ONQ142" s="418"/>
      <c r="ONR142" s="418"/>
      <c r="ONS142" s="418"/>
      <c r="ONT142" s="418"/>
      <c r="ONU142" s="418"/>
      <c r="ONV142" s="418"/>
      <c r="ONW142" s="418"/>
      <c r="ONX142" s="418"/>
      <c r="ONY142" s="418"/>
      <c r="ONZ142" s="418"/>
      <c r="OOA142" s="418"/>
      <c r="OOB142" s="418"/>
      <c r="OOC142" s="418"/>
      <c r="OOD142" s="418"/>
      <c r="OOE142" s="418"/>
      <c r="OOF142" s="418"/>
      <c r="OOG142" s="418"/>
      <c r="OOH142" s="418"/>
      <c r="OOI142" s="418"/>
      <c r="OOJ142" s="418"/>
      <c r="OOK142" s="418"/>
      <c r="OOL142" s="418"/>
      <c r="OOM142" s="418"/>
      <c r="OON142" s="418"/>
      <c r="OOO142" s="418"/>
      <c r="OOP142" s="418"/>
      <c r="OOQ142" s="418"/>
      <c r="OOR142" s="418"/>
      <c r="OOS142" s="418"/>
      <c r="OOT142" s="418"/>
      <c r="OOU142" s="418"/>
      <c r="OOV142" s="418"/>
      <c r="OOW142" s="418"/>
      <c r="OOX142" s="418"/>
      <c r="OOY142" s="418"/>
      <c r="OOZ142" s="418"/>
      <c r="OPA142" s="418"/>
      <c r="OPB142" s="418"/>
      <c r="OPC142" s="418"/>
      <c r="OPD142" s="418"/>
      <c r="OPE142" s="418"/>
      <c r="OPF142" s="418"/>
      <c r="OPG142" s="418"/>
      <c r="OPH142" s="418"/>
      <c r="OPI142" s="418"/>
      <c r="OPJ142" s="418"/>
      <c r="OPK142" s="418"/>
      <c r="OPL142" s="418"/>
      <c r="OPM142" s="418"/>
      <c r="OPN142" s="418"/>
      <c r="OPO142" s="418"/>
      <c r="OPP142" s="418"/>
      <c r="OPQ142" s="418"/>
      <c r="OPR142" s="418"/>
      <c r="OPS142" s="418"/>
      <c r="OPT142" s="418"/>
      <c r="OPU142" s="418"/>
      <c r="OPV142" s="418"/>
      <c r="OPW142" s="418"/>
      <c r="OPX142" s="418"/>
      <c r="OPY142" s="418"/>
      <c r="OPZ142" s="418"/>
      <c r="OQA142" s="418"/>
      <c r="OQB142" s="418"/>
      <c r="OQC142" s="418"/>
      <c r="OQD142" s="418"/>
      <c r="OQE142" s="418"/>
      <c r="OQF142" s="418"/>
      <c r="OQG142" s="418"/>
      <c r="OQH142" s="418"/>
      <c r="OQI142" s="418"/>
      <c r="OQJ142" s="418"/>
      <c r="OQK142" s="418"/>
      <c r="OQL142" s="418"/>
      <c r="OQM142" s="418"/>
      <c r="OQN142" s="418"/>
      <c r="OQO142" s="418"/>
      <c r="OQP142" s="418"/>
      <c r="OQQ142" s="418"/>
      <c r="OQR142" s="418"/>
      <c r="OQS142" s="418"/>
      <c r="OQT142" s="418"/>
      <c r="OQU142" s="418"/>
      <c r="OQV142" s="418"/>
      <c r="OQW142" s="418"/>
      <c r="OQX142" s="418"/>
      <c r="OQY142" s="418"/>
      <c r="OQZ142" s="418"/>
      <c r="ORA142" s="418"/>
      <c r="ORB142" s="418"/>
      <c r="ORC142" s="418"/>
      <c r="ORD142" s="418"/>
      <c r="ORE142" s="418"/>
      <c r="ORF142" s="418"/>
      <c r="ORG142" s="418"/>
      <c r="ORH142" s="418"/>
      <c r="ORI142" s="418"/>
      <c r="ORJ142" s="418"/>
      <c r="ORK142" s="418"/>
      <c r="ORL142" s="418"/>
      <c r="ORM142" s="418"/>
      <c r="ORN142" s="418"/>
      <c r="ORO142" s="418"/>
      <c r="ORP142" s="418"/>
      <c r="ORQ142" s="418"/>
      <c r="ORR142" s="418"/>
      <c r="ORS142" s="418"/>
      <c r="ORT142" s="418"/>
      <c r="ORU142" s="418"/>
      <c r="ORV142" s="418"/>
      <c r="ORW142" s="418"/>
      <c r="ORX142" s="418"/>
      <c r="ORY142" s="418"/>
      <c r="ORZ142" s="418"/>
      <c r="OSA142" s="418"/>
      <c r="OSB142" s="418"/>
      <c r="OSC142" s="418"/>
      <c r="OSD142" s="418"/>
      <c r="OSE142" s="418"/>
      <c r="OSF142" s="418"/>
      <c r="OSG142" s="418"/>
      <c r="OSH142" s="418"/>
      <c r="OSI142" s="418"/>
      <c r="OSJ142" s="418"/>
      <c r="OSK142" s="418"/>
      <c r="OSL142" s="418"/>
      <c r="OSM142" s="418"/>
      <c r="OSN142" s="418"/>
      <c r="OSO142" s="418"/>
      <c r="OSP142" s="418"/>
      <c r="OSQ142" s="418"/>
      <c r="OSR142" s="418"/>
      <c r="OSS142" s="418"/>
      <c r="OST142" s="418"/>
      <c r="OSU142" s="418"/>
      <c r="OSV142" s="418"/>
      <c r="OSW142" s="418"/>
      <c r="OSX142" s="418"/>
      <c r="OSY142" s="418"/>
      <c r="OSZ142" s="418"/>
      <c r="OTA142" s="418"/>
      <c r="OTB142" s="418"/>
      <c r="OTC142" s="418"/>
      <c r="OTD142" s="418"/>
      <c r="OTE142" s="418"/>
      <c r="OTF142" s="418"/>
      <c r="OTG142" s="418"/>
      <c r="OTH142" s="418"/>
      <c r="OTI142" s="418"/>
      <c r="OTJ142" s="418"/>
      <c r="OTK142" s="418"/>
      <c r="OTL142" s="418"/>
      <c r="OTM142" s="418"/>
      <c r="OTN142" s="418"/>
      <c r="OTO142" s="418"/>
      <c r="OTP142" s="418"/>
      <c r="OTQ142" s="418"/>
      <c r="OTR142" s="418"/>
      <c r="OTS142" s="418"/>
      <c r="OTT142" s="418"/>
      <c r="OTU142" s="418"/>
      <c r="OTV142" s="418"/>
      <c r="OTW142" s="418"/>
      <c r="OTX142" s="418"/>
      <c r="OTY142" s="418"/>
      <c r="OTZ142" s="418"/>
      <c r="OUA142" s="418"/>
      <c r="OUB142" s="418"/>
      <c r="OUC142" s="418"/>
      <c r="OUD142" s="418"/>
      <c r="OUE142" s="418"/>
      <c r="OUF142" s="418"/>
      <c r="OUG142" s="418"/>
      <c r="OUH142" s="418"/>
      <c r="OUI142" s="418"/>
      <c r="OUJ142" s="418"/>
      <c r="OUK142" s="418"/>
      <c r="OUL142" s="418"/>
      <c r="OUM142" s="418"/>
      <c r="OUN142" s="418"/>
      <c r="OUO142" s="418"/>
      <c r="OUP142" s="418"/>
      <c r="OUQ142" s="418"/>
      <c r="OUR142" s="418"/>
      <c r="OUS142" s="418"/>
      <c r="OUT142" s="418"/>
      <c r="OUU142" s="418"/>
      <c r="OUV142" s="418"/>
      <c r="OUW142" s="418"/>
      <c r="OUX142" s="418"/>
      <c r="OUY142" s="418"/>
      <c r="OUZ142" s="418"/>
      <c r="OVA142" s="418"/>
      <c r="OVB142" s="418"/>
      <c r="OVC142" s="418"/>
      <c r="OVD142" s="418"/>
      <c r="OVE142" s="418"/>
      <c r="OVF142" s="418"/>
      <c r="OVG142" s="418"/>
      <c r="OVH142" s="418"/>
      <c r="OVI142" s="418"/>
      <c r="OVJ142" s="418"/>
      <c r="OVK142" s="418"/>
      <c r="OVL142" s="418"/>
      <c r="OVM142" s="418"/>
      <c r="OVN142" s="418"/>
      <c r="OVO142" s="418"/>
      <c r="OVP142" s="418"/>
      <c r="OVQ142" s="418"/>
      <c r="OVR142" s="418"/>
      <c r="OVS142" s="418"/>
      <c r="OVT142" s="418"/>
      <c r="OVU142" s="418"/>
      <c r="OVV142" s="418"/>
      <c r="OVW142" s="418"/>
      <c r="OVX142" s="418"/>
      <c r="OVY142" s="418"/>
      <c r="OVZ142" s="418"/>
      <c r="OWA142" s="418"/>
      <c r="OWB142" s="418"/>
      <c r="OWC142" s="418"/>
      <c r="OWD142" s="418"/>
      <c r="OWE142" s="418"/>
      <c r="OWF142" s="418"/>
      <c r="OWG142" s="418"/>
      <c r="OWH142" s="418"/>
      <c r="OWI142" s="418"/>
      <c r="OWJ142" s="418"/>
      <c r="OWK142" s="418"/>
      <c r="OWL142" s="418"/>
      <c r="OWM142" s="418"/>
      <c r="OWN142" s="418"/>
      <c r="OWO142" s="418"/>
      <c r="OWP142" s="418"/>
      <c r="OWQ142" s="418"/>
      <c r="OWR142" s="418"/>
      <c r="OWS142" s="418"/>
      <c r="OWT142" s="418"/>
      <c r="OWU142" s="418"/>
      <c r="OWV142" s="418"/>
      <c r="OWW142" s="418"/>
      <c r="OWX142" s="418"/>
      <c r="OWY142" s="418"/>
      <c r="OWZ142" s="418"/>
      <c r="OXA142" s="418"/>
      <c r="OXB142" s="418"/>
      <c r="OXC142" s="418"/>
      <c r="OXD142" s="418"/>
      <c r="OXE142" s="418"/>
      <c r="OXF142" s="418"/>
      <c r="OXG142" s="418"/>
      <c r="OXH142" s="418"/>
      <c r="OXI142" s="418"/>
      <c r="OXJ142" s="418"/>
      <c r="OXK142" s="418"/>
      <c r="OXL142" s="418"/>
      <c r="OXM142" s="418"/>
      <c r="OXN142" s="418"/>
      <c r="OXO142" s="418"/>
      <c r="OXP142" s="418"/>
      <c r="OXQ142" s="418"/>
      <c r="OXR142" s="418"/>
      <c r="OXS142" s="418"/>
      <c r="OXT142" s="418"/>
      <c r="OXU142" s="418"/>
      <c r="OXV142" s="418"/>
      <c r="OXW142" s="418"/>
      <c r="OXX142" s="418"/>
      <c r="OXY142" s="418"/>
      <c r="OXZ142" s="418"/>
      <c r="OYA142" s="418"/>
      <c r="OYB142" s="418"/>
      <c r="OYC142" s="418"/>
      <c r="OYD142" s="418"/>
      <c r="OYE142" s="418"/>
      <c r="OYF142" s="418"/>
      <c r="OYG142" s="418"/>
      <c r="OYH142" s="418"/>
      <c r="OYI142" s="418"/>
      <c r="OYJ142" s="418"/>
      <c r="OYK142" s="418"/>
      <c r="OYL142" s="418"/>
      <c r="OYM142" s="418"/>
      <c r="OYN142" s="418"/>
      <c r="OYO142" s="418"/>
      <c r="OYP142" s="418"/>
      <c r="OYQ142" s="418"/>
      <c r="OYR142" s="418"/>
      <c r="OYS142" s="418"/>
      <c r="OYT142" s="418"/>
      <c r="OYU142" s="418"/>
      <c r="OYV142" s="418"/>
      <c r="OYW142" s="418"/>
      <c r="OYX142" s="418"/>
      <c r="OYY142" s="418"/>
      <c r="OYZ142" s="418"/>
      <c r="OZA142" s="418"/>
      <c r="OZB142" s="418"/>
      <c r="OZC142" s="418"/>
      <c r="OZD142" s="418"/>
      <c r="OZE142" s="418"/>
      <c r="OZF142" s="418"/>
      <c r="OZG142" s="418"/>
      <c r="OZH142" s="418"/>
      <c r="OZI142" s="418"/>
      <c r="OZJ142" s="418"/>
      <c r="OZK142" s="418"/>
      <c r="OZL142" s="418"/>
      <c r="OZM142" s="418"/>
      <c r="OZN142" s="418"/>
      <c r="OZO142" s="418"/>
      <c r="OZP142" s="418"/>
      <c r="OZQ142" s="418"/>
      <c r="OZR142" s="418"/>
      <c r="OZS142" s="418"/>
      <c r="OZT142" s="418"/>
      <c r="OZU142" s="418"/>
      <c r="OZV142" s="418"/>
      <c r="OZW142" s="418"/>
      <c r="OZX142" s="418"/>
      <c r="OZY142" s="418"/>
      <c r="OZZ142" s="418"/>
      <c r="PAA142" s="418"/>
      <c r="PAB142" s="418"/>
      <c r="PAC142" s="418"/>
      <c r="PAD142" s="418"/>
      <c r="PAE142" s="418"/>
      <c r="PAF142" s="418"/>
      <c r="PAG142" s="418"/>
      <c r="PAH142" s="418"/>
      <c r="PAI142" s="418"/>
      <c r="PAJ142" s="418"/>
      <c r="PAK142" s="418"/>
      <c r="PAL142" s="418"/>
      <c r="PAM142" s="418"/>
      <c r="PAN142" s="418"/>
      <c r="PAO142" s="418"/>
      <c r="PAP142" s="418"/>
      <c r="PAQ142" s="418"/>
      <c r="PAR142" s="418"/>
      <c r="PAS142" s="418"/>
      <c r="PAT142" s="418"/>
      <c r="PAU142" s="418"/>
      <c r="PAV142" s="418"/>
      <c r="PAW142" s="418"/>
      <c r="PAX142" s="418"/>
      <c r="PAY142" s="418"/>
      <c r="PAZ142" s="418"/>
      <c r="PBA142" s="418"/>
      <c r="PBB142" s="418"/>
      <c r="PBC142" s="418"/>
      <c r="PBD142" s="418"/>
      <c r="PBE142" s="418"/>
      <c r="PBF142" s="418"/>
      <c r="PBG142" s="418"/>
      <c r="PBH142" s="418"/>
      <c r="PBI142" s="418"/>
      <c r="PBJ142" s="418"/>
      <c r="PBK142" s="418"/>
      <c r="PBL142" s="418"/>
      <c r="PBM142" s="418"/>
      <c r="PBN142" s="418"/>
      <c r="PBO142" s="418"/>
      <c r="PBP142" s="418"/>
      <c r="PBQ142" s="418"/>
      <c r="PBR142" s="418"/>
      <c r="PBS142" s="418"/>
      <c r="PBT142" s="418"/>
      <c r="PBU142" s="418"/>
      <c r="PBV142" s="418"/>
      <c r="PBW142" s="418"/>
      <c r="PBX142" s="418"/>
      <c r="PBY142" s="418"/>
      <c r="PBZ142" s="418"/>
      <c r="PCA142" s="418"/>
      <c r="PCB142" s="418"/>
      <c r="PCC142" s="418"/>
      <c r="PCD142" s="418"/>
      <c r="PCE142" s="418"/>
      <c r="PCF142" s="418"/>
      <c r="PCG142" s="418"/>
      <c r="PCH142" s="418"/>
      <c r="PCI142" s="418"/>
      <c r="PCJ142" s="418"/>
      <c r="PCK142" s="418"/>
      <c r="PCL142" s="418"/>
      <c r="PCM142" s="418"/>
      <c r="PCN142" s="418"/>
      <c r="PCO142" s="418"/>
      <c r="PCP142" s="418"/>
      <c r="PCQ142" s="418"/>
      <c r="PCR142" s="418"/>
      <c r="PCS142" s="418"/>
      <c r="PCT142" s="418"/>
      <c r="PCU142" s="418"/>
      <c r="PCV142" s="418"/>
      <c r="PCW142" s="418"/>
      <c r="PCX142" s="418"/>
      <c r="PCY142" s="418"/>
      <c r="PCZ142" s="418"/>
      <c r="PDA142" s="418"/>
      <c r="PDB142" s="418"/>
      <c r="PDC142" s="418"/>
      <c r="PDD142" s="418"/>
      <c r="PDE142" s="418"/>
      <c r="PDF142" s="418"/>
      <c r="PDG142" s="418"/>
      <c r="PDH142" s="418"/>
      <c r="PDI142" s="418"/>
      <c r="PDJ142" s="418"/>
      <c r="PDK142" s="418"/>
      <c r="PDL142" s="418"/>
      <c r="PDM142" s="418"/>
      <c r="PDN142" s="418"/>
      <c r="PDO142" s="418"/>
      <c r="PDP142" s="418"/>
      <c r="PDQ142" s="418"/>
      <c r="PDR142" s="418"/>
      <c r="PDS142" s="418"/>
      <c r="PDT142" s="418"/>
      <c r="PDU142" s="418"/>
      <c r="PDV142" s="418"/>
      <c r="PDW142" s="418"/>
      <c r="PDX142" s="418"/>
      <c r="PDY142" s="418"/>
      <c r="PDZ142" s="418"/>
      <c r="PEA142" s="418"/>
      <c r="PEB142" s="418"/>
      <c r="PEC142" s="418"/>
      <c r="PED142" s="418"/>
      <c r="PEE142" s="418"/>
      <c r="PEF142" s="418"/>
      <c r="PEG142" s="418"/>
      <c r="PEH142" s="418"/>
      <c r="PEI142" s="418"/>
      <c r="PEJ142" s="418"/>
      <c r="PEK142" s="418"/>
      <c r="PEL142" s="418"/>
      <c r="PEM142" s="418"/>
      <c r="PEN142" s="418"/>
      <c r="PEO142" s="418"/>
      <c r="PEP142" s="418"/>
      <c r="PEQ142" s="418"/>
      <c r="PER142" s="418"/>
      <c r="PES142" s="418"/>
      <c r="PET142" s="418"/>
      <c r="PEU142" s="418"/>
      <c r="PEV142" s="418"/>
      <c r="PEW142" s="418"/>
      <c r="PEX142" s="418"/>
      <c r="PEY142" s="418"/>
      <c r="PEZ142" s="418"/>
      <c r="PFA142" s="418"/>
      <c r="PFB142" s="418"/>
      <c r="PFC142" s="418"/>
      <c r="PFD142" s="418"/>
      <c r="PFE142" s="418"/>
      <c r="PFF142" s="418"/>
      <c r="PFG142" s="418"/>
      <c r="PFH142" s="418"/>
      <c r="PFI142" s="418"/>
      <c r="PFJ142" s="418"/>
      <c r="PFK142" s="418"/>
      <c r="PFL142" s="418"/>
      <c r="PFM142" s="418"/>
      <c r="PFN142" s="418"/>
      <c r="PFO142" s="418"/>
      <c r="PFP142" s="418"/>
      <c r="PFQ142" s="418"/>
      <c r="PFR142" s="418"/>
      <c r="PFS142" s="418"/>
      <c r="PFT142" s="418"/>
      <c r="PFU142" s="418"/>
      <c r="PFV142" s="418"/>
      <c r="PFW142" s="418"/>
      <c r="PFX142" s="418"/>
      <c r="PFY142" s="418"/>
      <c r="PFZ142" s="418"/>
      <c r="PGA142" s="418"/>
      <c r="PGB142" s="418"/>
      <c r="PGC142" s="418"/>
      <c r="PGD142" s="418"/>
      <c r="PGE142" s="418"/>
      <c r="PGF142" s="418"/>
      <c r="PGG142" s="418"/>
      <c r="PGH142" s="418"/>
      <c r="PGI142" s="418"/>
      <c r="PGJ142" s="418"/>
      <c r="PGK142" s="418"/>
      <c r="PGL142" s="418"/>
      <c r="PGM142" s="418"/>
      <c r="PGN142" s="418"/>
      <c r="PGO142" s="418"/>
      <c r="PGP142" s="418"/>
      <c r="PGQ142" s="418"/>
      <c r="PGR142" s="418"/>
      <c r="PGS142" s="418"/>
      <c r="PGT142" s="418"/>
      <c r="PGU142" s="418"/>
      <c r="PGV142" s="418"/>
      <c r="PGW142" s="418"/>
      <c r="PGX142" s="418"/>
      <c r="PGY142" s="418"/>
      <c r="PGZ142" s="418"/>
      <c r="PHA142" s="418"/>
      <c r="PHB142" s="418"/>
      <c r="PHC142" s="418"/>
      <c r="PHD142" s="418"/>
      <c r="PHE142" s="418"/>
      <c r="PHF142" s="418"/>
      <c r="PHG142" s="418"/>
      <c r="PHH142" s="418"/>
      <c r="PHI142" s="418"/>
      <c r="PHJ142" s="418"/>
      <c r="PHK142" s="418"/>
      <c r="PHL142" s="418"/>
      <c r="PHM142" s="418"/>
      <c r="PHN142" s="418"/>
      <c r="PHO142" s="418"/>
      <c r="PHP142" s="418"/>
      <c r="PHQ142" s="418"/>
      <c r="PHR142" s="418"/>
      <c r="PHS142" s="418"/>
      <c r="PHT142" s="418"/>
      <c r="PHU142" s="418"/>
      <c r="PHV142" s="418"/>
      <c r="PHW142" s="418"/>
      <c r="PHX142" s="418"/>
      <c r="PHY142" s="418"/>
      <c r="PHZ142" s="418"/>
      <c r="PIA142" s="418"/>
      <c r="PIB142" s="418"/>
      <c r="PIC142" s="418"/>
      <c r="PID142" s="418"/>
      <c r="PIE142" s="418"/>
      <c r="PIF142" s="418"/>
      <c r="PIG142" s="418"/>
      <c r="PIH142" s="418"/>
      <c r="PII142" s="418"/>
      <c r="PIJ142" s="418"/>
      <c r="PIK142" s="418"/>
      <c r="PIL142" s="418"/>
      <c r="PIM142" s="418"/>
      <c r="PIN142" s="418"/>
      <c r="PIO142" s="418"/>
      <c r="PIP142" s="418"/>
      <c r="PIQ142" s="418"/>
      <c r="PIR142" s="418"/>
      <c r="PIS142" s="418"/>
      <c r="PIT142" s="418"/>
      <c r="PIU142" s="418"/>
      <c r="PIV142" s="418"/>
      <c r="PIW142" s="418"/>
      <c r="PIX142" s="418"/>
      <c r="PIY142" s="418"/>
      <c r="PIZ142" s="418"/>
      <c r="PJA142" s="418"/>
      <c r="PJB142" s="418"/>
      <c r="PJC142" s="418"/>
      <c r="PJD142" s="418"/>
      <c r="PJE142" s="418"/>
      <c r="PJF142" s="418"/>
      <c r="PJG142" s="418"/>
      <c r="PJH142" s="418"/>
      <c r="PJI142" s="418"/>
      <c r="PJJ142" s="418"/>
      <c r="PJK142" s="418"/>
      <c r="PJL142" s="418"/>
      <c r="PJM142" s="418"/>
      <c r="PJN142" s="418"/>
      <c r="PJO142" s="418"/>
      <c r="PJP142" s="418"/>
      <c r="PJQ142" s="418"/>
      <c r="PJR142" s="418"/>
      <c r="PJS142" s="418"/>
      <c r="PJT142" s="418"/>
      <c r="PJU142" s="418"/>
      <c r="PJV142" s="418"/>
      <c r="PJW142" s="418"/>
      <c r="PJX142" s="418"/>
      <c r="PJY142" s="418"/>
      <c r="PJZ142" s="418"/>
      <c r="PKA142" s="418"/>
      <c r="PKB142" s="418"/>
      <c r="PKC142" s="418"/>
      <c r="PKD142" s="418"/>
      <c r="PKE142" s="418"/>
      <c r="PKF142" s="418"/>
      <c r="PKG142" s="418"/>
      <c r="PKH142" s="418"/>
      <c r="PKI142" s="418"/>
      <c r="PKJ142" s="418"/>
      <c r="PKK142" s="418"/>
      <c r="PKL142" s="418"/>
      <c r="PKM142" s="418"/>
      <c r="PKN142" s="418"/>
      <c r="PKO142" s="418"/>
      <c r="PKP142" s="418"/>
      <c r="PKQ142" s="418"/>
      <c r="PKR142" s="418"/>
      <c r="PKS142" s="418"/>
      <c r="PKT142" s="418"/>
      <c r="PKU142" s="418"/>
      <c r="PKV142" s="418"/>
      <c r="PKW142" s="418"/>
      <c r="PKX142" s="418"/>
      <c r="PKY142" s="418"/>
      <c r="PKZ142" s="418"/>
      <c r="PLA142" s="418"/>
      <c r="PLB142" s="418"/>
      <c r="PLC142" s="418"/>
      <c r="PLD142" s="418"/>
      <c r="PLE142" s="418"/>
      <c r="PLF142" s="418"/>
      <c r="PLG142" s="418"/>
      <c r="PLH142" s="418"/>
      <c r="PLI142" s="418"/>
      <c r="PLJ142" s="418"/>
      <c r="PLK142" s="418"/>
      <c r="PLL142" s="418"/>
      <c r="PLM142" s="418"/>
      <c r="PLN142" s="418"/>
      <c r="PLO142" s="418"/>
      <c r="PLP142" s="418"/>
      <c r="PLQ142" s="418"/>
      <c r="PLR142" s="418"/>
      <c r="PLS142" s="418"/>
      <c r="PLT142" s="418"/>
      <c r="PLU142" s="418"/>
      <c r="PLV142" s="418"/>
      <c r="PLW142" s="418"/>
      <c r="PLX142" s="418"/>
      <c r="PLY142" s="418"/>
      <c r="PLZ142" s="418"/>
      <c r="PMA142" s="418"/>
      <c r="PMB142" s="418"/>
      <c r="PMC142" s="418"/>
      <c r="PMD142" s="418"/>
      <c r="PME142" s="418"/>
      <c r="PMF142" s="418"/>
      <c r="PMG142" s="418"/>
      <c r="PMH142" s="418"/>
      <c r="PMI142" s="418"/>
      <c r="PMJ142" s="418"/>
      <c r="PMK142" s="418"/>
      <c r="PML142" s="418"/>
      <c r="PMM142" s="418"/>
      <c r="PMN142" s="418"/>
      <c r="PMO142" s="418"/>
      <c r="PMP142" s="418"/>
      <c r="PMQ142" s="418"/>
      <c r="PMR142" s="418"/>
      <c r="PMS142" s="418"/>
      <c r="PMT142" s="418"/>
      <c r="PMU142" s="418"/>
      <c r="PMV142" s="418"/>
      <c r="PMW142" s="418"/>
      <c r="PMX142" s="418"/>
      <c r="PMY142" s="418"/>
      <c r="PMZ142" s="418"/>
      <c r="PNA142" s="418"/>
      <c r="PNB142" s="418"/>
      <c r="PNC142" s="418"/>
      <c r="PND142" s="418"/>
      <c r="PNE142" s="418"/>
      <c r="PNF142" s="418"/>
      <c r="PNG142" s="418"/>
      <c r="PNH142" s="418"/>
      <c r="PNI142" s="418"/>
      <c r="PNJ142" s="418"/>
      <c r="PNK142" s="418"/>
      <c r="PNL142" s="418"/>
      <c r="PNM142" s="418"/>
      <c r="PNN142" s="418"/>
      <c r="PNO142" s="418"/>
      <c r="PNP142" s="418"/>
      <c r="PNQ142" s="418"/>
      <c r="PNR142" s="418"/>
      <c r="PNS142" s="418"/>
      <c r="PNT142" s="418"/>
      <c r="PNU142" s="418"/>
      <c r="PNV142" s="418"/>
      <c r="PNW142" s="418"/>
      <c r="PNX142" s="418"/>
      <c r="PNY142" s="418"/>
      <c r="PNZ142" s="418"/>
      <c r="POA142" s="418"/>
      <c r="POB142" s="418"/>
      <c r="POC142" s="418"/>
      <c r="POD142" s="418"/>
      <c r="POE142" s="418"/>
      <c r="POF142" s="418"/>
      <c r="POG142" s="418"/>
      <c r="POH142" s="418"/>
      <c r="POI142" s="418"/>
      <c r="POJ142" s="418"/>
      <c r="POK142" s="418"/>
      <c r="POL142" s="418"/>
      <c r="POM142" s="418"/>
      <c r="PON142" s="418"/>
      <c r="POO142" s="418"/>
      <c r="POP142" s="418"/>
      <c r="POQ142" s="418"/>
      <c r="POR142" s="418"/>
      <c r="POS142" s="418"/>
      <c r="POT142" s="418"/>
      <c r="POU142" s="418"/>
      <c r="POV142" s="418"/>
      <c r="POW142" s="418"/>
      <c r="POX142" s="418"/>
      <c r="POY142" s="418"/>
      <c r="POZ142" s="418"/>
      <c r="PPA142" s="418"/>
      <c r="PPB142" s="418"/>
      <c r="PPC142" s="418"/>
      <c r="PPD142" s="418"/>
      <c r="PPE142" s="418"/>
      <c r="PPF142" s="418"/>
      <c r="PPG142" s="418"/>
      <c r="PPH142" s="418"/>
      <c r="PPI142" s="418"/>
      <c r="PPJ142" s="418"/>
      <c r="PPK142" s="418"/>
      <c r="PPL142" s="418"/>
      <c r="PPM142" s="418"/>
      <c r="PPN142" s="418"/>
      <c r="PPO142" s="418"/>
      <c r="PPP142" s="418"/>
      <c r="PPQ142" s="418"/>
      <c r="PPR142" s="418"/>
      <c r="PPS142" s="418"/>
      <c r="PPT142" s="418"/>
      <c r="PPU142" s="418"/>
      <c r="PPV142" s="418"/>
      <c r="PPW142" s="418"/>
      <c r="PPX142" s="418"/>
      <c r="PPY142" s="418"/>
      <c r="PPZ142" s="418"/>
      <c r="PQA142" s="418"/>
      <c r="PQB142" s="418"/>
      <c r="PQC142" s="418"/>
      <c r="PQD142" s="418"/>
      <c r="PQE142" s="418"/>
      <c r="PQF142" s="418"/>
      <c r="PQG142" s="418"/>
      <c r="PQH142" s="418"/>
      <c r="PQI142" s="418"/>
      <c r="PQJ142" s="418"/>
      <c r="PQK142" s="418"/>
      <c r="PQL142" s="418"/>
      <c r="PQM142" s="418"/>
      <c r="PQN142" s="418"/>
      <c r="PQO142" s="418"/>
      <c r="PQP142" s="418"/>
      <c r="PQQ142" s="418"/>
      <c r="PQR142" s="418"/>
      <c r="PQS142" s="418"/>
      <c r="PQT142" s="418"/>
      <c r="PQU142" s="418"/>
      <c r="PQV142" s="418"/>
      <c r="PQW142" s="418"/>
      <c r="PQX142" s="418"/>
      <c r="PQY142" s="418"/>
      <c r="PQZ142" s="418"/>
      <c r="PRA142" s="418"/>
      <c r="PRB142" s="418"/>
      <c r="PRC142" s="418"/>
      <c r="PRD142" s="418"/>
      <c r="PRE142" s="418"/>
      <c r="PRF142" s="418"/>
      <c r="PRG142" s="418"/>
      <c r="PRH142" s="418"/>
      <c r="PRI142" s="418"/>
      <c r="PRJ142" s="418"/>
      <c r="PRK142" s="418"/>
      <c r="PRL142" s="418"/>
      <c r="PRM142" s="418"/>
      <c r="PRN142" s="418"/>
      <c r="PRO142" s="418"/>
      <c r="PRP142" s="418"/>
      <c r="PRQ142" s="418"/>
      <c r="PRR142" s="418"/>
      <c r="PRS142" s="418"/>
      <c r="PRT142" s="418"/>
      <c r="PRU142" s="418"/>
      <c r="PRV142" s="418"/>
      <c r="PRW142" s="418"/>
      <c r="PRX142" s="418"/>
      <c r="PRY142" s="418"/>
      <c r="PRZ142" s="418"/>
      <c r="PSA142" s="418"/>
      <c r="PSB142" s="418"/>
      <c r="PSC142" s="418"/>
      <c r="PSD142" s="418"/>
      <c r="PSE142" s="418"/>
      <c r="PSF142" s="418"/>
      <c r="PSG142" s="418"/>
      <c r="PSH142" s="418"/>
      <c r="PSI142" s="418"/>
      <c r="PSJ142" s="418"/>
      <c r="PSK142" s="418"/>
      <c r="PSL142" s="418"/>
      <c r="PSM142" s="418"/>
      <c r="PSN142" s="418"/>
      <c r="PSO142" s="418"/>
      <c r="PSP142" s="418"/>
      <c r="PSQ142" s="418"/>
      <c r="PSR142" s="418"/>
      <c r="PSS142" s="418"/>
      <c r="PST142" s="418"/>
      <c r="PSU142" s="418"/>
      <c r="PSV142" s="418"/>
      <c r="PSW142" s="418"/>
      <c r="PSX142" s="418"/>
      <c r="PSY142" s="418"/>
      <c r="PSZ142" s="418"/>
      <c r="PTA142" s="418"/>
      <c r="PTB142" s="418"/>
      <c r="PTC142" s="418"/>
      <c r="PTD142" s="418"/>
      <c r="PTE142" s="418"/>
      <c r="PTF142" s="418"/>
      <c r="PTG142" s="418"/>
      <c r="PTH142" s="418"/>
      <c r="PTI142" s="418"/>
      <c r="PTJ142" s="418"/>
      <c r="PTK142" s="418"/>
      <c r="PTL142" s="418"/>
      <c r="PTM142" s="418"/>
      <c r="PTN142" s="418"/>
      <c r="PTO142" s="418"/>
      <c r="PTP142" s="418"/>
      <c r="PTQ142" s="418"/>
      <c r="PTR142" s="418"/>
      <c r="PTS142" s="418"/>
      <c r="PTT142" s="418"/>
      <c r="PTU142" s="418"/>
      <c r="PTV142" s="418"/>
      <c r="PTW142" s="418"/>
      <c r="PTX142" s="418"/>
      <c r="PTY142" s="418"/>
      <c r="PTZ142" s="418"/>
      <c r="PUA142" s="418"/>
      <c r="PUB142" s="418"/>
      <c r="PUC142" s="418"/>
      <c r="PUD142" s="418"/>
      <c r="PUE142" s="418"/>
      <c r="PUF142" s="418"/>
      <c r="PUG142" s="418"/>
      <c r="PUH142" s="418"/>
      <c r="PUI142" s="418"/>
      <c r="PUJ142" s="418"/>
      <c r="PUK142" s="418"/>
      <c r="PUL142" s="418"/>
      <c r="PUM142" s="418"/>
      <c r="PUN142" s="418"/>
      <c r="PUO142" s="418"/>
      <c r="PUP142" s="418"/>
      <c r="PUQ142" s="418"/>
      <c r="PUR142" s="418"/>
      <c r="PUS142" s="418"/>
      <c r="PUT142" s="418"/>
      <c r="PUU142" s="418"/>
      <c r="PUV142" s="418"/>
      <c r="PUW142" s="418"/>
      <c r="PUX142" s="418"/>
      <c r="PUY142" s="418"/>
      <c r="PUZ142" s="418"/>
      <c r="PVA142" s="418"/>
      <c r="PVB142" s="418"/>
      <c r="PVC142" s="418"/>
      <c r="PVD142" s="418"/>
      <c r="PVE142" s="418"/>
      <c r="PVF142" s="418"/>
      <c r="PVG142" s="418"/>
      <c r="PVH142" s="418"/>
      <c r="PVI142" s="418"/>
      <c r="PVJ142" s="418"/>
      <c r="PVK142" s="418"/>
      <c r="PVL142" s="418"/>
      <c r="PVM142" s="418"/>
      <c r="PVN142" s="418"/>
      <c r="PVO142" s="418"/>
      <c r="PVP142" s="418"/>
      <c r="PVQ142" s="418"/>
      <c r="PVR142" s="418"/>
      <c r="PVS142" s="418"/>
      <c r="PVT142" s="418"/>
      <c r="PVU142" s="418"/>
      <c r="PVV142" s="418"/>
      <c r="PVW142" s="418"/>
      <c r="PVX142" s="418"/>
      <c r="PVY142" s="418"/>
      <c r="PVZ142" s="418"/>
      <c r="PWA142" s="418"/>
      <c r="PWB142" s="418"/>
      <c r="PWC142" s="418"/>
      <c r="PWD142" s="418"/>
      <c r="PWE142" s="418"/>
      <c r="PWF142" s="418"/>
      <c r="PWG142" s="418"/>
      <c r="PWH142" s="418"/>
      <c r="PWI142" s="418"/>
      <c r="PWJ142" s="418"/>
      <c r="PWK142" s="418"/>
      <c r="PWL142" s="418"/>
      <c r="PWM142" s="418"/>
      <c r="PWN142" s="418"/>
      <c r="PWO142" s="418"/>
      <c r="PWP142" s="418"/>
      <c r="PWQ142" s="418"/>
      <c r="PWR142" s="418"/>
      <c r="PWS142" s="418"/>
      <c r="PWT142" s="418"/>
      <c r="PWU142" s="418"/>
      <c r="PWV142" s="418"/>
      <c r="PWW142" s="418"/>
      <c r="PWX142" s="418"/>
      <c r="PWY142" s="418"/>
      <c r="PWZ142" s="418"/>
      <c r="PXA142" s="418"/>
      <c r="PXB142" s="418"/>
      <c r="PXC142" s="418"/>
      <c r="PXD142" s="418"/>
      <c r="PXE142" s="418"/>
      <c r="PXF142" s="418"/>
      <c r="PXG142" s="418"/>
      <c r="PXH142" s="418"/>
      <c r="PXI142" s="418"/>
      <c r="PXJ142" s="418"/>
      <c r="PXK142" s="418"/>
      <c r="PXL142" s="418"/>
      <c r="PXM142" s="418"/>
      <c r="PXN142" s="418"/>
      <c r="PXO142" s="418"/>
      <c r="PXP142" s="418"/>
      <c r="PXQ142" s="418"/>
      <c r="PXR142" s="418"/>
      <c r="PXS142" s="418"/>
      <c r="PXT142" s="418"/>
      <c r="PXU142" s="418"/>
      <c r="PXV142" s="418"/>
      <c r="PXW142" s="418"/>
      <c r="PXX142" s="418"/>
      <c r="PXY142" s="418"/>
      <c r="PXZ142" s="418"/>
      <c r="PYA142" s="418"/>
      <c r="PYB142" s="418"/>
      <c r="PYC142" s="418"/>
      <c r="PYD142" s="418"/>
      <c r="PYE142" s="418"/>
      <c r="PYF142" s="418"/>
      <c r="PYG142" s="418"/>
      <c r="PYH142" s="418"/>
      <c r="PYI142" s="418"/>
      <c r="PYJ142" s="418"/>
      <c r="PYK142" s="418"/>
      <c r="PYL142" s="418"/>
      <c r="PYM142" s="418"/>
      <c r="PYN142" s="418"/>
      <c r="PYO142" s="418"/>
      <c r="PYP142" s="418"/>
      <c r="PYQ142" s="418"/>
      <c r="PYR142" s="418"/>
      <c r="PYS142" s="418"/>
      <c r="PYT142" s="418"/>
      <c r="PYU142" s="418"/>
      <c r="PYV142" s="418"/>
      <c r="PYW142" s="418"/>
      <c r="PYX142" s="418"/>
      <c r="PYY142" s="418"/>
      <c r="PYZ142" s="418"/>
      <c r="PZA142" s="418"/>
      <c r="PZB142" s="418"/>
      <c r="PZC142" s="418"/>
      <c r="PZD142" s="418"/>
      <c r="PZE142" s="418"/>
      <c r="PZF142" s="418"/>
      <c r="PZG142" s="418"/>
      <c r="PZH142" s="418"/>
      <c r="PZI142" s="418"/>
      <c r="PZJ142" s="418"/>
      <c r="PZK142" s="418"/>
      <c r="PZL142" s="418"/>
      <c r="PZM142" s="418"/>
      <c r="PZN142" s="418"/>
      <c r="PZO142" s="418"/>
      <c r="PZP142" s="418"/>
      <c r="PZQ142" s="418"/>
      <c r="PZR142" s="418"/>
      <c r="PZS142" s="418"/>
      <c r="PZT142" s="418"/>
      <c r="PZU142" s="418"/>
      <c r="PZV142" s="418"/>
      <c r="PZW142" s="418"/>
      <c r="PZX142" s="418"/>
      <c r="PZY142" s="418"/>
      <c r="PZZ142" s="418"/>
      <c r="QAA142" s="418"/>
      <c r="QAB142" s="418"/>
      <c r="QAC142" s="418"/>
      <c r="QAD142" s="418"/>
      <c r="QAE142" s="418"/>
      <c r="QAF142" s="418"/>
      <c r="QAG142" s="418"/>
      <c r="QAH142" s="418"/>
      <c r="QAI142" s="418"/>
      <c r="QAJ142" s="418"/>
      <c r="QAK142" s="418"/>
      <c r="QAL142" s="418"/>
      <c r="QAM142" s="418"/>
      <c r="QAN142" s="418"/>
      <c r="QAO142" s="418"/>
      <c r="QAP142" s="418"/>
      <c r="QAQ142" s="418"/>
      <c r="QAR142" s="418"/>
      <c r="QAS142" s="418"/>
      <c r="QAT142" s="418"/>
      <c r="QAU142" s="418"/>
      <c r="QAV142" s="418"/>
      <c r="QAW142" s="418"/>
      <c r="QAX142" s="418"/>
      <c r="QAY142" s="418"/>
      <c r="QAZ142" s="418"/>
      <c r="QBA142" s="418"/>
      <c r="QBB142" s="418"/>
      <c r="QBC142" s="418"/>
      <c r="QBD142" s="418"/>
      <c r="QBE142" s="418"/>
      <c r="QBF142" s="418"/>
      <c r="QBG142" s="418"/>
      <c r="QBH142" s="418"/>
      <c r="QBI142" s="418"/>
      <c r="QBJ142" s="418"/>
      <c r="QBK142" s="418"/>
      <c r="QBL142" s="418"/>
      <c r="QBM142" s="418"/>
      <c r="QBN142" s="418"/>
      <c r="QBO142" s="418"/>
      <c r="QBP142" s="418"/>
      <c r="QBQ142" s="418"/>
      <c r="QBR142" s="418"/>
      <c r="QBS142" s="418"/>
      <c r="QBT142" s="418"/>
      <c r="QBU142" s="418"/>
      <c r="QBV142" s="418"/>
      <c r="QBW142" s="418"/>
      <c r="QBX142" s="418"/>
      <c r="QBY142" s="418"/>
      <c r="QBZ142" s="418"/>
      <c r="QCA142" s="418"/>
      <c r="QCB142" s="418"/>
      <c r="QCC142" s="418"/>
      <c r="QCD142" s="418"/>
      <c r="QCE142" s="418"/>
      <c r="QCF142" s="418"/>
      <c r="QCG142" s="418"/>
      <c r="QCH142" s="418"/>
      <c r="QCI142" s="418"/>
      <c r="QCJ142" s="418"/>
      <c r="QCK142" s="418"/>
      <c r="QCL142" s="418"/>
      <c r="QCM142" s="418"/>
      <c r="QCN142" s="418"/>
      <c r="QCO142" s="418"/>
      <c r="QCP142" s="418"/>
      <c r="QCQ142" s="418"/>
      <c r="QCR142" s="418"/>
      <c r="QCS142" s="418"/>
      <c r="QCT142" s="418"/>
      <c r="QCU142" s="418"/>
      <c r="QCV142" s="418"/>
      <c r="QCW142" s="418"/>
      <c r="QCX142" s="418"/>
      <c r="QCY142" s="418"/>
      <c r="QCZ142" s="418"/>
      <c r="QDA142" s="418"/>
      <c r="QDB142" s="418"/>
      <c r="QDC142" s="418"/>
      <c r="QDD142" s="418"/>
      <c r="QDE142" s="418"/>
      <c r="QDF142" s="418"/>
      <c r="QDG142" s="418"/>
      <c r="QDH142" s="418"/>
      <c r="QDI142" s="418"/>
      <c r="QDJ142" s="418"/>
      <c r="QDK142" s="418"/>
      <c r="QDL142" s="418"/>
      <c r="QDM142" s="418"/>
      <c r="QDN142" s="418"/>
      <c r="QDO142" s="418"/>
      <c r="QDP142" s="418"/>
      <c r="QDQ142" s="418"/>
      <c r="QDR142" s="418"/>
      <c r="QDS142" s="418"/>
      <c r="QDT142" s="418"/>
      <c r="QDU142" s="418"/>
      <c r="QDV142" s="418"/>
      <c r="QDW142" s="418"/>
      <c r="QDX142" s="418"/>
      <c r="QDY142" s="418"/>
      <c r="QDZ142" s="418"/>
      <c r="QEA142" s="418"/>
      <c r="QEB142" s="418"/>
      <c r="QEC142" s="418"/>
      <c r="QED142" s="418"/>
      <c r="QEE142" s="418"/>
      <c r="QEF142" s="418"/>
      <c r="QEG142" s="418"/>
      <c r="QEH142" s="418"/>
      <c r="QEI142" s="418"/>
      <c r="QEJ142" s="418"/>
      <c r="QEK142" s="418"/>
      <c r="QEL142" s="418"/>
      <c r="QEM142" s="418"/>
      <c r="QEN142" s="418"/>
      <c r="QEO142" s="418"/>
      <c r="QEP142" s="418"/>
      <c r="QEQ142" s="418"/>
      <c r="QER142" s="418"/>
      <c r="QES142" s="418"/>
      <c r="QET142" s="418"/>
      <c r="QEU142" s="418"/>
      <c r="QEV142" s="418"/>
      <c r="QEW142" s="418"/>
      <c r="QEX142" s="418"/>
      <c r="QEY142" s="418"/>
      <c r="QEZ142" s="418"/>
      <c r="QFA142" s="418"/>
      <c r="QFB142" s="418"/>
      <c r="QFC142" s="418"/>
      <c r="QFD142" s="418"/>
      <c r="QFE142" s="418"/>
      <c r="QFF142" s="418"/>
      <c r="QFG142" s="418"/>
      <c r="QFH142" s="418"/>
      <c r="QFI142" s="418"/>
      <c r="QFJ142" s="418"/>
      <c r="QFK142" s="418"/>
      <c r="QFL142" s="418"/>
      <c r="QFM142" s="418"/>
      <c r="QFN142" s="418"/>
      <c r="QFO142" s="418"/>
      <c r="QFP142" s="418"/>
      <c r="QFQ142" s="418"/>
      <c r="QFR142" s="418"/>
      <c r="QFS142" s="418"/>
      <c r="QFT142" s="418"/>
      <c r="QFU142" s="418"/>
      <c r="QFV142" s="418"/>
      <c r="QFW142" s="418"/>
      <c r="QFX142" s="418"/>
      <c r="QFY142" s="418"/>
      <c r="QFZ142" s="418"/>
      <c r="QGA142" s="418"/>
      <c r="QGB142" s="418"/>
      <c r="QGC142" s="418"/>
      <c r="QGD142" s="418"/>
      <c r="QGE142" s="418"/>
      <c r="QGF142" s="418"/>
      <c r="QGG142" s="418"/>
      <c r="QGH142" s="418"/>
      <c r="QGI142" s="418"/>
      <c r="QGJ142" s="418"/>
      <c r="QGK142" s="418"/>
      <c r="QGL142" s="418"/>
      <c r="QGM142" s="418"/>
      <c r="QGN142" s="418"/>
      <c r="QGO142" s="418"/>
      <c r="QGP142" s="418"/>
      <c r="QGQ142" s="418"/>
      <c r="QGR142" s="418"/>
      <c r="QGS142" s="418"/>
      <c r="QGT142" s="418"/>
      <c r="QGU142" s="418"/>
      <c r="QGV142" s="418"/>
      <c r="QGW142" s="418"/>
      <c r="QGX142" s="418"/>
      <c r="QGY142" s="418"/>
      <c r="QGZ142" s="418"/>
      <c r="QHA142" s="418"/>
      <c r="QHB142" s="418"/>
      <c r="QHC142" s="418"/>
      <c r="QHD142" s="418"/>
      <c r="QHE142" s="418"/>
      <c r="QHF142" s="418"/>
      <c r="QHG142" s="418"/>
      <c r="QHH142" s="418"/>
      <c r="QHI142" s="418"/>
      <c r="QHJ142" s="418"/>
      <c r="QHK142" s="418"/>
      <c r="QHL142" s="418"/>
      <c r="QHM142" s="418"/>
      <c r="QHN142" s="418"/>
      <c r="QHO142" s="418"/>
      <c r="QHP142" s="418"/>
      <c r="QHQ142" s="418"/>
      <c r="QHR142" s="418"/>
      <c r="QHS142" s="418"/>
      <c r="QHT142" s="418"/>
      <c r="QHU142" s="418"/>
      <c r="QHV142" s="418"/>
      <c r="QHW142" s="418"/>
      <c r="QHX142" s="418"/>
      <c r="QHY142" s="418"/>
      <c r="QHZ142" s="418"/>
      <c r="QIA142" s="418"/>
      <c r="QIB142" s="418"/>
      <c r="QIC142" s="418"/>
      <c r="QID142" s="418"/>
      <c r="QIE142" s="418"/>
      <c r="QIF142" s="418"/>
      <c r="QIG142" s="418"/>
      <c r="QIH142" s="418"/>
      <c r="QII142" s="418"/>
      <c r="QIJ142" s="418"/>
      <c r="QIK142" s="418"/>
      <c r="QIL142" s="418"/>
      <c r="QIM142" s="418"/>
      <c r="QIN142" s="418"/>
      <c r="QIO142" s="418"/>
      <c r="QIP142" s="418"/>
      <c r="QIQ142" s="418"/>
      <c r="QIR142" s="418"/>
      <c r="QIS142" s="418"/>
      <c r="QIT142" s="418"/>
      <c r="QIU142" s="418"/>
      <c r="QIV142" s="418"/>
      <c r="QIW142" s="418"/>
      <c r="QIX142" s="418"/>
      <c r="QIY142" s="418"/>
      <c r="QIZ142" s="418"/>
      <c r="QJA142" s="418"/>
      <c r="QJB142" s="418"/>
      <c r="QJC142" s="418"/>
      <c r="QJD142" s="418"/>
      <c r="QJE142" s="418"/>
      <c r="QJF142" s="418"/>
      <c r="QJG142" s="418"/>
      <c r="QJH142" s="418"/>
      <c r="QJI142" s="418"/>
      <c r="QJJ142" s="418"/>
      <c r="QJK142" s="418"/>
      <c r="QJL142" s="418"/>
      <c r="QJM142" s="418"/>
      <c r="QJN142" s="418"/>
      <c r="QJO142" s="418"/>
      <c r="QJP142" s="418"/>
      <c r="QJQ142" s="418"/>
      <c r="QJR142" s="418"/>
      <c r="QJS142" s="418"/>
      <c r="QJT142" s="418"/>
      <c r="QJU142" s="418"/>
      <c r="QJV142" s="418"/>
      <c r="QJW142" s="418"/>
      <c r="QJX142" s="418"/>
      <c r="QJY142" s="418"/>
      <c r="QJZ142" s="418"/>
      <c r="QKA142" s="418"/>
      <c r="QKB142" s="418"/>
      <c r="QKC142" s="418"/>
      <c r="QKD142" s="418"/>
      <c r="QKE142" s="418"/>
      <c r="QKF142" s="418"/>
      <c r="QKG142" s="418"/>
      <c r="QKH142" s="418"/>
      <c r="QKI142" s="418"/>
      <c r="QKJ142" s="418"/>
      <c r="QKK142" s="418"/>
      <c r="QKL142" s="418"/>
      <c r="QKM142" s="418"/>
      <c r="QKN142" s="418"/>
      <c r="QKO142" s="418"/>
      <c r="QKP142" s="418"/>
      <c r="QKQ142" s="418"/>
      <c r="QKR142" s="418"/>
      <c r="QKS142" s="418"/>
      <c r="QKT142" s="418"/>
      <c r="QKU142" s="418"/>
      <c r="QKV142" s="418"/>
      <c r="QKW142" s="418"/>
      <c r="QKX142" s="418"/>
      <c r="QKY142" s="418"/>
      <c r="QKZ142" s="418"/>
      <c r="QLA142" s="418"/>
      <c r="QLB142" s="418"/>
      <c r="QLC142" s="418"/>
      <c r="QLD142" s="418"/>
      <c r="QLE142" s="418"/>
      <c r="QLF142" s="418"/>
      <c r="QLG142" s="418"/>
      <c r="QLH142" s="418"/>
      <c r="QLI142" s="418"/>
      <c r="QLJ142" s="418"/>
      <c r="QLK142" s="418"/>
      <c r="QLL142" s="418"/>
      <c r="QLM142" s="418"/>
      <c r="QLN142" s="418"/>
      <c r="QLO142" s="418"/>
      <c r="QLP142" s="418"/>
      <c r="QLQ142" s="418"/>
      <c r="QLR142" s="418"/>
      <c r="QLS142" s="418"/>
      <c r="QLT142" s="418"/>
      <c r="QLU142" s="418"/>
      <c r="QLV142" s="418"/>
      <c r="QLW142" s="418"/>
      <c r="QLX142" s="418"/>
      <c r="QLY142" s="418"/>
      <c r="QLZ142" s="418"/>
      <c r="QMA142" s="418"/>
      <c r="QMB142" s="418"/>
      <c r="QMC142" s="418"/>
      <c r="QMD142" s="418"/>
      <c r="QME142" s="418"/>
      <c r="QMF142" s="418"/>
      <c r="QMG142" s="418"/>
      <c r="QMH142" s="418"/>
      <c r="QMI142" s="418"/>
      <c r="QMJ142" s="418"/>
      <c r="QMK142" s="418"/>
      <c r="QML142" s="418"/>
      <c r="QMM142" s="418"/>
      <c r="QMN142" s="418"/>
      <c r="QMO142" s="418"/>
      <c r="QMP142" s="418"/>
      <c r="QMQ142" s="418"/>
      <c r="QMR142" s="418"/>
      <c r="QMS142" s="418"/>
      <c r="QMT142" s="418"/>
      <c r="QMU142" s="418"/>
      <c r="QMV142" s="418"/>
      <c r="QMW142" s="418"/>
      <c r="QMX142" s="418"/>
      <c r="QMY142" s="418"/>
      <c r="QMZ142" s="418"/>
      <c r="QNA142" s="418"/>
      <c r="QNB142" s="418"/>
      <c r="QNC142" s="418"/>
      <c r="QND142" s="418"/>
      <c r="QNE142" s="418"/>
      <c r="QNF142" s="418"/>
      <c r="QNG142" s="418"/>
      <c r="QNH142" s="418"/>
      <c r="QNI142" s="418"/>
      <c r="QNJ142" s="418"/>
      <c r="QNK142" s="418"/>
      <c r="QNL142" s="418"/>
      <c r="QNM142" s="418"/>
      <c r="QNN142" s="418"/>
      <c r="QNO142" s="418"/>
      <c r="QNP142" s="418"/>
      <c r="QNQ142" s="418"/>
      <c r="QNR142" s="418"/>
      <c r="QNS142" s="418"/>
      <c r="QNT142" s="418"/>
      <c r="QNU142" s="418"/>
      <c r="QNV142" s="418"/>
      <c r="QNW142" s="418"/>
      <c r="QNX142" s="418"/>
      <c r="QNY142" s="418"/>
      <c r="QNZ142" s="418"/>
      <c r="QOA142" s="418"/>
      <c r="QOB142" s="418"/>
      <c r="QOC142" s="418"/>
      <c r="QOD142" s="418"/>
      <c r="QOE142" s="418"/>
      <c r="QOF142" s="418"/>
      <c r="QOG142" s="418"/>
      <c r="QOH142" s="418"/>
      <c r="QOI142" s="418"/>
      <c r="QOJ142" s="418"/>
      <c r="QOK142" s="418"/>
      <c r="QOL142" s="418"/>
      <c r="QOM142" s="418"/>
      <c r="QON142" s="418"/>
      <c r="QOO142" s="418"/>
      <c r="QOP142" s="418"/>
      <c r="QOQ142" s="418"/>
      <c r="QOR142" s="418"/>
      <c r="QOS142" s="418"/>
      <c r="QOT142" s="418"/>
      <c r="QOU142" s="418"/>
      <c r="QOV142" s="418"/>
      <c r="QOW142" s="418"/>
      <c r="QOX142" s="418"/>
      <c r="QOY142" s="418"/>
      <c r="QOZ142" s="418"/>
      <c r="QPA142" s="418"/>
      <c r="QPB142" s="418"/>
      <c r="QPC142" s="418"/>
      <c r="QPD142" s="418"/>
      <c r="QPE142" s="418"/>
      <c r="QPF142" s="418"/>
      <c r="QPG142" s="418"/>
      <c r="QPH142" s="418"/>
      <c r="QPI142" s="418"/>
      <c r="QPJ142" s="418"/>
      <c r="QPK142" s="418"/>
      <c r="QPL142" s="418"/>
      <c r="QPM142" s="418"/>
      <c r="QPN142" s="418"/>
      <c r="QPO142" s="418"/>
      <c r="QPP142" s="418"/>
      <c r="QPQ142" s="418"/>
      <c r="QPR142" s="418"/>
      <c r="QPS142" s="418"/>
      <c r="QPT142" s="418"/>
      <c r="QPU142" s="418"/>
      <c r="QPV142" s="418"/>
      <c r="QPW142" s="418"/>
      <c r="QPX142" s="418"/>
      <c r="QPY142" s="418"/>
      <c r="QPZ142" s="418"/>
      <c r="QQA142" s="418"/>
      <c r="QQB142" s="418"/>
      <c r="QQC142" s="418"/>
      <c r="QQD142" s="418"/>
      <c r="QQE142" s="418"/>
      <c r="QQF142" s="418"/>
      <c r="QQG142" s="418"/>
      <c r="QQH142" s="418"/>
      <c r="QQI142" s="418"/>
      <c r="QQJ142" s="418"/>
      <c r="QQK142" s="418"/>
      <c r="QQL142" s="418"/>
      <c r="QQM142" s="418"/>
      <c r="QQN142" s="418"/>
      <c r="QQO142" s="418"/>
      <c r="QQP142" s="418"/>
      <c r="QQQ142" s="418"/>
      <c r="QQR142" s="418"/>
      <c r="QQS142" s="418"/>
      <c r="QQT142" s="418"/>
      <c r="QQU142" s="418"/>
      <c r="QQV142" s="418"/>
      <c r="QQW142" s="418"/>
      <c r="QQX142" s="418"/>
      <c r="QQY142" s="418"/>
      <c r="QQZ142" s="418"/>
      <c r="QRA142" s="418"/>
      <c r="QRB142" s="418"/>
      <c r="QRC142" s="418"/>
      <c r="QRD142" s="418"/>
      <c r="QRE142" s="418"/>
      <c r="QRF142" s="418"/>
      <c r="QRG142" s="418"/>
      <c r="QRH142" s="418"/>
      <c r="QRI142" s="418"/>
      <c r="QRJ142" s="418"/>
      <c r="QRK142" s="418"/>
      <c r="QRL142" s="418"/>
      <c r="QRM142" s="418"/>
      <c r="QRN142" s="418"/>
      <c r="QRO142" s="418"/>
      <c r="QRP142" s="418"/>
      <c r="QRQ142" s="418"/>
      <c r="QRR142" s="418"/>
      <c r="QRS142" s="418"/>
      <c r="QRT142" s="418"/>
      <c r="QRU142" s="418"/>
      <c r="QRV142" s="418"/>
      <c r="QRW142" s="418"/>
      <c r="QRX142" s="418"/>
      <c r="QRY142" s="418"/>
      <c r="QRZ142" s="418"/>
      <c r="QSA142" s="418"/>
      <c r="QSB142" s="418"/>
      <c r="QSC142" s="418"/>
      <c r="QSD142" s="418"/>
      <c r="QSE142" s="418"/>
      <c r="QSF142" s="418"/>
      <c r="QSG142" s="418"/>
      <c r="QSH142" s="418"/>
      <c r="QSI142" s="418"/>
      <c r="QSJ142" s="418"/>
      <c r="QSK142" s="418"/>
      <c r="QSL142" s="418"/>
      <c r="QSM142" s="418"/>
      <c r="QSN142" s="418"/>
      <c r="QSO142" s="418"/>
      <c r="QSP142" s="418"/>
      <c r="QSQ142" s="418"/>
      <c r="QSR142" s="418"/>
      <c r="QSS142" s="418"/>
      <c r="QST142" s="418"/>
      <c r="QSU142" s="418"/>
      <c r="QSV142" s="418"/>
      <c r="QSW142" s="418"/>
      <c r="QSX142" s="418"/>
      <c r="QSY142" s="418"/>
      <c r="QSZ142" s="418"/>
      <c r="QTA142" s="418"/>
      <c r="QTB142" s="418"/>
      <c r="QTC142" s="418"/>
      <c r="QTD142" s="418"/>
      <c r="QTE142" s="418"/>
      <c r="QTF142" s="418"/>
      <c r="QTG142" s="418"/>
      <c r="QTH142" s="418"/>
      <c r="QTI142" s="418"/>
      <c r="QTJ142" s="418"/>
      <c r="QTK142" s="418"/>
      <c r="QTL142" s="418"/>
      <c r="QTM142" s="418"/>
      <c r="QTN142" s="418"/>
      <c r="QTO142" s="418"/>
      <c r="QTP142" s="418"/>
      <c r="QTQ142" s="418"/>
      <c r="QTR142" s="418"/>
      <c r="QTS142" s="418"/>
      <c r="QTT142" s="418"/>
      <c r="QTU142" s="418"/>
      <c r="QTV142" s="418"/>
      <c r="QTW142" s="418"/>
      <c r="QTX142" s="418"/>
      <c r="QTY142" s="418"/>
      <c r="QTZ142" s="418"/>
      <c r="QUA142" s="418"/>
      <c r="QUB142" s="418"/>
      <c r="QUC142" s="418"/>
      <c r="QUD142" s="418"/>
      <c r="QUE142" s="418"/>
      <c r="QUF142" s="418"/>
      <c r="QUG142" s="418"/>
      <c r="QUH142" s="418"/>
      <c r="QUI142" s="418"/>
      <c r="QUJ142" s="418"/>
      <c r="QUK142" s="418"/>
      <c r="QUL142" s="418"/>
      <c r="QUM142" s="418"/>
      <c r="QUN142" s="418"/>
      <c r="QUO142" s="418"/>
      <c r="QUP142" s="418"/>
      <c r="QUQ142" s="418"/>
      <c r="QUR142" s="418"/>
      <c r="QUS142" s="418"/>
      <c r="QUT142" s="418"/>
      <c r="QUU142" s="418"/>
      <c r="QUV142" s="418"/>
      <c r="QUW142" s="418"/>
      <c r="QUX142" s="418"/>
      <c r="QUY142" s="418"/>
      <c r="QUZ142" s="418"/>
      <c r="QVA142" s="418"/>
      <c r="QVB142" s="418"/>
      <c r="QVC142" s="418"/>
      <c r="QVD142" s="418"/>
      <c r="QVE142" s="418"/>
      <c r="QVF142" s="418"/>
      <c r="QVG142" s="418"/>
      <c r="QVH142" s="418"/>
      <c r="QVI142" s="418"/>
      <c r="QVJ142" s="418"/>
      <c r="QVK142" s="418"/>
      <c r="QVL142" s="418"/>
      <c r="QVM142" s="418"/>
      <c r="QVN142" s="418"/>
      <c r="QVO142" s="418"/>
      <c r="QVP142" s="418"/>
      <c r="QVQ142" s="418"/>
      <c r="QVR142" s="418"/>
      <c r="QVS142" s="418"/>
      <c r="QVT142" s="418"/>
      <c r="QVU142" s="418"/>
      <c r="QVV142" s="418"/>
      <c r="QVW142" s="418"/>
      <c r="QVX142" s="418"/>
      <c r="QVY142" s="418"/>
      <c r="QVZ142" s="418"/>
      <c r="QWA142" s="418"/>
      <c r="QWB142" s="418"/>
      <c r="QWC142" s="418"/>
      <c r="QWD142" s="418"/>
      <c r="QWE142" s="418"/>
      <c r="QWF142" s="418"/>
      <c r="QWG142" s="418"/>
      <c r="QWH142" s="418"/>
      <c r="QWI142" s="418"/>
      <c r="QWJ142" s="418"/>
      <c r="QWK142" s="418"/>
      <c r="QWL142" s="418"/>
      <c r="QWM142" s="418"/>
      <c r="QWN142" s="418"/>
      <c r="QWO142" s="418"/>
      <c r="QWP142" s="418"/>
      <c r="QWQ142" s="418"/>
      <c r="QWR142" s="418"/>
      <c r="QWS142" s="418"/>
      <c r="QWT142" s="418"/>
      <c r="QWU142" s="418"/>
      <c r="QWV142" s="418"/>
      <c r="QWW142" s="418"/>
      <c r="QWX142" s="418"/>
      <c r="QWY142" s="418"/>
      <c r="QWZ142" s="418"/>
      <c r="QXA142" s="418"/>
      <c r="QXB142" s="418"/>
      <c r="QXC142" s="418"/>
      <c r="QXD142" s="418"/>
      <c r="QXE142" s="418"/>
      <c r="QXF142" s="418"/>
      <c r="QXG142" s="418"/>
      <c r="QXH142" s="418"/>
      <c r="QXI142" s="418"/>
      <c r="QXJ142" s="418"/>
      <c r="QXK142" s="418"/>
      <c r="QXL142" s="418"/>
      <c r="QXM142" s="418"/>
      <c r="QXN142" s="418"/>
      <c r="QXO142" s="418"/>
      <c r="QXP142" s="418"/>
      <c r="QXQ142" s="418"/>
      <c r="QXR142" s="418"/>
      <c r="QXS142" s="418"/>
      <c r="QXT142" s="418"/>
      <c r="QXU142" s="418"/>
      <c r="QXV142" s="418"/>
      <c r="QXW142" s="418"/>
      <c r="QXX142" s="418"/>
      <c r="QXY142" s="418"/>
      <c r="QXZ142" s="418"/>
      <c r="QYA142" s="418"/>
      <c r="QYB142" s="418"/>
      <c r="QYC142" s="418"/>
      <c r="QYD142" s="418"/>
      <c r="QYE142" s="418"/>
      <c r="QYF142" s="418"/>
      <c r="QYG142" s="418"/>
      <c r="QYH142" s="418"/>
      <c r="QYI142" s="418"/>
      <c r="QYJ142" s="418"/>
      <c r="QYK142" s="418"/>
      <c r="QYL142" s="418"/>
      <c r="QYM142" s="418"/>
      <c r="QYN142" s="418"/>
      <c r="QYO142" s="418"/>
      <c r="QYP142" s="418"/>
      <c r="QYQ142" s="418"/>
      <c r="QYR142" s="418"/>
      <c r="QYS142" s="418"/>
      <c r="QYT142" s="418"/>
      <c r="QYU142" s="418"/>
      <c r="QYV142" s="418"/>
      <c r="QYW142" s="418"/>
      <c r="QYX142" s="418"/>
      <c r="QYY142" s="418"/>
      <c r="QYZ142" s="418"/>
      <c r="QZA142" s="418"/>
      <c r="QZB142" s="418"/>
      <c r="QZC142" s="418"/>
      <c r="QZD142" s="418"/>
      <c r="QZE142" s="418"/>
      <c r="QZF142" s="418"/>
      <c r="QZG142" s="418"/>
      <c r="QZH142" s="418"/>
      <c r="QZI142" s="418"/>
      <c r="QZJ142" s="418"/>
      <c r="QZK142" s="418"/>
      <c r="QZL142" s="418"/>
      <c r="QZM142" s="418"/>
      <c r="QZN142" s="418"/>
      <c r="QZO142" s="418"/>
      <c r="QZP142" s="418"/>
      <c r="QZQ142" s="418"/>
      <c r="QZR142" s="418"/>
      <c r="QZS142" s="418"/>
      <c r="QZT142" s="418"/>
      <c r="QZU142" s="418"/>
      <c r="QZV142" s="418"/>
      <c r="QZW142" s="418"/>
      <c r="QZX142" s="418"/>
      <c r="QZY142" s="418"/>
      <c r="QZZ142" s="418"/>
      <c r="RAA142" s="418"/>
      <c r="RAB142" s="418"/>
      <c r="RAC142" s="418"/>
      <c r="RAD142" s="418"/>
      <c r="RAE142" s="418"/>
      <c r="RAF142" s="418"/>
      <c r="RAG142" s="418"/>
      <c r="RAH142" s="418"/>
      <c r="RAI142" s="418"/>
      <c r="RAJ142" s="418"/>
      <c r="RAK142" s="418"/>
      <c r="RAL142" s="418"/>
      <c r="RAM142" s="418"/>
      <c r="RAN142" s="418"/>
      <c r="RAO142" s="418"/>
      <c r="RAP142" s="418"/>
      <c r="RAQ142" s="418"/>
      <c r="RAR142" s="418"/>
      <c r="RAS142" s="418"/>
      <c r="RAT142" s="418"/>
      <c r="RAU142" s="418"/>
      <c r="RAV142" s="418"/>
      <c r="RAW142" s="418"/>
      <c r="RAX142" s="418"/>
      <c r="RAY142" s="418"/>
      <c r="RAZ142" s="418"/>
      <c r="RBA142" s="418"/>
      <c r="RBB142" s="418"/>
      <c r="RBC142" s="418"/>
      <c r="RBD142" s="418"/>
      <c r="RBE142" s="418"/>
      <c r="RBF142" s="418"/>
      <c r="RBG142" s="418"/>
      <c r="RBH142" s="418"/>
      <c r="RBI142" s="418"/>
      <c r="RBJ142" s="418"/>
      <c r="RBK142" s="418"/>
      <c r="RBL142" s="418"/>
      <c r="RBM142" s="418"/>
      <c r="RBN142" s="418"/>
      <c r="RBO142" s="418"/>
      <c r="RBP142" s="418"/>
      <c r="RBQ142" s="418"/>
      <c r="RBR142" s="418"/>
      <c r="RBS142" s="418"/>
      <c r="RBT142" s="418"/>
      <c r="RBU142" s="418"/>
      <c r="RBV142" s="418"/>
      <c r="RBW142" s="418"/>
      <c r="RBX142" s="418"/>
      <c r="RBY142" s="418"/>
      <c r="RBZ142" s="418"/>
      <c r="RCA142" s="418"/>
      <c r="RCB142" s="418"/>
      <c r="RCC142" s="418"/>
      <c r="RCD142" s="418"/>
      <c r="RCE142" s="418"/>
      <c r="RCF142" s="418"/>
      <c r="RCG142" s="418"/>
      <c r="RCH142" s="418"/>
      <c r="RCI142" s="418"/>
      <c r="RCJ142" s="418"/>
      <c r="RCK142" s="418"/>
      <c r="RCL142" s="418"/>
      <c r="RCM142" s="418"/>
      <c r="RCN142" s="418"/>
      <c r="RCO142" s="418"/>
      <c r="RCP142" s="418"/>
      <c r="RCQ142" s="418"/>
      <c r="RCR142" s="418"/>
      <c r="RCS142" s="418"/>
      <c r="RCT142" s="418"/>
      <c r="RCU142" s="418"/>
      <c r="RCV142" s="418"/>
      <c r="RCW142" s="418"/>
      <c r="RCX142" s="418"/>
      <c r="RCY142" s="418"/>
      <c r="RCZ142" s="418"/>
      <c r="RDA142" s="418"/>
      <c r="RDB142" s="418"/>
      <c r="RDC142" s="418"/>
      <c r="RDD142" s="418"/>
      <c r="RDE142" s="418"/>
      <c r="RDF142" s="418"/>
      <c r="RDG142" s="418"/>
      <c r="RDH142" s="418"/>
      <c r="RDI142" s="418"/>
      <c r="RDJ142" s="418"/>
      <c r="RDK142" s="418"/>
      <c r="RDL142" s="418"/>
      <c r="RDM142" s="418"/>
      <c r="RDN142" s="418"/>
      <c r="RDO142" s="418"/>
      <c r="RDP142" s="418"/>
      <c r="RDQ142" s="418"/>
      <c r="RDR142" s="418"/>
      <c r="RDS142" s="418"/>
      <c r="RDT142" s="418"/>
      <c r="RDU142" s="418"/>
      <c r="RDV142" s="418"/>
      <c r="RDW142" s="418"/>
      <c r="RDX142" s="418"/>
      <c r="RDY142" s="418"/>
      <c r="RDZ142" s="418"/>
      <c r="REA142" s="418"/>
      <c r="REB142" s="418"/>
      <c r="REC142" s="418"/>
      <c r="RED142" s="418"/>
      <c r="REE142" s="418"/>
      <c r="REF142" s="418"/>
      <c r="REG142" s="418"/>
      <c r="REH142" s="418"/>
      <c r="REI142" s="418"/>
      <c r="REJ142" s="418"/>
      <c r="REK142" s="418"/>
      <c r="REL142" s="418"/>
      <c r="REM142" s="418"/>
      <c r="REN142" s="418"/>
      <c r="REO142" s="418"/>
      <c r="REP142" s="418"/>
      <c r="REQ142" s="418"/>
      <c r="RER142" s="418"/>
      <c r="RES142" s="418"/>
      <c r="RET142" s="418"/>
      <c r="REU142" s="418"/>
      <c r="REV142" s="418"/>
      <c r="REW142" s="418"/>
      <c r="REX142" s="418"/>
      <c r="REY142" s="418"/>
      <c r="REZ142" s="418"/>
      <c r="RFA142" s="418"/>
      <c r="RFB142" s="418"/>
      <c r="RFC142" s="418"/>
      <c r="RFD142" s="418"/>
      <c r="RFE142" s="418"/>
      <c r="RFF142" s="418"/>
      <c r="RFG142" s="418"/>
      <c r="RFH142" s="418"/>
      <c r="RFI142" s="418"/>
      <c r="RFJ142" s="418"/>
      <c r="RFK142" s="418"/>
      <c r="RFL142" s="418"/>
      <c r="RFM142" s="418"/>
      <c r="RFN142" s="418"/>
      <c r="RFO142" s="418"/>
      <c r="RFP142" s="418"/>
      <c r="RFQ142" s="418"/>
      <c r="RFR142" s="418"/>
      <c r="RFS142" s="418"/>
      <c r="RFT142" s="418"/>
      <c r="RFU142" s="418"/>
      <c r="RFV142" s="418"/>
      <c r="RFW142" s="418"/>
      <c r="RFX142" s="418"/>
      <c r="RFY142" s="418"/>
      <c r="RFZ142" s="418"/>
      <c r="RGA142" s="418"/>
      <c r="RGB142" s="418"/>
      <c r="RGC142" s="418"/>
      <c r="RGD142" s="418"/>
      <c r="RGE142" s="418"/>
      <c r="RGF142" s="418"/>
      <c r="RGG142" s="418"/>
      <c r="RGH142" s="418"/>
      <c r="RGI142" s="418"/>
      <c r="RGJ142" s="418"/>
      <c r="RGK142" s="418"/>
      <c r="RGL142" s="418"/>
      <c r="RGM142" s="418"/>
      <c r="RGN142" s="418"/>
      <c r="RGO142" s="418"/>
      <c r="RGP142" s="418"/>
      <c r="RGQ142" s="418"/>
      <c r="RGR142" s="418"/>
      <c r="RGS142" s="418"/>
      <c r="RGT142" s="418"/>
      <c r="RGU142" s="418"/>
      <c r="RGV142" s="418"/>
      <c r="RGW142" s="418"/>
      <c r="RGX142" s="418"/>
      <c r="RGY142" s="418"/>
      <c r="RGZ142" s="418"/>
      <c r="RHA142" s="418"/>
      <c r="RHB142" s="418"/>
      <c r="RHC142" s="418"/>
      <c r="RHD142" s="418"/>
      <c r="RHE142" s="418"/>
      <c r="RHF142" s="418"/>
      <c r="RHG142" s="418"/>
      <c r="RHH142" s="418"/>
      <c r="RHI142" s="418"/>
      <c r="RHJ142" s="418"/>
      <c r="RHK142" s="418"/>
      <c r="RHL142" s="418"/>
      <c r="RHM142" s="418"/>
      <c r="RHN142" s="418"/>
      <c r="RHO142" s="418"/>
      <c r="RHP142" s="418"/>
      <c r="RHQ142" s="418"/>
      <c r="RHR142" s="418"/>
      <c r="RHS142" s="418"/>
      <c r="RHT142" s="418"/>
      <c r="RHU142" s="418"/>
      <c r="RHV142" s="418"/>
      <c r="RHW142" s="418"/>
      <c r="RHX142" s="418"/>
      <c r="RHY142" s="418"/>
      <c r="RHZ142" s="418"/>
      <c r="RIA142" s="418"/>
      <c r="RIB142" s="418"/>
      <c r="RIC142" s="418"/>
      <c r="RID142" s="418"/>
      <c r="RIE142" s="418"/>
      <c r="RIF142" s="418"/>
      <c r="RIG142" s="418"/>
      <c r="RIH142" s="418"/>
      <c r="RII142" s="418"/>
      <c r="RIJ142" s="418"/>
      <c r="RIK142" s="418"/>
      <c r="RIL142" s="418"/>
      <c r="RIM142" s="418"/>
      <c r="RIN142" s="418"/>
      <c r="RIO142" s="418"/>
      <c r="RIP142" s="418"/>
      <c r="RIQ142" s="418"/>
      <c r="RIR142" s="418"/>
      <c r="RIS142" s="418"/>
      <c r="RIT142" s="418"/>
      <c r="RIU142" s="418"/>
      <c r="RIV142" s="418"/>
      <c r="RIW142" s="418"/>
      <c r="RIX142" s="418"/>
      <c r="RIY142" s="418"/>
      <c r="RIZ142" s="418"/>
      <c r="RJA142" s="418"/>
      <c r="RJB142" s="418"/>
      <c r="RJC142" s="418"/>
      <c r="RJD142" s="418"/>
      <c r="RJE142" s="418"/>
      <c r="RJF142" s="418"/>
      <c r="RJG142" s="418"/>
      <c r="RJH142" s="418"/>
      <c r="RJI142" s="418"/>
      <c r="RJJ142" s="418"/>
      <c r="RJK142" s="418"/>
      <c r="RJL142" s="418"/>
      <c r="RJM142" s="418"/>
      <c r="RJN142" s="418"/>
      <c r="RJO142" s="418"/>
      <c r="RJP142" s="418"/>
      <c r="RJQ142" s="418"/>
      <c r="RJR142" s="418"/>
      <c r="RJS142" s="418"/>
      <c r="RJT142" s="418"/>
      <c r="RJU142" s="418"/>
      <c r="RJV142" s="418"/>
      <c r="RJW142" s="418"/>
      <c r="RJX142" s="418"/>
      <c r="RJY142" s="418"/>
      <c r="RJZ142" s="418"/>
      <c r="RKA142" s="418"/>
      <c r="RKB142" s="418"/>
      <c r="RKC142" s="418"/>
      <c r="RKD142" s="418"/>
      <c r="RKE142" s="418"/>
      <c r="RKF142" s="418"/>
      <c r="RKG142" s="418"/>
      <c r="RKH142" s="418"/>
      <c r="RKI142" s="418"/>
      <c r="RKJ142" s="418"/>
      <c r="RKK142" s="418"/>
      <c r="RKL142" s="418"/>
      <c r="RKM142" s="418"/>
      <c r="RKN142" s="418"/>
      <c r="RKO142" s="418"/>
      <c r="RKP142" s="418"/>
      <c r="RKQ142" s="418"/>
      <c r="RKR142" s="418"/>
      <c r="RKS142" s="418"/>
      <c r="RKT142" s="418"/>
      <c r="RKU142" s="418"/>
      <c r="RKV142" s="418"/>
      <c r="RKW142" s="418"/>
      <c r="RKX142" s="418"/>
      <c r="RKY142" s="418"/>
      <c r="RKZ142" s="418"/>
      <c r="RLA142" s="418"/>
      <c r="RLB142" s="418"/>
      <c r="RLC142" s="418"/>
      <c r="RLD142" s="418"/>
      <c r="RLE142" s="418"/>
      <c r="RLF142" s="418"/>
      <c r="RLG142" s="418"/>
      <c r="RLH142" s="418"/>
      <c r="RLI142" s="418"/>
      <c r="RLJ142" s="418"/>
      <c r="RLK142" s="418"/>
      <c r="RLL142" s="418"/>
      <c r="RLM142" s="418"/>
      <c r="RLN142" s="418"/>
      <c r="RLO142" s="418"/>
      <c r="RLP142" s="418"/>
      <c r="RLQ142" s="418"/>
      <c r="RLR142" s="418"/>
      <c r="RLS142" s="418"/>
      <c r="RLT142" s="418"/>
      <c r="RLU142" s="418"/>
      <c r="RLV142" s="418"/>
      <c r="RLW142" s="418"/>
      <c r="RLX142" s="418"/>
      <c r="RLY142" s="418"/>
      <c r="RLZ142" s="418"/>
      <c r="RMA142" s="418"/>
      <c r="RMB142" s="418"/>
      <c r="RMC142" s="418"/>
      <c r="RMD142" s="418"/>
      <c r="RME142" s="418"/>
      <c r="RMF142" s="418"/>
      <c r="RMG142" s="418"/>
      <c r="RMH142" s="418"/>
      <c r="RMI142" s="418"/>
      <c r="RMJ142" s="418"/>
      <c r="RMK142" s="418"/>
      <c r="RML142" s="418"/>
      <c r="RMM142" s="418"/>
      <c r="RMN142" s="418"/>
      <c r="RMO142" s="418"/>
      <c r="RMP142" s="418"/>
      <c r="RMQ142" s="418"/>
      <c r="RMR142" s="418"/>
      <c r="RMS142" s="418"/>
      <c r="RMT142" s="418"/>
      <c r="RMU142" s="418"/>
      <c r="RMV142" s="418"/>
      <c r="RMW142" s="418"/>
      <c r="RMX142" s="418"/>
      <c r="RMY142" s="418"/>
      <c r="RMZ142" s="418"/>
      <c r="RNA142" s="418"/>
      <c r="RNB142" s="418"/>
      <c r="RNC142" s="418"/>
      <c r="RND142" s="418"/>
      <c r="RNE142" s="418"/>
      <c r="RNF142" s="418"/>
      <c r="RNG142" s="418"/>
      <c r="RNH142" s="418"/>
      <c r="RNI142" s="418"/>
      <c r="RNJ142" s="418"/>
      <c r="RNK142" s="418"/>
      <c r="RNL142" s="418"/>
      <c r="RNM142" s="418"/>
      <c r="RNN142" s="418"/>
      <c r="RNO142" s="418"/>
      <c r="RNP142" s="418"/>
      <c r="RNQ142" s="418"/>
      <c r="RNR142" s="418"/>
      <c r="RNS142" s="418"/>
      <c r="RNT142" s="418"/>
      <c r="RNU142" s="418"/>
      <c r="RNV142" s="418"/>
      <c r="RNW142" s="418"/>
      <c r="RNX142" s="418"/>
      <c r="RNY142" s="418"/>
      <c r="RNZ142" s="418"/>
      <c r="ROA142" s="418"/>
      <c r="ROB142" s="418"/>
      <c r="ROC142" s="418"/>
      <c r="ROD142" s="418"/>
      <c r="ROE142" s="418"/>
      <c r="ROF142" s="418"/>
      <c r="ROG142" s="418"/>
      <c r="ROH142" s="418"/>
      <c r="ROI142" s="418"/>
      <c r="ROJ142" s="418"/>
      <c r="ROK142" s="418"/>
      <c r="ROL142" s="418"/>
      <c r="ROM142" s="418"/>
      <c r="RON142" s="418"/>
      <c r="ROO142" s="418"/>
      <c r="ROP142" s="418"/>
      <c r="ROQ142" s="418"/>
      <c r="ROR142" s="418"/>
      <c r="ROS142" s="418"/>
      <c r="ROT142" s="418"/>
      <c r="ROU142" s="418"/>
      <c r="ROV142" s="418"/>
      <c r="ROW142" s="418"/>
      <c r="ROX142" s="418"/>
      <c r="ROY142" s="418"/>
      <c r="ROZ142" s="418"/>
      <c r="RPA142" s="418"/>
      <c r="RPB142" s="418"/>
      <c r="RPC142" s="418"/>
      <c r="RPD142" s="418"/>
      <c r="RPE142" s="418"/>
      <c r="RPF142" s="418"/>
      <c r="RPG142" s="418"/>
      <c r="RPH142" s="418"/>
      <c r="RPI142" s="418"/>
      <c r="RPJ142" s="418"/>
      <c r="RPK142" s="418"/>
      <c r="RPL142" s="418"/>
      <c r="RPM142" s="418"/>
      <c r="RPN142" s="418"/>
      <c r="RPO142" s="418"/>
      <c r="RPP142" s="418"/>
      <c r="RPQ142" s="418"/>
      <c r="RPR142" s="418"/>
      <c r="RPS142" s="418"/>
      <c r="RPT142" s="418"/>
      <c r="RPU142" s="418"/>
      <c r="RPV142" s="418"/>
      <c r="RPW142" s="418"/>
      <c r="RPX142" s="418"/>
      <c r="RPY142" s="418"/>
      <c r="RPZ142" s="418"/>
      <c r="RQA142" s="418"/>
      <c r="RQB142" s="418"/>
      <c r="RQC142" s="418"/>
      <c r="RQD142" s="418"/>
      <c r="RQE142" s="418"/>
      <c r="RQF142" s="418"/>
      <c r="RQG142" s="418"/>
      <c r="RQH142" s="418"/>
      <c r="RQI142" s="418"/>
      <c r="RQJ142" s="418"/>
      <c r="RQK142" s="418"/>
      <c r="RQL142" s="418"/>
      <c r="RQM142" s="418"/>
      <c r="RQN142" s="418"/>
      <c r="RQO142" s="418"/>
      <c r="RQP142" s="418"/>
      <c r="RQQ142" s="418"/>
      <c r="RQR142" s="418"/>
      <c r="RQS142" s="418"/>
      <c r="RQT142" s="418"/>
      <c r="RQU142" s="418"/>
      <c r="RQV142" s="418"/>
      <c r="RQW142" s="418"/>
      <c r="RQX142" s="418"/>
      <c r="RQY142" s="418"/>
      <c r="RQZ142" s="418"/>
      <c r="RRA142" s="418"/>
      <c r="RRB142" s="418"/>
      <c r="RRC142" s="418"/>
      <c r="RRD142" s="418"/>
      <c r="RRE142" s="418"/>
      <c r="RRF142" s="418"/>
      <c r="RRG142" s="418"/>
      <c r="RRH142" s="418"/>
      <c r="RRI142" s="418"/>
      <c r="RRJ142" s="418"/>
      <c r="RRK142" s="418"/>
      <c r="RRL142" s="418"/>
      <c r="RRM142" s="418"/>
      <c r="RRN142" s="418"/>
      <c r="RRO142" s="418"/>
      <c r="RRP142" s="418"/>
      <c r="RRQ142" s="418"/>
      <c r="RRR142" s="418"/>
      <c r="RRS142" s="418"/>
      <c r="RRT142" s="418"/>
      <c r="RRU142" s="418"/>
      <c r="RRV142" s="418"/>
      <c r="RRW142" s="418"/>
      <c r="RRX142" s="418"/>
      <c r="RRY142" s="418"/>
      <c r="RRZ142" s="418"/>
      <c r="RSA142" s="418"/>
      <c r="RSB142" s="418"/>
      <c r="RSC142" s="418"/>
      <c r="RSD142" s="418"/>
      <c r="RSE142" s="418"/>
      <c r="RSF142" s="418"/>
      <c r="RSG142" s="418"/>
      <c r="RSH142" s="418"/>
      <c r="RSI142" s="418"/>
      <c r="RSJ142" s="418"/>
      <c r="RSK142" s="418"/>
      <c r="RSL142" s="418"/>
      <c r="RSM142" s="418"/>
      <c r="RSN142" s="418"/>
      <c r="RSO142" s="418"/>
      <c r="RSP142" s="418"/>
      <c r="RSQ142" s="418"/>
      <c r="RSR142" s="418"/>
      <c r="RSS142" s="418"/>
      <c r="RST142" s="418"/>
      <c r="RSU142" s="418"/>
      <c r="RSV142" s="418"/>
      <c r="RSW142" s="418"/>
      <c r="RSX142" s="418"/>
      <c r="RSY142" s="418"/>
      <c r="RSZ142" s="418"/>
      <c r="RTA142" s="418"/>
      <c r="RTB142" s="418"/>
      <c r="RTC142" s="418"/>
      <c r="RTD142" s="418"/>
      <c r="RTE142" s="418"/>
      <c r="RTF142" s="418"/>
      <c r="RTG142" s="418"/>
      <c r="RTH142" s="418"/>
      <c r="RTI142" s="418"/>
      <c r="RTJ142" s="418"/>
      <c r="RTK142" s="418"/>
      <c r="RTL142" s="418"/>
      <c r="RTM142" s="418"/>
      <c r="RTN142" s="418"/>
      <c r="RTO142" s="418"/>
      <c r="RTP142" s="418"/>
      <c r="RTQ142" s="418"/>
      <c r="RTR142" s="418"/>
      <c r="RTS142" s="418"/>
      <c r="RTT142" s="418"/>
      <c r="RTU142" s="418"/>
      <c r="RTV142" s="418"/>
      <c r="RTW142" s="418"/>
      <c r="RTX142" s="418"/>
      <c r="RTY142" s="418"/>
      <c r="RTZ142" s="418"/>
      <c r="RUA142" s="418"/>
      <c r="RUB142" s="418"/>
      <c r="RUC142" s="418"/>
      <c r="RUD142" s="418"/>
      <c r="RUE142" s="418"/>
      <c r="RUF142" s="418"/>
      <c r="RUG142" s="418"/>
      <c r="RUH142" s="418"/>
      <c r="RUI142" s="418"/>
      <c r="RUJ142" s="418"/>
      <c r="RUK142" s="418"/>
      <c r="RUL142" s="418"/>
      <c r="RUM142" s="418"/>
      <c r="RUN142" s="418"/>
      <c r="RUO142" s="418"/>
      <c r="RUP142" s="418"/>
      <c r="RUQ142" s="418"/>
      <c r="RUR142" s="418"/>
      <c r="RUS142" s="418"/>
      <c r="RUT142" s="418"/>
      <c r="RUU142" s="418"/>
      <c r="RUV142" s="418"/>
      <c r="RUW142" s="418"/>
      <c r="RUX142" s="418"/>
      <c r="RUY142" s="418"/>
      <c r="RUZ142" s="418"/>
      <c r="RVA142" s="418"/>
      <c r="RVB142" s="418"/>
      <c r="RVC142" s="418"/>
      <c r="RVD142" s="418"/>
      <c r="RVE142" s="418"/>
      <c r="RVF142" s="418"/>
      <c r="RVG142" s="418"/>
      <c r="RVH142" s="418"/>
      <c r="RVI142" s="418"/>
      <c r="RVJ142" s="418"/>
      <c r="RVK142" s="418"/>
      <c r="RVL142" s="418"/>
      <c r="RVM142" s="418"/>
      <c r="RVN142" s="418"/>
      <c r="RVO142" s="418"/>
      <c r="RVP142" s="418"/>
      <c r="RVQ142" s="418"/>
      <c r="RVR142" s="418"/>
      <c r="RVS142" s="418"/>
      <c r="RVT142" s="418"/>
      <c r="RVU142" s="418"/>
      <c r="RVV142" s="418"/>
      <c r="RVW142" s="418"/>
      <c r="RVX142" s="418"/>
      <c r="RVY142" s="418"/>
      <c r="RVZ142" s="418"/>
      <c r="RWA142" s="418"/>
      <c r="RWB142" s="418"/>
      <c r="RWC142" s="418"/>
      <c r="RWD142" s="418"/>
      <c r="RWE142" s="418"/>
      <c r="RWF142" s="418"/>
      <c r="RWG142" s="418"/>
      <c r="RWH142" s="418"/>
      <c r="RWI142" s="418"/>
      <c r="RWJ142" s="418"/>
      <c r="RWK142" s="418"/>
      <c r="RWL142" s="418"/>
      <c r="RWM142" s="418"/>
      <c r="RWN142" s="418"/>
      <c r="RWO142" s="418"/>
      <c r="RWP142" s="418"/>
      <c r="RWQ142" s="418"/>
      <c r="RWR142" s="418"/>
      <c r="RWS142" s="418"/>
      <c r="RWT142" s="418"/>
      <c r="RWU142" s="418"/>
      <c r="RWV142" s="418"/>
      <c r="RWW142" s="418"/>
      <c r="RWX142" s="418"/>
      <c r="RWY142" s="418"/>
      <c r="RWZ142" s="418"/>
      <c r="RXA142" s="418"/>
      <c r="RXB142" s="418"/>
      <c r="RXC142" s="418"/>
      <c r="RXD142" s="418"/>
      <c r="RXE142" s="418"/>
      <c r="RXF142" s="418"/>
      <c r="RXG142" s="418"/>
      <c r="RXH142" s="418"/>
      <c r="RXI142" s="418"/>
      <c r="RXJ142" s="418"/>
      <c r="RXK142" s="418"/>
      <c r="RXL142" s="418"/>
      <c r="RXM142" s="418"/>
      <c r="RXN142" s="418"/>
      <c r="RXO142" s="418"/>
      <c r="RXP142" s="418"/>
      <c r="RXQ142" s="418"/>
      <c r="RXR142" s="418"/>
      <c r="RXS142" s="418"/>
      <c r="RXT142" s="418"/>
      <c r="RXU142" s="418"/>
      <c r="RXV142" s="418"/>
      <c r="RXW142" s="418"/>
      <c r="RXX142" s="418"/>
      <c r="RXY142" s="418"/>
      <c r="RXZ142" s="418"/>
      <c r="RYA142" s="418"/>
      <c r="RYB142" s="418"/>
      <c r="RYC142" s="418"/>
      <c r="RYD142" s="418"/>
      <c r="RYE142" s="418"/>
      <c r="RYF142" s="418"/>
      <c r="RYG142" s="418"/>
      <c r="RYH142" s="418"/>
      <c r="RYI142" s="418"/>
      <c r="RYJ142" s="418"/>
      <c r="RYK142" s="418"/>
      <c r="RYL142" s="418"/>
      <c r="RYM142" s="418"/>
      <c r="RYN142" s="418"/>
      <c r="RYO142" s="418"/>
      <c r="RYP142" s="418"/>
      <c r="RYQ142" s="418"/>
      <c r="RYR142" s="418"/>
      <c r="RYS142" s="418"/>
      <c r="RYT142" s="418"/>
      <c r="RYU142" s="418"/>
      <c r="RYV142" s="418"/>
      <c r="RYW142" s="418"/>
      <c r="RYX142" s="418"/>
      <c r="RYY142" s="418"/>
      <c r="RYZ142" s="418"/>
      <c r="RZA142" s="418"/>
      <c r="RZB142" s="418"/>
      <c r="RZC142" s="418"/>
      <c r="RZD142" s="418"/>
      <c r="RZE142" s="418"/>
      <c r="RZF142" s="418"/>
      <c r="RZG142" s="418"/>
      <c r="RZH142" s="418"/>
      <c r="RZI142" s="418"/>
      <c r="RZJ142" s="418"/>
      <c r="RZK142" s="418"/>
      <c r="RZL142" s="418"/>
      <c r="RZM142" s="418"/>
      <c r="RZN142" s="418"/>
      <c r="RZO142" s="418"/>
      <c r="RZP142" s="418"/>
      <c r="RZQ142" s="418"/>
      <c r="RZR142" s="418"/>
      <c r="RZS142" s="418"/>
      <c r="RZT142" s="418"/>
      <c r="RZU142" s="418"/>
      <c r="RZV142" s="418"/>
      <c r="RZW142" s="418"/>
      <c r="RZX142" s="418"/>
      <c r="RZY142" s="418"/>
      <c r="RZZ142" s="418"/>
      <c r="SAA142" s="418"/>
      <c r="SAB142" s="418"/>
      <c r="SAC142" s="418"/>
      <c r="SAD142" s="418"/>
      <c r="SAE142" s="418"/>
      <c r="SAF142" s="418"/>
      <c r="SAG142" s="418"/>
      <c r="SAH142" s="418"/>
      <c r="SAI142" s="418"/>
      <c r="SAJ142" s="418"/>
      <c r="SAK142" s="418"/>
      <c r="SAL142" s="418"/>
      <c r="SAM142" s="418"/>
      <c r="SAN142" s="418"/>
      <c r="SAO142" s="418"/>
      <c r="SAP142" s="418"/>
      <c r="SAQ142" s="418"/>
      <c r="SAR142" s="418"/>
      <c r="SAS142" s="418"/>
      <c r="SAT142" s="418"/>
      <c r="SAU142" s="418"/>
      <c r="SAV142" s="418"/>
      <c r="SAW142" s="418"/>
      <c r="SAX142" s="418"/>
      <c r="SAY142" s="418"/>
      <c r="SAZ142" s="418"/>
      <c r="SBA142" s="418"/>
      <c r="SBB142" s="418"/>
      <c r="SBC142" s="418"/>
      <c r="SBD142" s="418"/>
      <c r="SBE142" s="418"/>
      <c r="SBF142" s="418"/>
      <c r="SBG142" s="418"/>
      <c r="SBH142" s="418"/>
      <c r="SBI142" s="418"/>
      <c r="SBJ142" s="418"/>
      <c r="SBK142" s="418"/>
      <c r="SBL142" s="418"/>
      <c r="SBM142" s="418"/>
      <c r="SBN142" s="418"/>
      <c r="SBO142" s="418"/>
      <c r="SBP142" s="418"/>
      <c r="SBQ142" s="418"/>
      <c r="SBR142" s="418"/>
      <c r="SBS142" s="418"/>
      <c r="SBT142" s="418"/>
      <c r="SBU142" s="418"/>
      <c r="SBV142" s="418"/>
      <c r="SBW142" s="418"/>
      <c r="SBX142" s="418"/>
      <c r="SBY142" s="418"/>
      <c r="SBZ142" s="418"/>
      <c r="SCA142" s="418"/>
      <c r="SCB142" s="418"/>
      <c r="SCC142" s="418"/>
      <c r="SCD142" s="418"/>
      <c r="SCE142" s="418"/>
      <c r="SCF142" s="418"/>
      <c r="SCG142" s="418"/>
      <c r="SCH142" s="418"/>
      <c r="SCI142" s="418"/>
      <c r="SCJ142" s="418"/>
      <c r="SCK142" s="418"/>
      <c r="SCL142" s="418"/>
      <c r="SCM142" s="418"/>
      <c r="SCN142" s="418"/>
      <c r="SCO142" s="418"/>
      <c r="SCP142" s="418"/>
      <c r="SCQ142" s="418"/>
      <c r="SCR142" s="418"/>
      <c r="SCS142" s="418"/>
      <c r="SCT142" s="418"/>
      <c r="SCU142" s="418"/>
      <c r="SCV142" s="418"/>
      <c r="SCW142" s="418"/>
      <c r="SCX142" s="418"/>
      <c r="SCY142" s="418"/>
      <c r="SCZ142" s="418"/>
      <c r="SDA142" s="418"/>
      <c r="SDB142" s="418"/>
      <c r="SDC142" s="418"/>
      <c r="SDD142" s="418"/>
      <c r="SDE142" s="418"/>
      <c r="SDF142" s="418"/>
      <c r="SDG142" s="418"/>
      <c r="SDH142" s="418"/>
      <c r="SDI142" s="418"/>
      <c r="SDJ142" s="418"/>
      <c r="SDK142" s="418"/>
      <c r="SDL142" s="418"/>
      <c r="SDM142" s="418"/>
      <c r="SDN142" s="418"/>
      <c r="SDO142" s="418"/>
      <c r="SDP142" s="418"/>
      <c r="SDQ142" s="418"/>
      <c r="SDR142" s="418"/>
      <c r="SDS142" s="418"/>
      <c r="SDT142" s="418"/>
      <c r="SDU142" s="418"/>
      <c r="SDV142" s="418"/>
      <c r="SDW142" s="418"/>
      <c r="SDX142" s="418"/>
      <c r="SDY142" s="418"/>
      <c r="SDZ142" s="418"/>
      <c r="SEA142" s="418"/>
      <c r="SEB142" s="418"/>
      <c r="SEC142" s="418"/>
      <c r="SED142" s="418"/>
      <c r="SEE142" s="418"/>
      <c r="SEF142" s="418"/>
      <c r="SEG142" s="418"/>
      <c r="SEH142" s="418"/>
      <c r="SEI142" s="418"/>
      <c r="SEJ142" s="418"/>
      <c r="SEK142" s="418"/>
      <c r="SEL142" s="418"/>
      <c r="SEM142" s="418"/>
      <c r="SEN142" s="418"/>
      <c r="SEO142" s="418"/>
      <c r="SEP142" s="418"/>
      <c r="SEQ142" s="418"/>
      <c r="SER142" s="418"/>
      <c r="SES142" s="418"/>
      <c r="SET142" s="418"/>
      <c r="SEU142" s="418"/>
      <c r="SEV142" s="418"/>
      <c r="SEW142" s="418"/>
      <c r="SEX142" s="418"/>
      <c r="SEY142" s="418"/>
      <c r="SEZ142" s="418"/>
      <c r="SFA142" s="418"/>
      <c r="SFB142" s="418"/>
      <c r="SFC142" s="418"/>
      <c r="SFD142" s="418"/>
      <c r="SFE142" s="418"/>
      <c r="SFF142" s="418"/>
      <c r="SFG142" s="418"/>
      <c r="SFH142" s="418"/>
      <c r="SFI142" s="418"/>
      <c r="SFJ142" s="418"/>
      <c r="SFK142" s="418"/>
      <c r="SFL142" s="418"/>
      <c r="SFM142" s="418"/>
      <c r="SFN142" s="418"/>
      <c r="SFO142" s="418"/>
      <c r="SFP142" s="418"/>
      <c r="SFQ142" s="418"/>
      <c r="SFR142" s="418"/>
      <c r="SFS142" s="418"/>
      <c r="SFT142" s="418"/>
      <c r="SFU142" s="418"/>
      <c r="SFV142" s="418"/>
      <c r="SFW142" s="418"/>
      <c r="SFX142" s="418"/>
      <c r="SFY142" s="418"/>
      <c r="SFZ142" s="418"/>
      <c r="SGA142" s="418"/>
      <c r="SGB142" s="418"/>
      <c r="SGC142" s="418"/>
      <c r="SGD142" s="418"/>
      <c r="SGE142" s="418"/>
      <c r="SGF142" s="418"/>
      <c r="SGG142" s="418"/>
      <c r="SGH142" s="418"/>
      <c r="SGI142" s="418"/>
      <c r="SGJ142" s="418"/>
      <c r="SGK142" s="418"/>
      <c r="SGL142" s="418"/>
      <c r="SGM142" s="418"/>
      <c r="SGN142" s="418"/>
      <c r="SGO142" s="418"/>
      <c r="SGP142" s="418"/>
      <c r="SGQ142" s="418"/>
      <c r="SGR142" s="418"/>
      <c r="SGS142" s="418"/>
      <c r="SGT142" s="418"/>
      <c r="SGU142" s="418"/>
      <c r="SGV142" s="418"/>
      <c r="SGW142" s="418"/>
      <c r="SGX142" s="418"/>
      <c r="SGY142" s="418"/>
      <c r="SGZ142" s="418"/>
      <c r="SHA142" s="418"/>
      <c r="SHB142" s="418"/>
      <c r="SHC142" s="418"/>
      <c r="SHD142" s="418"/>
      <c r="SHE142" s="418"/>
      <c r="SHF142" s="418"/>
      <c r="SHG142" s="418"/>
      <c r="SHH142" s="418"/>
      <c r="SHI142" s="418"/>
      <c r="SHJ142" s="418"/>
      <c r="SHK142" s="418"/>
      <c r="SHL142" s="418"/>
      <c r="SHM142" s="418"/>
      <c r="SHN142" s="418"/>
      <c r="SHO142" s="418"/>
      <c r="SHP142" s="418"/>
      <c r="SHQ142" s="418"/>
      <c r="SHR142" s="418"/>
      <c r="SHS142" s="418"/>
      <c r="SHT142" s="418"/>
      <c r="SHU142" s="418"/>
      <c r="SHV142" s="418"/>
      <c r="SHW142" s="418"/>
      <c r="SHX142" s="418"/>
      <c r="SHY142" s="418"/>
      <c r="SHZ142" s="418"/>
      <c r="SIA142" s="418"/>
      <c r="SIB142" s="418"/>
      <c r="SIC142" s="418"/>
      <c r="SID142" s="418"/>
      <c r="SIE142" s="418"/>
      <c r="SIF142" s="418"/>
      <c r="SIG142" s="418"/>
      <c r="SIH142" s="418"/>
      <c r="SII142" s="418"/>
      <c r="SIJ142" s="418"/>
      <c r="SIK142" s="418"/>
      <c r="SIL142" s="418"/>
      <c r="SIM142" s="418"/>
      <c r="SIN142" s="418"/>
      <c r="SIO142" s="418"/>
      <c r="SIP142" s="418"/>
      <c r="SIQ142" s="418"/>
      <c r="SIR142" s="418"/>
      <c r="SIS142" s="418"/>
      <c r="SIT142" s="418"/>
      <c r="SIU142" s="418"/>
      <c r="SIV142" s="418"/>
      <c r="SIW142" s="418"/>
      <c r="SIX142" s="418"/>
      <c r="SIY142" s="418"/>
      <c r="SIZ142" s="418"/>
      <c r="SJA142" s="418"/>
      <c r="SJB142" s="418"/>
      <c r="SJC142" s="418"/>
      <c r="SJD142" s="418"/>
      <c r="SJE142" s="418"/>
      <c r="SJF142" s="418"/>
      <c r="SJG142" s="418"/>
      <c r="SJH142" s="418"/>
      <c r="SJI142" s="418"/>
      <c r="SJJ142" s="418"/>
      <c r="SJK142" s="418"/>
      <c r="SJL142" s="418"/>
      <c r="SJM142" s="418"/>
      <c r="SJN142" s="418"/>
      <c r="SJO142" s="418"/>
      <c r="SJP142" s="418"/>
      <c r="SJQ142" s="418"/>
      <c r="SJR142" s="418"/>
      <c r="SJS142" s="418"/>
      <c r="SJT142" s="418"/>
      <c r="SJU142" s="418"/>
      <c r="SJV142" s="418"/>
      <c r="SJW142" s="418"/>
      <c r="SJX142" s="418"/>
      <c r="SJY142" s="418"/>
      <c r="SJZ142" s="418"/>
      <c r="SKA142" s="418"/>
      <c r="SKB142" s="418"/>
      <c r="SKC142" s="418"/>
      <c r="SKD142" s="418"/>
      <c r="SKE142" s="418"/>
      <c r="SKF142" s="418"/>
      <c r="SKG142" s="418"/>
      <c r="SKH142" s="418"/>
      <c r="SKI142" s="418"/>
      <c r="SKJ142" s="418"/>
      <c r="SKK142" s="418"/>
      <c r="SKL142" s="418"/>
      <c r="SKM142" s="418"/>
      <c r="SKN142" s="418"/>
      <c r="SKO142" s="418"/>
      <c r="SKP142" s="418"/>
      <c r="SKQ142" s="418"/>
      <c r="SKR142" s="418"/>
      <c r="SKS142" s="418"/>
      <c r="SKT142" s="418"/>
      <c r="SKU142" s="418"/>
      <c r="SKV142" s="418"/>
      <c r="SKW142" s="418"/>
      <c r="SKX142" s="418"/>
      <c r="SKY142" s="418"/>
      <c r="SKZ142" s="418"/>
      <c r="SLA142" s="418"/>
      <c r="SLB142" s="418"/>
      <c r="SLC142" s="418"/>
      <c r="SLD142" s="418"/>
      <c r="SLE142" s="418"/>
      <c r="SLF142" s="418"/>
      <c r="SLG142" s="418"/>
      <c r="SLH142" s="418"/>
      <c r="SLI142" s="418"/>
      <c r="SLJ142" s="418"/>
      <c r="SLK142" s="418"/>
      <c r="SLL142" s="418"/>
      <c r="SLM142" s="418"/>
      <c r="SLN142" s="418"/>
      <c r="SLO142" s="418"/>
      <c r="SLP142" s="418"/>
      <c r="SLQ142" s="418"/>
      <c r="SLR142" s="418"/>
      <c r="SLS142" s="418"/>
      <c r="SLT142" s="418"/>
      <c r="SLU142" s="418"/>
      <c r="SLV142" s="418"/>
      <c r="SLW142" s="418"/>
      <c r="SLX142" s="418"/>
      <c r="SLY142" s="418"/>
      <c r="SLZ142" s="418"/>
      <c r="SMA142" s="418"/>
      <c r="SMB142" s="418"/>
      <c r="SMC142" s="418"/>
      <c r="SMD142" s="418"/>
      <c r="SME142" s="418"/>
      <c r="SMF142" s="418"/>
      <c r="SMG142" s="418"/>
      <c r="SMH142" s="418"/>
      <c r="SMI142" s="418"/>
      <c r="SMJ142" s="418"/>
      <c r="SMK142" s="418"/>
      <c r="SML142" s="418"/>
      <c r="SMM142" s="418"/>
      <c r="SMN142" s="418"/>
      <c r="SMO142" s="418"/>
      <c r="SMP142" s="418"/>
      <c r="SMQ142" s="418"/>
      <c r="SMR142" s="418"/>
      <c r="SMS142" s="418"/>
      <c r="SMT142" s="418"/>
      <c r="SMU142" s="418"/>
      <c r="SMV142" s="418"/>
      <c r="SMW142" s="418"/>
      <c r="SMX142" s="418"/>
      <c r="SMY142" s="418"/>
      <c r="SMZ142" s="418"/>
      <c r="SNA142" s="418"/>
      <c r="SNB142" s="418"/>
      <c r="SNC142" s="418"/>
      <c r="SND142" s="418"/>
      <c r="SNE142" s="418"/>
      <c r="SNF142" s="418"/>
      <c r="SNG142" s="418"/>
      <c r="SNH142" s="418"/>
      <c r="SNI142" s="418"/>
      <c r="SNJ142" s="418"/>
      <c r="SNK142" s="418"/>
      <c r="SNL142" s="418"/>
      <c r="SNM142" s="418"/>
      <c r="SNN142" s="418"/>
      <c r="SNO142" s="418"/>
      <c r="SNP142" s="418"/>
      <c r="SNQ142" s="418"/>
      <c r="SNR142" s="418"/>
      <c r="SNS142" s="418"/>
      <c r="SNT142" s="418"/>
      <c r="SNU142" s="418"/>
      <c r="SNV142" s="418"/>
      <c r="SNW142" s="418"/>
      <c r="SNX142" s="418"/>
      <c r="SNY142" s="418"/>
      <c r="SNZ142" s="418"/>
      <c r="SOA142" s="418"/>
      <c r="SOB142" s="418"/>
      <c r="SOC142" s="418"/>
      <c r="SOD142" s="418"/>
      <c r="SOE142" s="418"/>
      <c r="SOF142" s="418"/>
      <c r="SOG142" s="418"/>
      <c r="SOH142" s="418"/>
      <c r="SOI142" s="418"/>
      <c r="SOJ142" s="418"/>
      <c r="SOK142" s="418"/>
      <c r="SOL142" s="418"/>
      <c r="SOM142" s="418"/>
      <c r="SON142" s="418"/>
      <c r="SOO142" s="418"/>
      <c r="SOP142" s="418"/>
      <c r="SOQ142" s="418"/>
      <c r="SOR142" s="418"/>
      <c r="SOS142" s="418"/>
      <c r="SOT142" s="418"/>
      <c r="SOU142" s="418"/>
      <c r="SOV142" s="418"/>
      <c r="SOW142" s="418"/>
      <c r="SOX142" s="418"/>
      <c r="SOY142" s="418"/>
      <c r="SOZ142" s="418"/>
      <c r="SPA142" s="418"/>
      <c r="SPB142" s="418"/>
      <c r="SPC142" s="418"/>
      <c r="SPD142" s="418"/>
      <c r="SPE142" s="418"/>
      <c r="SPF142" s="418"/>
      <c r="SPG142" s="418"/>
      <c r="SPH142" s="418"/>
      <c r="SPI142" s="418"/>
      <c r="SPJ142" s="418"/>
      <c r="SPK142" s="418"/>
      <c r="SPL142" s="418"/>
      <c r="SPM142" s="418"/>
      <c r="SPN142" s="418"/>
      <c r="SPO142" s="418"/>
      <c r="SPP142" s="418"/>
      <c r="SPQ142" s="418"/>
      <c r="SPR142" s="418"/>
      <c r="SPS142" s="418"/>
      <c r="SPT142" s="418"/>
      <c r="SPU142" s="418"/>
      <c r="SPV142" s="418"/>
      <c r="SPW142" s="418"/>
      <c r="SPX142" s="418"/>
      <c r="SPY142" s="418"/>
      <c r="SPZ142" s="418"/>
      <c r="SQA142" s="418"/>
      <c r="SQB142" s="418"/>
      <c r="SQC142" s="418"/>
      <c r="SQD142" s="418"/>
      <c r="SQE142" s="418"/>
      <c r="SQF142" s="418"/>
      <c r="SQG142" s="418"/>
      <c r="SQH142" s="418"/>
      <c r="SQI142" s="418"/>
      <c r="SQJ142" s="418"/>
      <c r="SQK142" s="418"/>
      <c r="SQL142" s="418"/>
      <c r="SQM142" s="418"/>
      <c r="SQN142" s="418"/>
      <c r="SQO142" s="418"/>
      <c r="SQP142" s="418"/>
      <c r="SQQ142" s="418"/>
      <c r="SQR142" s="418"/>
      <c r="SQS142" s="418"/>
      <c r="SQT142" s="418"/>
      <c r="SQU142" s="418"/>
      <c r="SQV142" s="418"/>
      <c r="SQW142" s="418"/>
      <c r="SQX142" s="418"/>
      <c r="SQY142" s="418"/>
      <c r="SQZ142" s="418"/>
      <c r="SRA142" s="418"/>
      <c r="SRB142" s="418"/>
      <c r="SRC142" s="418"/>
      <c r="SRD142" s="418"/>
      <c r="SRE142" s="418"/>
      <c r="SRF142" s="418"/>
      <c r="SRG142" s="418"/>
      <c r="SRH142" s="418"/>
      <c r="SRI142" s="418"/>
      <c r="SRJ142" s="418"/>
      <c r="SRK142" s="418"/>
      <c r="SRL142" s="418"/>
      <c r="SRM142" s="418"/>
      <c r="SRN142" s="418"/>
      <c r="SRO142" s="418"/>
      <c r="SRP142" s="418"/>
      <c r="SRQ142" s="418"/>
      <c r="SRR142" s="418"/>
      <c r="SRS142" s="418"/>
      <c r="SRT142" s="418"/>
      <c r="SRU142" s="418"/>
      <c r="SRV142" s="418"/>
      <c r="SRW142" s="418"/>
      <c r="SRX142" s="418"/>
      <c r="SRY142" s="418"/>
      <c r="SRZ142" s="418"/>
      <c r="SSA142" s="418"/>
      <c r="SSB142" s="418"/>
      <c r="SSC142" s="418"/>
      <c r="SSD142" s="418"/>
      <c r="SSE142" s="418"/>
      <c r="SSF142" s="418"/>
      <c r="SSG142" s="418"/>
      <c r="SSH142" s="418"/>
      <c r="SSI142" s="418"/>
      <c r="SSJ142" s="418"/>
      <c r="SSK142" s="418"/>
      <c r="SSL142" s="418"/>
      <c r="SSM142" s="418"/>
      <c r="SSN142" s="418"/>
      <c r="SSO142" s="418"/>
      <c r="SSP142" s="418"/>
      <c r="SSQ142" s="418"/>
      <c r="SSR142" s="418"/>
      <c r="SSS142" s="418"/>
      <c r="SST142" s="418"/>
      <c r="SSU142" s="418"/>
      <c r="SSV142" s="418"/>
      <c r="SSW142" s="418"/>
      <c r="SSX142" s="418"/>
      <c r="SSY142" s="418"/>
      <c r="SSZ142" s="418"/>
      <c r="STA142" s="418"/>
      <c r="STB142" s="418"/>
      <c r="STC142" s="418"/>
      <c r="STD142" s="418"/>
      <c r="STE142" s="418"/>
      <c r="STF142" s="418"/>
      <c r="STG142" s="418"/>
      <c r="STH142" s="418"/>
      <c r="STI142" s="418"/>
      <c r="STJ142" s="418"/>
      <c r="STK142" s="418"/>
      <c r="STL142" s="418"/>
      <c r="STM142" s="418"/>
      <c r="STN142" s="418"/>
      <c r="STO142" s="418"/>
      <c r="STP142" s="418"/>
      <c r="STQ142" s="418"/>
      <c r="STR142" s="418"/>
      <c r="STS142" s="418"/>
      <c r="STT142" s="418"/>
      <c r="STU142" s="418"/>
      <c r="STV142" s="418"/>
      <c r="STW142" s="418"/>
      <c r="STX142" s="418"/>
      <c r="STY142" s="418"/>
      <c r="STZ142" s="418"/>
      <c r="SUA142" s="418"/>
      <c r="SUB142" s="418"/>
      <c r="SUC142" s="418"/>
      <c r="SUD142" s="418"/>
      <c r="SUE142" s="418"/>
      <c r="SUF142" s="418"/>
      <c r="SUG142" s="418"/>
      <c r="SUH142" s="418"/>
      <c r="SUI142" s="418"/>
      <c r="SUJ142" s="418"/>
      <c r="SUK142" s="418"/>
      <c r="SUL142" s="418"/>
      <c r="SUM142" s="418"/>
      <c r="SUN142" s="418"/>
      <c r="SUO142" s="418"/>
      <c r="SUP142" s="418"/>
      <c r="SUQ142" s="418"/>
      <c r="SUR142" s="418"/>
      <c r="SUS142" s="418"/>
      <c r="SUT142" s="418"/>
      <c r="SUU142" s="418"/>
      <c r="SUV142" s="418"/>
      <c r="SUW142" s="418"/>
      <c r="SUX142" s="418"/>
      <c r="SUY142" s="418"/>
      <c r="SUZ142" s="418"/>
      <c r="SVA142" s="418"/>
      <c r="SVB142" s="418"/>
      <c r="SVC142" s="418"/>
      <c r="SVD142" s="418"/>
      <c r="SVE142" s="418"/>
      <c r="SVF142" s="418"/>
      <c r="SVG142" s="418"/>
      <c r="SVH142" s="418"/>
      <c r="SVI142" s="418"/>
      <c r="SVJ142" s="418"/>
      <c r="SVK142" s="418"/>
      <c r="SVL142" s="418"/>
      <c r="SVM142" s="418"/>
      <c r="SVN142" s="418"/>
      <c r="SVO142" s="418"/>
      <c r="SVP142" s="418"/>
      <c r="SVQ142" s="418"/>
      <c r="SVR142" s="418"/>
      <c r="SVS142" s="418"/>
      <c r="SVT142" s="418"/>
      <c r="SVU142" s="418"/>
      <c r="SVV142" s="418"/>
      <c r="SVW142" s="418"/>
      <c r="SVX142" s="418"/>
      <c r="SVY142" s="418"/>
      <c r="SVZ142" s="418"/>
      <c r="SWA142" s="418"/>
      <c r="SWB142" s="418"/>
      <c r="SWC142" s="418"/>
      <c r="SWD142" s="418"/>
      <c r="SWE142" s="418"/>
      <c r="SWF142" s="418"/>
      <c r="SWG142" s="418"/>
      <c r="SWH142" s="418"/>
      <c r="SWI142" s="418"/>
      <c r="SWJ142" s="418"/>
      <c r="SWK142" s="418"/>
      <c r="SWL142" s="418"/>
      <c r="SWM142" s="418"/>
      <c r="SWN142" s="418"/>
      <c r="SWO142" s="418"/>
      <c r="SWP142" s="418"/>
      <c r="SWQ142" s="418"/>
      <c r="SWR142" s="418"/>
      <c r="SWS142" s="418"/>
      <c r="SWT142" s="418"/>
      <c r="SWU142" s="418"/>
      <c r="SWV142" s="418"/>
      <c r="SWW142" s="418"/>
      <c r="SWX142" s="418"/>
      <c r="SWY142" s="418"/>
      <c r="SWZ142" s="418"/>
      <c r="SXA142" s="418"/>
      <c r="SXB142" s="418"/>
      <c r="SXC142" s="418"/>
      <c r="SXD142" s="418"/>
      <c r="SXE142" s="418"/>
      <c r="SXF142" s="418"/>
      <c r="SXG142" s="418"/>
      <c r="SXH142" s="418"/>
      <c r="SXI142" s="418"/>
      <c r="SXJ142" s="418"/>
      <c r="SXK142" s="418"/>
      <c r="SXL142" s="418"/>
      <c r="SXM142" s="418"/>
      <c r="SXN142" s="418"/>
      <c r="SXO142" s="418"/>
      <c r="SXP142" s="418"/>
      <c r="SXQ142" s="418"/>
      <c r="SXR142" s="418"/>
      <c r="SXS142" s="418"/>
      <c r="SXT142" s="418"/>
      <c r="SXU142" s="418"/>
      <c r="SXV142" s="418"/>
      <c r="SXW142" s="418"/>
      <c r="SXX142" s="418"/>
      <c r="SXY142" s="418"/>
      <c r="SXZ142" s="418"/>
      <c r="SYA142" s="418"/>
      <c r="SYB142" s="418"/>
      <c r="SYC142" s="418"/>
      <c r="SYD142" s="418"/>
      <c r="SYE142" s="418"/>
      <c r="SYF142" s="418"/>
      <c r="SYG142" s="418"/>
      <c r="SYH142" s="418"/>
      <c r="SYI142" s="418"/>
      <c r="SYJ142" s="418"/>
      <c r="SYK142" s="418"/>
      <c r="SYL142" s="418"/>
      <c r="SYM142" s="418"/>
      <c r="SYN142" s="418"/>
      <c r="SYO142" s="418"/>
      <c r="SYP142" s="418"/>
      <c r="SYQ142" s="418"/>
      <c r="SYR142" s="418"/>
      <c r="SYS142" s="418"/>
      <c r="SYT142" s="418"/>
      <c r="SYU142" s="418"/>
      <c r="SYV142" s="418"/>
      <c r="SYW142" s="418"/>
      <c r="SYX142" s="418"/>
      <c r="SYY142" s="418"/>
      <c r="SYZ142" s="418"/>
      <c r="SZA142" s="418"/>
      <c r="SZB142" s="418"/>
      <c r="SZC142" s="418"/>
      <c r="SZD142" s="418"/>
      <c r="SZE142" s="418"/>
      <c r="SZF142" s="418"/>
      <c r="SZG142" s="418"/>
      <c r="SZH142" s="418"/>
      <c r="SZI142" s="418"/>
      <c r="SZJ142" s="418"/>
      <c r="SZK142" s="418"/>
      <c r="SZL142" s="418"/>
      <c r="SZM142" s="418"/>
      <c r="SZN142" s="418"/>
      <c r="SZO142" s="418"/>
      <c r="SZP142" s="418"/>
      <c r="SZQ142" s="418"/>
      <c r="SZR142" s="418"/>
      <c r="SZS142" s="418"/>
      <c r="SZT142" s="418"/>
      <c r="SZU142" s="418"/>
      <c r="SZV142" s="418"/>
      <c r="SZW142" s="418"/>
      <c r="SZX142" s="418"/>
      <c r="SZY142" s="418"/>
      <c r="SZZ142" s="418"/>
      <c r="TAA142" s="418"/>
      <c r="TAB142" s="418"/>
      <c r="TAC142" s="418"/>
      <c r="TAD142" s="418"/>
      <c r="TAE142" s="418"/>
      <c r="TAF142" s="418"/>
      <c r="TAG142" s="418"/>
      <c r="TAH142" s="418"/>
      <c r="TAI142" s="418"/>
      <c r="TAJ142" s="418"/>
      <c r="TAK142" s="418"/>
      <c r="TAL142" s="418"/>
      <c r="TAM142" s="418"/>
      <c r="TAN142" s="418"/>
      <c r="TAO142" s="418"/>
      <c r="TAP142" s="418"/>
      <c r="TAQ142" s="418"/>
      <c r="TAR142" s="418"/>
      <c r="TAS142" s="418"/>
      <c r="TAT142" s="418"/>
      <c r="TAU142" s="418"/>
      <c r="TAV142" s="418"/>
      <c r="TAW142" s="418"/>
      <c r="TAX142" s="418"/>
      <c r="TAY142" s="418"/>
      <c r="TAZ142" s="418"/>
      <c r="TBA142" s="418"/>
      <c r="TBB142" s="418"/>
      <c r="TBC142" s="418"/>
      <c r="TBD142" s="418"/>
      <c r="TBE142" s="418"/>
      <c r="TBF142" s="418"/>
      <c r="TBG142" s="418"/>
      <c r="TBH142" s="418"/>
      <c r="TBI142" s="418"/>
      <c r="TBJ142" s="418"/>
      <c r="TBK142" s="418"/>
      <c r="TBL142" s="418"/>
      <c r="TBM142" s="418"/>
      <c r="TBN142" s="418"/>
      <c r="TBO142" s="418"/>
      <c r="TBP142" s="418"/>
      <c r="TBQ142" s="418"/>
      <c r="TBR142" s="418"/>
      <c r="TBS142" s="418"/>
      <c r="TBT142" s="418"/>
      <c r="TBU142" s="418"/>
      <c r="TBV142" s="418"/>
      <c r="TBW142" s="418"/>
      <c r="TBX142" s="418"/>
      <c r="TBY142" s="418"/>
      <c r="TBZ142" s="418"/>
      <c r="TCA142" s="418"/>
      <c r="TCB142" s="418"/>
      <c r="TCC142" s="418"/>
      <c r="TCD142" s="418"/>
      <c r="TCE142" s="418"/>
      <c r="TCF142" s="418"/>
      <c r="TCG142" s="418"/>
      <c r="TCH142" s="418"/>
      <c r="TCI142" s="418"/>
      <c r="TCJ142" s="418"/>
      <c r="TCK142" s="418"/>
      <c r="TCL142" s="418"/>
      <c r="TCM142" s="418"/>
      <c r="TCN142" s="418"/>
      <c r="TCO142" s="418"/>
      <c r="TCP142" s="418"/>
      <c r="TCQ142" s="418"/>
      <c r="TCR142" s="418"/>
      <c r="TCS142" s="418"/>
      <c r="TCT142" s="418"/>
      <c r="TCU142" s="418"/>
      <c r="TCV142" s="418"/>
      <c r="TCW142" s="418"/>
      <c r="TCX142" s="418"/>
      <c r="TCY142" s="418"/>
      <c r="TCZ142" s="418"/>
      <c r="TDA142" s="418"/>
      <c r="TDB142" s="418"/>
      <c r="TDC142" s="418"/>
      <c r="TDD142" s="418"/>
      <c r="TDE142" s="418"/>
      <c r="TDF142" s="418"/>
      <c r="TDG142" s="418"/>
      <c r="TDH142" s="418"/>
      <c r="TDI142" s="418"/>
      <c r="TDJ142" s="418"/>
      <c r="TDK142" s="418"/>
      <c r="TDL142" s="418"/>
      <c r="TDM142" s="418"/>
      <c r="TDN142" s="418"/>
      <c r="TDO142" s="418"/>
      <c r="TDP142" s="418"/>
      <c r="TDQ142" s="418"/>
      <c r="TDR142" s="418"/>
      <c r="TDS142" s="418"/>
      <c r="TDT142" s="418"/>
      <c r="TDU142" s="418"/>
      <c r="TDV142" s="418"/>
      <c r="TDW142" s="418"/>
      <c r="TDX142" s="418"/>
      <c r="TDY142" s="418"/>
      <c r="TDZ142" s="418"/>
      <c r="TEA142" s="418"/>
      <c r="TEB142" s="418"/>
      <c r="TEC142" s="418"/>
      <c r="TED142" s="418"/>
      <c r="TEE142" s="418"/>
      <c r="TEF142" s="418"/>
      <c r="TEG142" s="418"/>
      <c r="TEH142" s="418"/>
      <c r="TEI142" s="418"/>
      <c r="TEJ142" s="418"/>
      <c r="TEK142" s="418"/>
      <c r="TEL142" s="418"/>
      <c r="TEM142" s="418"/>
      <c r="TEN142" s="418"/>
      <c r="TEO142" s="418"/>
      <c r="TEP142" s="418"/>
      <c r="TEQ142" s="418"/>
      <c r="TER142" s="418"/>
      <c r="TES142" s="418"/>
      <c r="TET142" s="418"/>
      <c r="TEU142" s="418"/>
      <c r="TEV142" s="418"/>
      <c r="TEW142" s="418"/>
      <c r="TEX142" s="418"/>
      <c r="TEY142" s="418"/>
      <c r="TEZ142" s="418"/>
      <c r="TFA142" s="418"/>
      <c r="TFB142" s="418"/>
      <c r="TFC142" s="418"/>
      <c r="TFD142" s="418"/>
      <c r="TFE142" s="418"/>
      <c r="TFF142" s="418"/>
      <c r="TFG142" s="418"/>
      <c r="TFH142" s="418"/>
      <c r="TFI142" s="418"/>
      <c r="TFJ142" s="418"/>
      <c r="TFK142" s="418"/>
      <c r="TFL142" s="418"/>
      <c r="TFM142" s="418"/>
      <c r="TFN142" s="418"/>
      <c r="TFO142" s="418"/>
      <c r="TFP142" s="418"/>
      <c r="TFQ142" s="418"/>
      <c r="TFR142" s="418"/>
      <c r="TFS142" s="418"/>
      <c r="TFT142" s="418"/>
      <c r="TFU142" s="418"/>
      <c r="TFV142" s="418"/>
      <c r="TFW142" s="418"/>
      <c r="TFX142" s="418"/>
      <c r="TFY142" s="418"/>
      <c r="TFZ142" s="418"/>
      <c r="TGA142" s="418"/>
      <c r="TGB142" s="418"/>
      <c r="TGC142" s="418"/>
      <c r="TGD142" s="418"/>
      <c r="TGE142" s="418"/>
      <c r="TGF142" s="418"/>
      <c r="TGG142" s="418"/>
      <c r="TGH142" s="418"/>
      <c r="TGI142" s="418"/>
      <c r="TGJ142" s="418"/>
      <c r="TGK142" s="418"/>
      <c r="TGL142" s="418"/>
      <c r="TGM142" s="418"/>
      <c r="TGN142" s="418"/>
      <c r="TGO142" s="418"/>
      <c r="TGP142" s="418"/>
      <c r="TGQ142" s="418"/>
      <c r="TGR142" s="418"/>
      <c r="TGS142" s="418"/>
      <c r="TGT142" s="418"/>
      <c r="TGU142" s="418"/>
      <c r="TGV142" s="418"/>
      <c r="TGW142" s="418"/>
      <c r="TGX142" s="418"/>
      <c r="TGY142" s="418"/>
      <c r="TGZ142" s="418"/>
      <c r="THA142" s="418"/>
      <c r="THB142" s="418"/>
      <c r="THC142" s="418"/>
      <c r="THD142" s="418"/>
      <c r="THE142" s="418"/>
      <c r="THF142" s="418"/>
      <c r="THG142" s="418"/>
      <c r="THH142" s="418"/>
      <c r="THI142" s="418"/>
      <c r="THJ142" s="418"/>
      <c r="THK142" s="418"/>
      <c r="THL142" s="418"/>
      <c r="THM142" s="418"/>
      <c r="THN142" s="418"/>
      <c r="THO142" s="418"/>
      <c r="THP142" s="418"/>
      <c r="THQ142" s="418"/>
      <c r="THR142" s="418"/>
      <c r="THS142" s="418"/>
      <c r="THT142" s="418"/>
      <c r="THU142" s="418"/>
      <c r="THV142" s="418"/>
      <c r="THW142" s="418"/>
      <c r="THX142" s="418"/>
      <c r="THY142" s="418"/>
      <c r="THZ142" s="418"/>
      <c r="TIA142" s="418"/>
      <c r="TIB142" s="418"/>
      <c r="TIC142" s="418"/>
      <c r="TID142" s="418"/>
      <c r="TIE142" s="418"/>
      <c r="TIF142" s="418"/>
      <c r="TIG142" s="418"/>
      <c r="TIH142" s="418"/>
      <c r="TII142" s="418"/>
      <c r="TIJ142" s="418"/>
      <c r="TIK142" s="418"/>
      <c r="TIL142" s="418"/>
      <c r="TIM142" s="418"/>
      <c r="TIN142" s="418"/>
      <c r="TIO142" s="418"/>
      <c r="TIP142" s="418"/>
      <c r="TIQ142" s="418"/>
      <c r="TIR142" s="418"/>
      <c r="TIS142" s="418"/>
      <c r="TIT142" s="418"/>
      <c r="TIU142" s="418"/>
      <c r="TIV142" s="418"/>
      <c r="TIW142" s="418"/>
      <c r="TIX142" s="418"/>
      <c r="TIY142" s="418"/>
      <c r="TIZ142" s="418"/>
      <c r="TJA142" s="418"/>
      <c r="TJB142" s="418"/>
      <c r="TJC142" s="418"/>
      <c r="TJD142" s="418"/>
      <c r="TJE142" s="418"/>
      <c r="TJF142" s="418"/>
      <c r="TJG142" s="418"/>
      <c r="TJH142" s="418"/>
      <c r="TJI142" s="418"/>
      <c r="TJJ142" s="418"/>
      <c r="TJK142" s="418"/>
      <c r="TJL142" s="418"/>
      <c r="TJM142" s="418"/>
      <c r="TJN142" s="418"/>
      <c r="TJO142" s="418"/>
      <c r="TJP142" s="418"/>
      <c r="TJQ142" s="418"/>
      <c r="TJR142" s="418"/>
      <c r="TJS142" s="418"/>
      <c r="TJT142" s="418"/>
      <c r="TJU142" s="418"/>
      <c r="TJV142" s="418"/>
      <c r="TJW142" s="418"/>
      <c r="TJX142" s="418"/>
      <c r="TJY142" s="418"/>
      <c r="TJZ142" s="418"/>
      <c r="TKA142" s="418"/>
      <c r="TKB142" s="418"/>
      <c r="TKC142" s="418"/>
      <c r="TKD142" s="418"/>
      <c r="TKE142" s="418"/>
      <c r="TKF142" s="418"/>
      <c r="TKG142" s="418"/>
      <c r="TKH142" s="418"/>
      <c r="TKI142" s="418"/>
      <c r="TKJ142" s="418"/>
      <c r="TKK142" s="418"/>
      <c r="TKL142" s="418"/>
      <c r="TKM142" s="418"/>
      <c r="TKN142" s="418"/>
      <c r="TKO142" s="418"/>
      <c r="TKP142" s="418"/>
      <c r="TKQ142" s="418"/>
      <c r="TKR142" s="418"/>
      <c r="TKS142" s="418"/>
      <c r="TKT142" s="418"/>
      <c r="TKU142" s="418"/>
      <c r="TKV142" s="418"/>
      <c r="TKW142" s="418"/>
      <c r="TKX142" s="418"/>
      <c r="TKY142" s="418"/>
      <c r="TKZ142" s="418"/>
      <c r="TLA142" s="418"/>
      <c r="TLB142" s="418"/>
      <c r="TLC142" s="418"/>
      <c r="TLD142" s="418"/>
      <c r="TLE142" s="418"/>
      <c r="TLF142" s="418"/>
      <c r="TLG142" s="418"/>
      <c r="TLH142" s="418"/>
      <c r="TLI142" s="418"/>
      <c r="TLJ142" s="418"/>
      <c r="TLK142" s="418"/>
      <c r="TLL142" s="418"/>
      <c r="TLM142" s="418"/>
      <c r="TLN142" s="418"/>
      <c r="TLO142" s="418"/>
      <c r="TLP142" s="418"/>
      <c r="TLQ142" s="418"/>
      <c r="TLR142" s="418"/>
      <c r="TLS142" s="418"/>
      <c r="TLT142" s="418"/>
      <c r="TLU142" s="418"/>
      <c r="TLV142" s="418"/>
      <c r="TLW142" s="418"/>
      <c r="TLX142" s="418"/>
      <c r="TLY142" s="418"/>
      <c r="TLZ142" s="418"/>
      <c r="TMA142" s="418"/>
      <c r="TMB142" s="418"/>
      <c r="TMC142" s="418"/>
      <c r="TMD142" s="418"/>
      <c r="TME142" s="418"/>
      <c r="TMF142" s="418"/>
      <c r="TMG142" s="418"/>
      <c r="TMH142" s="418"/>
      <c r="TMI142" s="418"/>
      <c r="TMJ142" s="418"/>
      <c r="TMK142" s="418"/>
      <c r="TML142" s="418"/>
      <c r="TMM142" s="418"/>
      <c r="TMN142" s="418"/>
      <c r="TMO142" s="418"/>
      <c r="TMP142" s="418"/>
      <c r="TMQ142" s="418"/>
      <c r="TMR142" s="418"/>
      <c r="TMS142" s="418"/>
      <c r="TMT142" s="418"/>
      <c r="TMU142" s="418"/>
      <c r="TMV142" s="418"/>
      <c r="TMW142" s="418"/>
      <c r="TMX142" s="418"/>
      <c r="TMY142" s="418"/>
      <c r="TMZ142" s="418"/>
      <c r="TNA142" s="418"/>
      <c r="TNB142" s="418"/>
      <c r="TNC142" s="418"/>
      <c r="TND142" s="418"/>
      <c r="TNE142" s="418"/>
      <c r="TNF142" s="418"/>
      <c r="TNG142" s="418"/>
      <c r="TNH142" s="418"/>
      <c r="TNI142" s="418"/>
      <c r="TNJ142" s="418"/>
      <c r="TNK142" s="418"/>
      <c r="TNL142" s="418"/>
      <c r="TNM142" s="418"/>
      <c r="TNN142" s="418"/>
      <c r="TNO142" s="418"/>
      <c r="TNP142" s="418"/>
      <c r="TNQ142" s="418"/>
      <c r="TNR142" s="418"/>
      <c r="TNS142" s="418"/>
      <c r="TNT142" s="418"/>
      <c r="TNU142" s="418"/>
      <c r="TNV142" s="418"/>
      <c r="TNW142" s="418"/>
      <c r="TNX142" s="418"/>
      <c r="TNY142" s="418"/>
      <c r="TNZ142" s="418"/>
      <c r="TOA142" s="418"/>
      <c r="TOB142" s="418"/>
      <c r="TOC142" s="418"/>
      <c r="TOD142" s="418"/>
      <c r="TOE142" s="418"/>
      <c r="TOF142" s="418"/>
      <c r="TOG142" s="418"/>
      <c r="TOH142" s="418"/>
      <c r="TOI142" s="418"/>
      <c r="TOJ142" s="418"/>
      <c r="TOK142" s="418"/>
      <c r="TOL142" s="418"/>
      <c r="TOM142" s="418"/>
      <c r="TON142" s="418"/>
      <c r="TOO142" s="418"/>
      <c r="TOP142" s="418"/>
      <c r="TOQ142" s="418"/>
      <c r="TOR142" s="418"/>
      <c r="TOS142" s="418"/>
      <c r="TOT142" s="418"/>
      <c r="TOU142" s="418"/>
      <c r="TOV142" s="418"/>
      <c r="TOW142" s="418"/>
      <c r="TOX142" s="418"/>
      <c r="TOY142" s="418"/>
      <c r="TOZ142" s="418"/>
      <c r="TPA142" s="418"/>
      <c r="TPB142" s="418"/>
      <c r="TPC142" s="418"/>
      <c r="TPD142" s="418"/>
      <c r="TPE142" s="418"/>
      <c r="TPF142" s="418"/>
      <c r="TPG142" s="418"/>
      <c r="TPH142" s="418"/>
      <c r="TPI142" s="418"/>
      <c r="TPJ142" s="418"/>
      <c r="TPK142" s="418"/>
      <c r="TPL142" s="418"/>
      <c r="TPM142" s="418"/>
      <c r="TPN142" s="418"/>
      <c r="TPO142" s="418"/>
      <c r="TPP142" s="418"/>
      <c r="TPQ142" s="418"/>
      <c r="TPR142" s="418"/>
      <c r="TPS142" s="418"/>
      <c r="TPT142" s="418"/>
      <c r="TPU142" s="418"/>
      <c r="TPV142" s="418"/>
      <c r="TPW142" s="418"/>
      <c r="TPX142" s="418"/>
      <c r="TPY142" s="418"/>
      <c r="TPZ142" s="418"/>
      <c r="TQA142" s="418"/>
      <c r="TQB142" s="418"/>
      <c r="TQC142" s="418"/>
      <c r="TQD142" s="418"/>
      <c r="TQE142" s="418"/>
      <c r="TQF142" s="418"/>
      <c r="TQG142" s="418"/>
      <c r="TQH142" s="418"/>
      <c r="TQI142" s="418"/>
      <c r="TQJ142" s="418"/>
      <c r="TQK142" s="418"/>
      <c r="TQL142" s="418"/>
      <c r="TQM142" s="418"/>
      <c r="TQN142" s="418"/>
      <c r="TQO142" s="418"/>
      <c r="TQP142" s="418"/>
      <c r="TQQ142" s="418"/>
      <c r="TQR142" s="418"/>
      <c r="TQS142" s="418"/>
      <c r="TQT142" s="418"/>
      <c r="TQU142" s="418"/>
      <c r="TQV142" s="418"/>
      <c r="TQW142" s="418"/>
      <c r="TQX142" s="418"/>
      <c r="TQY142" s="418"/>
      <c r="TQZ142" s="418"/>
      <c r="TRA142" s="418"/>
      <c r="TRB142" s="418"/>
      <c r="TRC142" s="418"/>
      <c r="TRD142" s="418"/>
      <c r="TRE142" s="418"/>
      <c r="TRF142" s="418"/>
      <c r="TRG142" s="418"/>
      <c r="TRH142" s="418"/>
      <c r="TRI142" s="418"/>
      <c r="TRJ142" s="418"/>
      <c r="TRK142" s="418"/>
      <c r="TRL142" s="418"/>
      <c r="TRM142" s="418"/>
      <c r="TRN142" s="418"/>
      <c r="TRO142" s="418"/>
      <c r="TRP142" s="418"/>
      <c r="TRQ142" s="418"/>
      <c r="TRR142" s="418"/>
      <c r="TRS142" s="418"/>
      <c r="TRT142" s="418"/>
      <c r="TRU142" s="418"/>
      <c r="TRV142" s="418"/>
      <c r="TRW142" s="418"/>
      <c r="TRX142" s="418"/>
      <c r="TRY142" s="418"/>
      <c r="TRZ142" s="418"/>
      <c r="TSA142" s="418"/>
      <c r="TSB142" s="418"/>
      <c r="TSC142" s="418"/>
      <c r="TSD142" s="418"/>
      <c r="TSE142" s="418"/>
      <c r="TSF142" s="418"/>
      <c r="TSG142" s="418"/>
      <c r="TSH142" s="418"/>
      <c r="TSI142" s="418"/>
      <c r="TSJ142" s="418"/>
      <c r="TSK142" s="418"/>
      <c r="TSL142" s="418"/>
      <c r="TSM142" s="418"/>
      <c r="TSN142" s="418"/>
      <c r="TSO142" s="418"/>
      <c r="TSP142" s="418"/>
      <c r="TSQ142" s="418"/>
      <c r="TSR142" s="418"/>
      <c r="TSS142" s="418"/>
      <c r="TST142" s="418"/>
      <c r="TSU142" s="418"/>
      <c r="TSV142" s="418"/>
      <c r="TSW142" s="418"/>
      <c r="TSX142" s="418"/>
      <c r="TSY142" s="418"/>
      <c r="TSZ142" s="418"/>
      <c r="TTA142" s="418"/>
      <c r="TTB142" s="418"/>
      <c r="TTC142" s="418"/>
      <c r="TTD142" s="418"/>
      <c r="TTE142" s="418"/>
      <c r="TTF142" s="418"/>
      <c r="TTG142" s="418"/>
      <c r="TTH142" s="418"/>
      <c r="TTI142" s="418"/>
      <c r="TTJ142" s="418"/>
      <c r="TTK142" s="418"/>
      <c r="TTL142" s="418"/>
      <c r="TTM142" s="418"/>
      <c r="TTN142" s="418"/>
      <c r="TTO142" s="418"/>
      <c r="TTP142" s="418"/>
      <c r="TTQ142" s="418"/>
      <c r="TTR142" s="418"/>
      <c r="TTS142" s="418"/>
      <c r="TTT142" s="418"/>
      <c r="TTU142" s="418"/>
      <c r="TTV142" s="418"/>
      <c r="TTW142" s="418"/>
      <c r="TTX142" s="418"/>
      <c r="TTY142" s="418"/>
      <c r="TTZ142" s="418"/>
      <c r="TUA142" s="418"/>
      <c r="TUB142" s="418"/>
      <c r="TUC142" s="418"/>
      <c r="TUD142" s="418"/>
      <c r="TUE142" s="418"/>
      <c r="TUF142" s="418"/>
      <c r="TUG142" s="418"/>
      <c r="TUH142" s="418"/>
      <c r="TUI142" s="418"/>
      <c r="TUJ142" s="418"/>
      <c r="TUK142" s="418"/>
      <c r="TUL142" s="418"/>
      <c r="TUM142" s="418"/>
      <c r="TUN142" s="418"/>
      <c r="TUO142" s="418"/>
      <c r="TUP142" s="418"/>
      <c r="TUQ142" s="418"/>
      <c r="TUR142" s="418"/>
      <c r="TUS142" s="418"/>
      <c r="TUT142" s="418"/>
      <c r="TUU142" s="418"/>
      <c r="TUV142" s="418"/>
      <c r="TUW142" s="418"/>
      <c r="TUX142" s="418"/>
      <c r="TUY142" s="418"/>
      <c r="TUZ142" s="418"/>
      <c r="TVA142" s="418"/>
      <c r="TVB142" s="418"/>
      <c r="TVC142" s="418"/>
      <c r="TVD142" s="418"/>
      <c r="TVE142" s="418"/>
      <c r="TVF142" s="418"/>
      <c r="TVG142" s="418"/>
      <c r="TVH142" s="418"/>
      <c r="TVI142" s="418"/>
      <c r="TVJ142" s="418"/>
      <c r="TVK142" s="418"/>
      <c r="TVL142" s="418"/>
      <c r="TVM142" s="418"/>
      <c r="TVN142" s="418"/>
      <c r="TVO142" s="418"/>
      <c r="TVP142" s="418"/>
      <c r="TVQ142" s="418"/>
      <c r="TVR142" s="418"/>
      <c r="TVS142" s="418"/>
      <c r="TVT142" s="418"/>
      <c r="TVU142" s="418"/>
      <c r="TVV142" s="418"/>
      <c r="TVW142" s="418"/>
      <c r="TVX142" s="418"/>
      <c r="TVY142" s="418"/>
      <c r="TVZ142" s="418"/>
      <c r="TWA142" s="418"/>
      <c r="TWB142" s="418"/>
      <c r="TWC142" s="418"/>
      <c r="TWD142" s="418"/>
      <c r="TWE142" s="418"/>
      <c r="TWF142" s="418"/>
      <c r="TWG142" s="418"/>
      <c r="TWH142" s="418"/>
      <c r="TWI142" s="418"/>
      <c r="TWJ142" s="418"/>
      <c r="TWK142" s="418"/>
      <c r="TWL142" s="418"/>
      <c r="TWM142" s="418"/>
      <c r="TWN142" s="418"/>
      <c r="TWO142" s="418"/>
      <c r="TWP142" s="418"/>
      <c r="TWQ142" s="418"/>
      <c r="TWR142" s="418"/>
      <c r="TWS142" s="418"/>
      <c r="TWT142" s="418"/>
      <c r="TWU142" s="418"/>
      <c r="TWV142" s="418"/>
      <c r="TWW142" s="418"/>
      <c r="TWX142" s="418"/>
      <c r="TWY142" s="418"/>
      <c r="TWZ142" s="418"/>
      <c r="TXA142" s="418"/>
      <c r="TXB142" s="418"/>
      <c r="TXC142" s="418"/>
      <c r="TXD142" s="418"/>
      <c r="TXE142" s="418"/>
      <c r="TXF142" s="418"/>
      <c r="TXG142" s="418"/>
      <c r="TXH142" s="418"/>
      <c r="TXI142" s="418"/>
      <c r="TXJ142" s="418"/>
      <c r="TXK142" s="418"/>
      <c r="TXL142" s="418"/>
      <c r="TXM142" s="418"/>
      <c r="TXN142" s="418"/>
      <c r="TXO142" s="418"/>
      <c r="TXP142" s="418"/>
      <c r="TXQ142" s="418"/>
      <c r="TXR142" s="418"/>
      <c r="TXS142" s="418"/>
      <c r="TXT142" s="418"/>
      <c r="TXU142" s="418"/>
      <c r="TXV142" s="418"/>
      <c r="TXW142" s="418"/>
      <c r="TXX142" s="418"/>
      <c r="TXY142" s="418"/>
      <c r="TXZ142" s="418"/>
      <c r="TYA142" s="418"/>
      <c r="TYB142" s="418"/>
      <c r="TYC142" s="418"/>
      <c r="TYD142" s="418"/>
      <c r="TYE142" s="418"/>
      <c r="TYF142" s="418"/>
      <c r="TYG142" s="418"/>
      <c r="TYH142" s="418"/>
      <c r="TYI142" s="418"/>
      <c r="TYJ142" s="418"/>
      <c r="TYK142" s="418"/>
      <c r="TYL142" s="418"/>
      <c r="TYM142" s="418"/>
      <c r="TYN142" s="418"/>
      <c r="TYO142" s="418"/>
      <c r="TYP142" s="418"/>
      <c r="TYQ142" s="418"/>
      <c r="TYR142" s="418"/>
      <c r="TYS142" s="418"/>
      <c r="TYT142" s="418"/>
      <c r="TYU142" s="418"/>
      <c r="TYV142" s="418"/>
      <c r="TYW142" s="418"/>
      <c r="TYX142" s="418"/>
      <c r="TYY142" s="418"/>
      <c r="TYZ142" s="418"/>
      <c r="TZA142" s="418"/>
      <c r="TZB142" s="418"/>
      <c r="TZC142" s="418"/>
      <c r="TZD142" s="418"/>
      <c r="TZE142" s="418"/>
      <c r="TZF142" s="418"/>
      <c r="TZG142" s="418"/>
      <c r="TZH142" s="418"/>
      <c r="TZI142" s="418"/>
      <c r="TZJ142" s="418"/>
      <c r="TZK142" s="418"/>
      <c r="TZL142" s="418"/>
      <c r="TZM142" s="418"/>
      <c r="TZN142" s="418"/>
      <c r="TZO142" s="418"/>
      <c r="TZP142" s="418"/>
      <c r="TZQ142" s="418"/>
      <c r="TZR142" s="418"/>
      <c r="TZS142" s="418"/>
      <c r="TZT142" s="418"/>
      <c r="TZU142" s="418"/>
      <c r="TZV142" s="418"/>
      <c r="TZW142" s="418"/>
      <c r="TZX142" s="418"/>
      <c r="TZY142" s="418"/>
      <c r="TZZ142" s="418"/>
      <c r="UAA142" s="418"/>
      <c r="UAB142" s="418"/>
      <c r="UAC142" s="418"/>
      <c r="UAD142" s="418"/>
      <c r="UAE142" s="418"/>
      <c r="UAF142" s="418"/>
      <c r="UAG142" s="418"/>
      <c r="UAH142" s="418"/>
      <c r="UAI142" s="418"/>
      <c r="UAJ142" s="418"/>
      <c r="UAK142" s="418"/>
      <c r="UAL142" s="418"/>
      <c r="UAM142" s="418"/>
      <c r="UAN142" s="418"/>
      <c r="UAO142" s="418"/>
      <c r="UAP142" s="418"/>
      <c r="UAQ142" s="418"/>
      <c r="UAR142" s="418"/>
      <c r="UAS142" s="418"/>
      <c r="UAT142" s="418"/>
      <c r="UAU142" s="418"/>
      <c r="UAV142" s="418"/>
      <c r="UAW142" s="418"/>
      <c r="UAX142" s="418"/>
      <c r="UAY142" s="418"/>
      <c r="UAZ142" s="418"/>
      <c r="UBA142" s="418"/>
      <c r="UBB142" s="418"/>
      <c r="UBC142" s="418"/>
      <c r="UBD142" s="418"/>
      <c r="UBE142" s="418"/>
      <c r="UBF142" s="418"/>
      <c r="UBG142" s="418"/>
      <c r="UBH142" s="418"/>
      <c r="UBI142" s="418"/>
      <c r="UBJ142" s="418"/>
      <c r="UBK142" s="418"/>
      <c r="UBL142" s="418"/>
      <c r="UBM142" s="418"/>
      <c r="UBN142" s="418"/>
      <c r="UBO142" s="418"/>
      <c r="UBP142" s="418"/>
      <c r="UBQ142" s="418"/>
      <c r="UBR142" s="418"/>
      <c r="UBS142" s="418"/>
      <c r="UBT142" s="418"/>
      <c r="UBU142" s="418"/>
      <c r="UBV142" s="418"/>
      <c r="UBW142" s="418"/>
      <c r="UBX142" s="418"/>
      <c r="UBY142" s="418"/>
      <c r="UBZ142" s="418"/>
      <c r="UCA142" s="418"/>
      <c r="UCB142" s="418"/>
      <c r="UCC142" s="418"/>
      <c r="UCD142" s="418"/>
      <c r="UCE142" s="418"/>
      <c r="UCF142" s="418"/>
      <c r="UCG142" s="418"/>
      <c r="UCH142" s="418"/>
      <c r="UCI142" s="418"/>
      <c r="UCJ142" s="418"/>
      <c r="UCK142" s="418"/>
      <c r="UCL142" s="418"/>
      <c r="UCM142" s="418"/>
      <c r="UCN142" s="418"/>
      <c r="UCO142" s="418"/>
      <c r="UCP142" s="418"/>
      <c r="UCQ142" s="418"/>
      <c r="UCR142" s="418"/>
      <c r="UCS142" s="418"/>
      <c r="UCT142" s="418"/>
      <c r="UCU142" s="418"/>
      <c r="UCV142" s="418"/>
      <c r="UCW142" s="418"/>
      <c r="UCX142" s="418"/>
      <c r="UCY142" s="418"/>
      <c r="UCZ142" s="418"/>
      <c r="UDA142" s="418"/>
      <c r="UDB142" s="418"/>
      <c r="UDC142" s="418"/>
      <c r="UDD142" s="418"/>
      <c r="UDE142" s="418"/>
      <c r="UDF142" s="418"/>
      <c r="UDG142" s="418"/>
      <c r="UDH142" s="418"/>
      <c r="UDI142" s="418"/>
      <c r="UDJ142" s="418"/>
      <c r="UDK142" s="418"/>
      <c r="UDL142" s="418"/>
      <c r="UDM142" s="418"/>
      <c r="UDN142" s="418"/>
      <c r="UDO142" s="418"/>
      <c r="UDP142" s="418"/>
      <c r="UDQ142" s="418"/>
      <c r="UDR142" s="418"/>
      <c r="UDS142" s="418"/>
      <c r="UDT142" s="418"/>
      <c r="UDU142" s="418"/>
      <c r="UDV142" s="418"/>
      <c r="UDW142" s="418"/>
      <c r="UDX142" s="418"/>
      <c r="UDY142" s="418"/>
      <c r="UDZ142" s="418"/>
      <c r="UEA142" s="418"/>
      <c r="UEB142" s="418"/>
      <c r="UEC142" s="418"/>
      <c r="UED142" s="418"/>
      <c r="UEE142" s="418"/>
      <c r="UEF142" s="418"/>
      <c r="UEG142" s="418"/>
      <c r="UEH142" s="418"/>
      <c r="UEI142" s="418"/>
      <c r="UEJ142" s="418"/>
      <c r="UEK142" s="418"/>
      <c r="UEL142" s="418"/>
      <c r="UEM142" s="418"/>
      <c r="UEN142" s="418"/>
      <c r="UEO142" s="418"/>
      <c r="UEP142" s="418"/>
      <c r="UEQ142" s="418"/>
      <c r="UER142" s="418"/>
      <c r="UES142" s="418"/>
      <c r="UET142" s="418"/>
      <c r="UEU142" s="418"/>
      <c r="UEV142" s="418"/>
      <c r="UEW142" s="418"/>
      <c r="UEX142" s="418"/>
      <c r="UEY142" s="418"/>
      <c r="UEZ142" s="418"/>
      <c r="UFA142" s="418"/>
      <c r="UFB142" s="418"/>
      <c r="UFC142" s="418"/>
      <c r="UFD142" s="418"/>
      <c r="UFE142" s="418"/>
      <c r="UFF142" s="418"/>
      <c r="UFG142" s="418"/>
      <c r="UFH142" s="418"/>
      <c r="UFI142" s="418"/>
      <c r="UFJ142" s="418"/>
      <c r="UFK142" s="418"/>
      <c r="UFL142" s="418"/>
      <c r="UFM142" s="418"/>
      <c r="UFN142" s="418"/>
      <c r="UFO142" s="418"/>
      <c r="UFP142" s="418"/>
      <c r="UFQ142" s="418"/>
      <c r="UFR142" s="418"/>
      <c r="UFS142" s="418"/>
      <c r="UFT142" s="418"/>
      <c r="UFU142" s="418"/>
      <c r="UFV142" s="418"/>
      <c r="UFW142" s="418"/>
      <c r="UFX142" s="418"/>
      <c r="UFY142" s="418"/>
      <c r="UFZ142" s="418"/>
      <c r="UGA142" s="418"/>
      <c r="UGB142" s="418"/>
      <c r="UGC142" s="418"/>
      <c r="UGD142" s="418"/>
      <c r="UGE142" s="418"/>
      <c r="UGF142" s="418"/>
      <c r="UGG142" s="418"/>
      <c r="UGH142" s="418"/>
      <c r="UGI142" s="418"/>
      <c r="UGJ142" s="418"/>
      <c r="UGK142" s="418"/>
      <c r="UGL142" s="418"/>
      <c r="UGM142" s="418"/>
      <c r="UGN142" s="418"/>
      <c r="UGO142" s="418"/>
      <c r="UGP142" s="418"/>
      <c r="UGQ142" s="418"/>
      <c r="UGR142" s="418"/>
      <c r="UGS142" s="418"/>
      <c r="UGT142" s="418"/>
      <c r="UGU142" s="418"/>
      <c r="UGV142" s="418"/>
      <c r="UGW142" s="418"/>
      <c r="UGX142" s="418"/>
      <c r="UGY142" s="418"/>
      <c r="UGZ142" s="418"/>
      <c r="UHA142" s="418"/>
      <c r="UHB142" s="418"/>
      <c r="UHC142" s="418"/>
      <c r="UHD142" s="418"/>
      <c r="UHE142" s="418"/>
      <c r="UHF142" s="418"/>
      <c r="UHG142" s="418"/>
      <c r="UHH142" s="418"/>
      <c r="UHI142" s="418"/>
      <c r="UHJ142" s="418"/>
      <c r="UHK142" s="418"/>
      <c r="UHL142" s="418"/>
      <c r="UHM142" s="418"/>
      <c r="UHN142" s="418"/>
      <c r="UHO142" s="418"/>
      <c r="UHP142" s="418"/>
      <c r="UHQ142" s="418"/>
      <c r="UHR142" s="418"/>
      <c r="UHS142" s="418"/>
      <c r="UHT142" s="418"/>
      <c r="UHU142" s="418"/>
      <c r="UHV142" s="418"/>
      <c r="UHW142" s="418"/>
      <c r="UHX142" s="418"/>
      <c r="UHY142" s="418"/>
      <c r="UHZ142" s="418"/>
      <c r="UIA142" s="418"/>
      <c r="UIB142" s="418"/>
      <c r="UIC142" s="418"/>
      <c r="UID142" s="418"/>
      <c r="UIE142" s="418"/>
      <c r="UIF142" s="418"/>
      <c r="UIG142" s="418"/>
      <c r="UIH142" s="418"/>
      <c r="UII142" s="418"/>
      <c r="UIJ142" s="418"/>
      <c r="UIK142" s="418"/>
      <c r="UIL142" s="418"/>
      <c r="UIM142" s="418"/>
      <c r="UIN142" s="418"/>
      <c r="UIO142" s="418"/>
      <c r="UIP142" s="418"/>
      <c r="UIQ142" s="418"/>
      <c r="UIR142" s="418"/>
      <c r="UIS142" s="418"/>
      <c r="UIT142" s="418"/>
      <c r="UIU142" s="418"/>
      <c r="UIV142" s="418"/>
      <c r="UIW142" s="418"/>
      <c r="UIX142" s="418"/>
      <c r="UIY142" s="418"/>
      <c r="UIZ142" s="418"/>
      <c r="UJA142" s="418"/>
      <c r="UJB142" s="418"/>
      <c r="UJC142" s="418"/>
      <c r="UJD142" s="418"/>
      <c r="UJE142" s="418"/>
      <c r="UJF142" s="418"/>
      <c r="UJG142" s="418"/>
      <c r="UJH142" s="418"/>
      <c r="UJI142" s="418"/>
      <c r="UJJ142" s="418"/>
      <c r="UJK142" s="418"/>
      <c r="UJL142" s="418"/>
      <c r="UJM142" s="418"/>
      <c r="UJN142" s="418"/>
      <c r="UJO142" s="418"/>
      <c r="UJP142" s="418"/>
      <c r="UJQ142" s="418"/>
      <c r="UJR142" s="418"/>
      <c r="UJS142" s="418"/>
      <c r="UJT142" s="418"/>
      <c r="UJU142" s="418"/>
      <c r="UJV142" s="418"/>
      <c r="UJW142" s="418"/>
      <c r="UJX142" s="418"/>
      <c r="UJY142" s="418"/>
      <c r="UJZ142" s="418"/>
      <c r="UKA142" s="418"/>
      <c r="UKB142" s="418"/>
      <c r="UKC142" s="418"/>
      <c r="UKD142" s="418"/>
      <c r="UKE142" s="418"/>
      <c r="UKF142" s="418"/>
      <c r="UKG142" s="418"/>
      <c r="UKH142" s="418"/>
      <c r="UKI142" s="418"/>
      <c r="UKJ142" s="418"/>
      <c r="UKK142" s="418"/>
      <c r="UKL142" s="418"/>
      <c r="UKM142" s="418"/>
      <c r="UKN142" s="418"/>
      <c r="UKO142" s="418"/>
      <c r="UKP142" s="418"/>
      <c r="UKQ142" s="418"/>
      <c r="UKR142" s="418"/>
      <c r="UKS142" s="418"/>
      <c r="UKT142" s="418"/>
      <c r="UKU142" s="418"/>
      <c r="UKV142" s="418"/>
      <c r="UKW142" s="418"/>
      <c r="UKX142" s="418"/>
      <c r="UKY142" s="418"/>
      <c r="UKZ142" s="418"/>
      <c r="ULA142" s="418"/>
      <c r="ULB142" s="418"/>
      <c r="ULC142" s="418"/>
      <c r="ULD142" s="418"/>
      <c r="ULE142" s="418"/>
      <c r="ULF142" s="418"/>
      <c r="ULG142" s="418"/>
      <c r="ULH142" s="418"/>
      <c r="ULI142" s="418"/>
      <c r="ULJ142" s="418"/>
      <c r="ULK142" s="418"/>
      <c r="ULL142" s="418"/>
      <c r="ULM142" s="418"/>
      <c r="ULN142" s="418"/>
      <c r="ULO142" s="418"/>
      <c r="ULP142" s="418"/>
      <c r="ULQ142" s="418"/>
      <c r="ULR142" s="418"/>
      <c r="ULS142" s="418"/>
      <c r="ULT142" s="418"/>
      <c r="ULU142" s="418"/>
      <c r="ULV142" s="418"/>
      <c r="ULW142" s="418"/>
      <c r="ULX142" s="418"/>
      <c r="ULY142" s="418"/>
      <c r="ULZ142" s="418"/>
      <c r="UMA142" s="418"/>
      <c r="UMB142" s="418"/>
      <c r="UMC142" s="418"/>
      <c r="UMD142" s="418"/>
      <c r="UME142" s="418"/>
      <c r="UMF142" s="418"/>
      <c r="UMG142" s="418"/>
      <c r="UMH142" s="418"/>
      <c r="UMI142" s="418"/>
      <c r="UMJ142" s="418"/>
      <c r="UMK142" s="418"/>
      <c r="UML142" s="418"/>
      <c r="UMM142" s="418"/>
      <c r="UMN142" s="418"/>
      <c r="UMO142" s="418"/>
      <c r="UMP142" s="418"/>
      <c r="UMQ142" s="418"/>
      <c r="UMR142" s="418"/>
      <c r="UMS142" s="418"/>
      <c r="UMT142" s="418"/>
      <c r="UMU142" s="418"/>
      <c r="UMV142" s="418"/>
      <c r="UMW142" s="418"/>
      <c r="UMX142" s="418"/>
      <c r="UMY142" s="418"/>
      <c r="UMZ142" s="418"/>
      <c r="UNA142" s="418"/>
      <c r="UNB142" s="418"/>
      <c r="UNC142" s="418"/>
      <c r="UND142" s="418"/>
      <c r="UNE142" s="418"/>
      <c r="UNF142" s="418"/>
      <c r="UNG142" s="418"/>
      <c r="UNH142" s="418"/>
      <c r="UNI142" s="418"/>
      <c r="UNJ142" s="418"/>
      <c r="UNK142" s="418"/>
      <c r="UNL142" s="418"/>
      <c r="UNM142" s="418"/>
      <c r="UNN142" s="418"/>
      <c r="UNO142" s="418"/>
      <c r="UNP142" s="418"/>
      <c r="UNQ142" s="418"/>
      <c r="UNR142" s="418"/>
      <c r="UNS142" s="418"/>
      <c r="UNT142" s="418"/>
      <c r="UNU142" s="418"/>
      <c r="UNV142" s="418"/>
      <c r="UNW142" s="418"/>
      <c r="UNX142" s="418"/>
      <c r="UNY142" s="418"/>
      <c r="UNZ142" s="418"/>
      <c r="UOA142" s="418"/>
      <c r="UOB142" s="418"/>
      <c r="UOC142" s="418"/>
      <c r="UOD142" s="418"/>
      <c r="UOE142" s="418"/>
      <c r="UOF142" s="418"/>
      <c r="UOG142" s="418"/>
      <c r="UOH142" s="418"/>
      <c r="UOI142" s="418"/>
      <c r="UOJ142" s="418"/>
      <c r="UOK142" s="418"/>
      <c r="UOL142" s="418"/>
      <c r="UOM142" s="418"/>
      <c r="UON142" s="418"/>
      <c r="UOO142" s="418"/>
      <c r="UOP142" s="418"/>
      <c r="UOQ142" s="418"/>
      <c r="UOR142" s="418"/>
      <c r="UOS142" s="418"/>
      <c r="UOT142" s="418"/>
      <c r="UOU142" s="418"/>
      <c r="UOV142" s="418"/>
      <c r="UOW142" s="418"/>
      <c r="UOX142" s="418"/>
      <c r="UOY142" s="418"/>
      <c r="UOZ142" s="418"/>
      <c r="UPA142" s="418"/>
      <c r="UPB142" s="418"/>
      <c r="UPC142" s="418"/>
      <c r="UPD142" s="418"/>
      <c r="UPE142" s="418"/>
      <c r="UPF142" s="418"/>
      <c r="UPG142" s="418"/>
      <c r="UPH142" s="418"/>
      <c r="UPI142" s="418"/>
      <c r="UPJ142" s="418"/>
      <c r="UPK142" s="418"/>
      <c r="UPL142" s="418"/>
      <c r="UPM142" s="418"/>
      <c r="UPN142" s="418"/>
      <c r="UPO142" s="418"/>
      <c r="UPP142" s="418"/>
      <c r="UPQ142" s="418"/>
      <c r="UPR142" s="418"/>
      <c r="UPS142" s="418"/>
      <c r="UPT142" s="418"/>
      <c r="UPU142" s="418"/>
      <c r="UPV142" s="418"/>
      <c r="UPW142" s="418"/>
      <c r="UPX142" s="418"/>
      <c r="UPY142" s="418"/>
      <c r="UPZ142" s="418"/>
      <c r="UQA142" s="418"/>
      <c r="UQB142" s="418"/>
      <c r="UQC142" s="418"/>
      <c r="UQD142" s="418"/>
      <c r="UQE142" s="418"/>
      <c r="UQF142" s="418"/>
      <c r="UQG142" s="418"/>
      <c r="UQH142" s="418"/>
      <c r="UQI142" s="418"/>
      <c r="UQJ142" s="418"/>
      <c r="UQK142" s="418"/>
      <c r="UQL142" s="418"/>
      <c r="UQM142" s="418"/>
      <c r="UQN142" s="418"/>
      <c r="UQO142" s="418"/>
      <c r="UQP142" s="418"/>
      <c r="UQQ142" s="418"/>
      <c r="UQR142" s="418"/>
      <c r="UQS142" s="418"/>
      <c r="UQT142" s="418"/>
      <c r="UQU142" s="418"/>
      <c r="UQV142" s="418"/>
      <c r="UQW142" s="418"/>
      <c r="UQX142" s="418"/>
      <c r="UQY142" s="418"/>
      <c r="UQZ142" s="418"/>
      <c r="URA142" s="418"/>
      <c r="URB142" s="418"/>
      <c r="URC142" s="418"/>
      <c r="URD142" s="418"/>
      <c r="URE142" s="418"/>
      <c r="URF142" s="418"/>
      <c r="URG142" s="418"/>
      <c r="URH142" s="418"/>
      <c r="URI142" s="418"/>
      <c r="URJ142" s="418"/>
      <c r="URK142" s="418"/>
      <c r="URL142" s="418"/>
      <c r="URM142" s="418"/>
      <c r="URN142" s="418"/>
      <c r="URO142" s="418"/>
      <c r="URP142" s="418"/>
      <c r="URQ142" s="418"/>
      <c r="URR142" s="418"/>
      <c r="URS142" s="418"/>
      <c r="URT142" s="418"/>
      <c r="URU142" s="418"/>
      <c r="URV142" s="418"/>
      <c r="URW142" s="418"/>
      <c r="URX142" s="418"/>
      <c r="URY142" s="418"/>
      <c r="URZ142" s="418"/>
      <c r="USA142" s="418"/>
      <c r="USB142" s="418"/>
      <c r="USC142" s="418"/>
      <c r="USD142" s="418"/>
      <c r="USE142" s="418"/>
      <c r="USF142" s="418"/>
      <c r="USG142" s="418"/>
      <c r="USH142" s="418"/>
      <c r="USI142" s="418"/>
      <c r="USJ142" s="418"/>
      <c r="USK142" s="418"/>
      <c r="USL142" s="418"/>
      <c r="USM142" s="418"/>
      <c r="USN142" s="418"/>
      <c r="USO142" s="418"/>
      <c r="USP142" s="418"/>
      <c r="USQ142" s="418"/>
      <c r="USR142" s="418"/>
      <c r="USS142" s="418"/>
      <c r="UST142" s="418"/>
      <c r="USU142" s="418"/>
      <c r="USV142" s="418"/>
      <c r="USW142" s="418"/>
      <c r="USX142" s="418"/>
      <c r="USY142" s="418"/>
      <c r="USZ142" s="418"/>
      <c r="UTA142" s="418"/>
      <c r="UTB142" s="418"/>
      <c r="UTC142" s="418"/>
      <c r="UTD142" s="418"/>
      <c r="UTE142" s="418"/>
      <c r="UTF142" s="418"/>
      <c r="UTG142" s="418"/>
      <c r="UTH142" s="418"/>
      <c r="UTI142" s="418"/>
      <c r="UTJ142" s="418"/>
      <c r="UTK142" s="418"/>
      <c r="UTL142" s="418"/>
      <c r="UTM142" s="418"/>
      <c r="UTN142" s="418"/>
      <c r="UTO142" s="418"/>
      <c r="UTP142" s="418"/>
      <c r="UTQ142" s="418"/>
      <c r="UTR142" s="418"/>
      <c r="UTS142" s="418"/>
      <c r="UTT142" s="418"/>
      <c r="UTU142" s="418"/>
      <c r="UTV142" s="418"/>
      <c r="UTW142" s="418"/>
      <c r="UTX142" s="418"/>
      <c r="UTY142" s="418"/>
      <c r="UTZ142" s="418"/>
      <c r="UUA142" s="418"/>
      <c r="UUB142" s="418"/>
      <c r="UUC142" s="418"/>
      <c r="UUD142" s="418"/>
      <c r="UUE142" s="418"/>
      <c r="UUF142" s="418"/>
      <c r="UUG142" s="418"/>
      <c r="UUH142" s="418"/>
      <c r="UUI142" s="418"/>
      <c r="UUJ142" s="418"/>
      <c r="UUK142" s="418"/>
      <c r="UUL142" s="418"/>
      <c r="UUM142" s="418"/>
      <c r="UUN142" s="418"/>
      <c r="UUO142" s="418"/>
      <c r="UUP142" s="418"/>
      <c r="UUQ142" s="418"/>
      <c r="UUR142" s="418"/>
      <c r="UUS142" s="418"/>
      <c r="UUT142" s="418"/>
      <c r="UUU142" s="418"/>
      <c r="UUV142" s="418"/>
      <c r="UUW142" s="418"/>
      <c r="UUX142" s="418"/>
      <c r="UUY142" s="418"/>
      <c r="UUZ142" s="418"/>
      <c r="UVA142" s="418"/>
      <c r="UVB142" s="418"/>
      <c r="UVC142" s="418"/>
      <c r="UVD142" s="418"/>
      <c r="UVE142" s="418"/>
      <c r="UVF142" s="418"/>
      <c r="UVG142" s="418"/>
      <c r="UVH142" s="418"/>
      <c r="UVI142" s="418"/>
      <c r="UVJ142" s="418"/>
      <c r="UVK142" s="418"/>
      <c r="UVL142" s="418"/>
      <c r="UVM142" s="418"/>
      <c r="UVN142" s="418"/>
      <c r="UVO142" s="418"/>
      <c r="UVP142" s="418"/>
      <c r="UVQ142" s="418"/>
      <c r="UVR142" s="418"/>
      <c r="UVS142" s="418"/>
      <c r="UVT142" s="418"/>
      <c r="UVU142" s="418"/>
      <c r="UVV142" s="418"/>
      <c r="UVW142" s="418"/>
      <c r="UVX142" s="418"/>
      <c r="UVY142" s="418"/>
      <c r="UVZ142" s="418"/>
      <c r="UWA142" s="418"/>
      <c r="UWB142" s="418"/>
      <c r="UWC142" s="418"/>
      <c r="UWD142" s="418"/>
      <c r="UWE142" s="418"/>
      <c r="UWF142" s="418"/>
      <c r="UWG142" s="418"/>
      <c r="UWH142" s="418"/>
      <c r="UWI142" s="418"/>
      <c r="UWJ142" s="418"/>
      <c r="UWK142" s="418"/>
      <c r="UWL142" s="418"/>
      <c r="UWM142" s="418"/>
      <c r="UWN142" s="418"/>
      <c r="UWO142" s="418"/>
      <c r="UWP142" s="418"/>
      <c r="UWQ142" s="418"/>
      <c r="UWR142" s="418"/>
      <c r="UWS142" s="418"/>
      <c r="UWT142" s="418"/>
      <c r="UWU142" s="418"/>
      <c r="UWV142" s="418"/>
      <c r="UWW142" s="418"/>
      <c r="UWX142" s="418"/>
      <c r="UWY142" s="418"/>
      <c r="UWZ142" s="418"/>
      <c r="UXA142" s="418"/>
      <c r="UXB142" s="418"/>
      <c r="UXC142" s="418"/>
      <c r="UXD142" s="418"/>
      <c r="UXE142" s="418"/>
      <c r="UXF142" s="418"/>
      <c r="UXG142" s="418"/>
      <c r="UXH142" s="418"/>
      <c r="UXI142" s="418"/>
      <c r="UXJ142" s="418"/>
      <c r="UXK142" s="418"/>
      <c r="UXL142" s="418"/>
      <c r="UXM142" s="418"/>
      <c r="UXN142" s="418"/>
      <c r="UXO142" s="418"/>
      <c r="UXP142" s="418"/>
      <c r="UXQ142" s="418"/>
      <c r="UXR142" s="418"/>
      <c r="UXS142" s="418"/>
      <c r="UXT142" s="418"/>
      <c r="UXU142" s="418"/>
      <c r="UXV142" s="418"/>
      <c r="UXW142" s="418"/>
      <c r="UXX142" s="418"/>
      <c r="UXY142" s="418"/>
      <c r="UXZ142" s="418"/>
      <c r="UYA142" s="418"/>
      <c r="UYB142" s="418"/>
      <c r="UYC142" s="418"/>
      <c r="UYD142" s="418"/>
      <c r="UYE142" s="418"/>
      <c r="UYF142" s="418"/>
      <c r="UYG142" s="418"/>
      <c r="UYH142" s="418"/>
      <c r="UYI142" s="418"/>
      <c r="UYJ142" s="418"/>
      <c r="UYK142" s="418"/>
      <c r="UYL142" s="418"/>
      <c r="UYM142" s="418"/>
      <c r="UYN142" s="418"/>
      <c r="UYO142" s="418"/>
      <c r="UYP142" s="418"/>
      <c r="UYQ142" s="418"/>
      <c r="UYR142" s="418"/>
      <c r="UYS142" s="418"/>
      <c r="UYT142" s="418"/>
      <c r="UYU142" s="418"/>
      <c r="UYV142" s="418"/>
      <c r="UYW142" s="418"/>
      <c r="UYX142" s="418"/>
      <c r="UYY142" s="418"/>
      <c r="UYZ142" s="418"/>
      <c r="UZA142" s="418"/>
      <c r="UZB142" s="418"/>
      <c r="UZC142" s="418"/>
      <c r="UZD142" s="418"/>
      <c r="UZE142" s="418"/>
      <c r="UZF142" s="418"/>
      <c r="UZG142" s="418"/>
      <c r="UZH142" s="418"/>
      <c r="UZI142" s="418"/>
      <c r="UZJ142" s="418"/>
      <c r="UZK142" s="418"/>
      <c r="UZL142" s="418"/>
      <c r="UZM142" s="418"/>
      <c r="UZN142" s="418"/>
      <c r="UZO142" s="418"/>
      <c r="UZP142" s="418"/>
      <c r="UZQ142" s="418"/>
      <c r="UZR142" s="418"/>
      <c r="UZS142" s="418"/>
      <c r="UZT142" s="418"/>
      <c r="UZU142" s="418"/>
      <c r="UZV142" s="418"/>
      <c r="UZW142" s="418"/>
      <c r="UZX142" s="418"/>
      <c r="UZY142" s="418"/>
      <c r="UZZ142" s="418"/>
      <c r="VAA142" s="418"/>
      <c r="VAB142" s="418"/>
      <c r="VAC142" s="418"/>
      <c r="VAD142" s="418"/>
      <c r="VAE142" s="418"/>
      <c r="VAF142" s="418"/>
      <c r="VAG142" s="418"/>
      <c r="VAH142" s="418"/>
      <c r="VAI142" s="418"/>
      <c r="VAJ142" s="418"/>
      <c r="VAK142" s="418"/>
      <c r="VAL142" s="418"/>
      <c r="VAM142" s="418"/>
      <c r="VAN142" s="418"/>
      <c r="VAO142" s="418"/>
      <c r="VAP142" s="418"/>
      <c r="VAQ142" s="418"/>
      <c r="VAR142" s="418"/>
      <c r="VAS142" s="418"/>
      <c r="VAT142" s="418"/>
      <c r="VAU142" s="418"/>
      <c r="VAV142" s="418"/>
      <c r="VAW142" s="418"/>
      <c r="VAX142" s="418"/>
      <c r="VAY142" s="418"/>
      <c r="VAZ142" s="418"/>
      <c r="VBA142" s="418"/>
      <c r="VBB142" s="418"/>
      <c r="VBC142" s="418"/>
      <c r="VBD142" s="418"/>
      <c r="VBE142" s="418"/>
      <c r="VBF142" s="418"/>
      <c r="VBG142" s="418"/>
      <c r="VBH142" s="418"/>
      <c r="VBI142" s="418"/>
      <c r="VBJ142" s="418"/>
      <c r="VBK142" s="418"/>
      <c r="VBL142" s="418"/>
      <c r="VBM142" s="418"/>
      <c r="VBN142" s="418"/>
      <c r="VBO142" s="418"/>
      <c r="VBP142" s="418"/>
      <c r="VBQ142" s="418"/>
      <c r="VBR142" s="418"/>
      <c r="VBS142" s="418"/>
      <c r="VBT142" s="418"/>
      <c r="VBU142" s="418"/>
      <c r="VBV142" s="418"/>
      <c r="VBW142" s="418"/>
      <c r="VBX142" s="418"/>
      <c r="VBY142" s="418"/>
      <c r="VBZ142" s="418"/>
      <c r="VCA142" s="418"/>
      <c r="VCB142" s="418"/>
      <c r="VCC142" s="418"/>
      <c r="VCD142" s="418"/>
      <c r="VCE142" s="418"/>
      <c r="VCF142" s="418"/>
      <c r="VCG142" s="418"/>
      <c r="VCH142" s="418"/>
      <c r="VCI142" s="418"/>
      <c r="VCJ142" s="418"/>
      <c r="VCK142" s="418"/>
      <c r="VCL142" s="418"/>
      <c r="VCM142" s="418"/>
      <c r="VCN142" s="418"/>
      <c r="VCO142" s="418"/>
      <c r="VCP142" s="418"/>
      <c r="VCQ142" s="418"/>
      <c r="VCR142" s="418"/>
      <c r="VCS142" s="418"/>
      <c r="VCT142" s="418"/>
      <c r="VCU142" s="418"/>
      <c r="VCV142" s="418"/>
      <c r="VCW142" s="418"/>
      <c r="VCX142" s="418"/>
      <c r="VCY142" s="418"/>
      <c r="VCZ142" s="418"/>
      <c r="VDA142" s="418"/>
      <c r="VDB142" s="418"/>
      <c r="VDC142" s="418"/>
      <c r="VDD142" s="418"/>
      <c r="VDE142" s="418"/>
      <c r="VDF142" s="418"/>
      <c r="VDG142" s="418"/>
      <c r="VDH142" s="418"/>
      <c r="VDI142" s="418"/>
      <c r="VDJ142" s="418"/>
      <c r="VDK142" s="418"/>
      <c r="VDL142" s="418"/>
      <c r="VDM142" s="418"/>
      <c r="VDN142" s="418"/>
      <c r="VDO142" s="418"/>
      <c r="VDP142" s="418"/>
      <c r="VDQ142" s="418"/>
      <c r="VDR142" s="418"/>
      <c r="VDS142" s="418"/>
      <c r="VDT142" s="418"/>
      <c r="VDU142" s="418"/>
      <c r="VDV142" s="418"/>
      <c r="VDW142" s="418"/>
      <c r="VDX142" s="418"/>
      <c r="VDY142" s="418"/>
      <c r="VDZ142" s="418"/>
      <c r="VEA142" s="418"/>
      <c r="VEB142" s="418"/>
      <c r="VEC142" s="418"/>
      <c r="VED142" s="418"/>
      <c r="VEE142" s="418"/>
      <c r="VEF142" s="418"/>
      <c r="VEG142" s="418"/>
      <c r="VEH142" s="418"/>
      <c r="VEI142" s="418"/>
      <c r="VEJ142" s="418"/>
      <c r="VEK142" s="418"/>
      <c r="VEL142" s="418"/>
      <c r="VEM142" s="418"/>
      <c r="VEN142" s="418"/>
      <c r="VEO142" s="418"/>
      <c r="VEP142" s="418"/>
      <c r="VEQ142" s="418"/>
      <c r="VER142" s="418"/>
      <c r="VES142" s="418"/>
      <c r="VET142" s="418"/>
      <c r="VEU142" s="418"/>
      <c r="VEV142" s="418"/>
      <c r="VEW142" s="418"/>
      <c r="VEX142" s="418"/>
      <c r="VEY142" s="418"/>
      <c r="VEZ142" s="418"/>
      <c r="VFA142" s="418"/>
      <c r="VFB142" s="418"/>
      <c r="VFC142" s="418"/>
      <c r="VFD142" s="418"/>
      <c r="VFE142" s="418"/>
      <c r="VFF142" s="418"/>
      <c r="VFG142" s="418"/>
      <c r="VFH142" s="418"/>
      <c r="VFI142" s="418"/>
      <c r="VFJ142" s="418"/>
      <c r="VFK142" s="418"/>
      <c r="VFL142" s="418"/>
      <c r="VFM142" s="418"/>
      <c r="VFN142" s="418"/>
      <c r="VFO142" s="418"/>
      <c r="VFP142" s="418"/>
      <c r="VFQ142" s="418"/>
      <c r="VFR142" s="418"/>
      <c r="VFS142" s="418"/>
      <c r="VFT142" s="418"/>
      <c r="VFU142" s="418"/>
      <c r="VFV142" s="418"/>
      <c r="VFW142" s="418"/>
      <c r="VFX142" s="418"/>
      <c r="VFY142" s="418"/>
      <c r="VFZ142" s="418"/>
      <c r="VGA142" s="418"/>
      <c r="VGB142" s="418"/>
      <c r="VGC142" s="418"/>
      <c r="VGD142" s="418"/>
      <c r="VGE142" s="418"/>
      <c r="VGF142" s="418"/>
      <c r="VGG142" s="418"/>
      <c r="VGH142" s="418"/>
      <c r="VGI142" s="418"/>
      <c r="VGJ142" s="418"/>
      <c r="VGK142" s="418"/>
      <c r="VGL142" s="418"/>
      <c r="VGM142" s="418"/>
      <c r="VGN142" s="418"/>
      <c r="VGO142" s="418"/>
      <c r="VGP142" s="418"/>
      <c r="VGQ142" s="418"/>
      <c r="VGR142" s="418"/>
      <c r="VGS142" s="418"/>
      <c r="VGT142" s="418"/>
      <c r="VGU142" s="418"/>
      <c r="VGV142" s="418"/>
      <c r="VGW142" s="418"/>
      <c r="VGX142" s="418"/>
      <c r="VGY142" s="418"/>
      <c r="VGZ142" s="418"/>
      <c r="VHA142" s="418"/>
      <c r="VHB142" s="418"/>
      <c r="VHC142" s="418"/>
      <c r="VHD142" s="418"/>
      <c r="VHE142" s="418"/>
      <c r="VHF142" s="418"/>
      <c r="VHG142" s="418"/>
      <c r="VHH142" s="418"/>
      <c r="VHI142" s="418"/>
      <c r="VHJ142" s="418"/>
      <c r="VHK142" s="418"/>
      <c r="VHL142" s="418"/>
      <c r="VHM142" s="418"/>
      <c r="VHN142" s="418"/>
      <c r="VHO142" s="418"/>
      <c r="VHP142" s="418"/>
      <c r="VHQ142" s="418"/>
      <c r="VHR142" s="418"/>
      <c r="VHS142" s="418"/>
      <c r="VHT142" s="418"/>
      <c r="VHU142" s="418"/>
      <c r="VHV142" s="418"/>
      <c r="VHW142" s="418"/>
      <c r="VHX142" s="418"/>
      <c r="VHY142" s="418"/>
      <c r="VHZ142" s="418"/>
      <c r="VIA142" s="418"/>
      <c r="VIB142" s="418"/>
      <c r="VIC142" s="418"/>
      <c r="VID142" s="418"/>
      <c r="VIE142" s="418"/>
      <c r="VIF142" s="418"/>
      <c r="VIG142" s="418"/>
      <c r="VIH142" s="418"/>
      <c r="VII142" s="418"/>
      <c r="VIJ142" s="418"/>
      <c r="VIK142" s="418"/>
      <c r="VIL142" s="418"/>
      <c r="VIM142" s="418"/>
      <c r="VIN142" s="418"/>
      <c r="VIO142" s="418"/>
      <c r="VIP142" s="418"/>
      <c r="VIQ142" s="418"/>
      <c r="VIR142" s="418"/>
      <c r="VIS142" s="418"/>
      <c r="VIT142" s="418"/>
      <c r="VIU142" s="418"/>
      <c r="VIV142" s="418"/>
      <c r="VIW142" s="418"/>
      <c r="VIX142" s="418"/>
      <c r="VIY142" s="418"/>
      <c r="VIZ142" s="418"/>
      <c r="VJA142" s="418"/>
      <c r="VJB142" s="418"/>
      <c r="VJC142" s="418"/>
      <c r="VJD142" s="418"/>
      <c r="VJE142" s="418"/>
      <c r="VJF142" s="418"/>
      <c r="VJG142" s="418"/>
      <c r="VJH142" s="418"/>
      <c r="VJI142" s="418"/>
      <c r="VJJ142" s="418"/>
      <c r="VJK142" s="418"/>
      <c r="VJL142" s="418"/>
      <c r="VJM142" s="418"/>
      <c r="VJN142" s="418"/>
      <c r="VJO142" s="418"/>
      <c r="VJP142" s="418"/>
      <c r="VJQ142" s="418"/>
      <c r="VJR142" s="418"/>
      <c r="VJS142" s="418"/>
      <c r="VJT142" s="418"/>
      <c r="VJU142" s="418"/>
      <c r="VJV142" s="418"/>
      <c r="VJW142" s="418"/>
      <c r="VJX142" s="418"/>
      <c r="VJY142" s="418"/>
      <c r="VJZ142" s="418"/>
      <c r="VKA142" s="418"/>
      <c r="VKB142" s="418"/>
      <c r="VKC142" s="418"/>
      <c r="VKD142" s="418"/>
      <c r="VKE142" s="418"/>
      <c r="VKF142" s="418"/>
      <c r="VKG142" s="418"/>
      <c r="VKH142" s="418"/>
      <c r="VKI142" s="418"/>
      <c r="VKJ142" s="418"/>
      <c r="VKK142" s="418"/>
      <c r="VKL142" s="418"/>
      <c r="VKM142" s="418"/>
      <c r="VKN142" s="418"/>
      <c r="VKO142" s="418"/>
      <c r="VKP142" s="418"/>
      <c r="VKQ142" s="418"/>
      <c r="VKR142" s="418"/>
      <c r="VKS142" s="418"/>
      <c r="VKT142" s="418"/>
      <c r="VKU142" s="418"/>
      <c r="VKV142" s="418"/>
      <c r="VKW142" s="418"/>
      <c r="VKX142" s="418"/>
      <c r="VKY142" s="418"/>
      <c r="VKZ142" s="418"/>
      <c r="VLA142" s="418"/>
      <c r="VLB142" s="418"/>
      <c r="VLC142" s="418"/>
      <c r="VLD142" s="418"/>
      <c r="VLE142" s="418"/>
      <c r="VLF142" s="418"/>
      <c r="VLG142" s="418"/>
      <c r="VLH142" s="418"/>
      <c r="VLI142" s="418"/>
      <c r="VLJ142" s="418"/>
      <c r="VLK142" s="418"/>
      <c r="VLL142" s="418"/>
      <c r="VLM142" s="418"/>
      <c r="VLN142" s="418"/>
      <c r="VLO142" s="418"/>
      <c r="VLP142" s="418"/>
      <c r="VLQ142" s="418"/>
      <c r="VLR142" s="418"/>
      <c r="VLS142" s="418"/>
      <c r="VLT142" s="418"/>
      <c r="VLU142" s="418"/>
      <c r="VLV142" s="418"/>
      <c r="VLW142" s="418"/>
      <c r="VLX142" s="418"/>
      <c r="VLY142" s="418"/>
      <c r="VLZ142" s="418"/>
      <c r="VMA142" s="418"/>
      <c r="VMB142" s="418"/>
      <c r="VMC142" s="418"/>
      <c r="VMD142" s="418"/>
      <c r="VME142" s="418"/>
      <c r="VMF142" s="418"/>
      <c r="VMG142" s="418"/>
      <c r="VMH142" s="418"/>
      <c r="VMI142" s="418"/>
      <c r="VMJ142" s="418"/>
      <c r="VMK142" s="418"/>
      <c r="VML142" s="418"/>
      <c r="VMM142" s="418"/>
      <c r="VMN142" s="418"/>
      <c r="VMO142" s="418"/>
      <c r="VMP142" s="418"/>
      <c r="VMQ142" s="418"/>
      <c r="VMR142" s="418"/>
      <c r="VMS142" s="418"/>
      <c r="VMT142" s="418"/>
      <c r="VMU142" s="418"/>
      <c r="VMV142" s="418"/>
      <c r="VMW142" s="418"/>
      <c r="VMX142" s="418"/>
      <c r="VMY142" s="418"/>
      <c r="VMZ142" s="418"/>
      <c r="VNA142" s="418"/>
      <c r="VNB142" s="418"/>
      <c r="VNC142" s="418"/>
      <c r="VND142" s="418"/>
      <c r="VNE142" s="418"/>
      <c r="VNF142" s="418"/>
      <c r="VNG142" s="418"/>
      <c r="VNH142" s="418"/>
      <c r="VNI142" s="418"/>
      <c r="VNJ142" s="418"/>
      <c r="VNK142" s="418"/>
      <c r="VNL142" s="418"/>
      <c r="VNM142" s="418"/>
      <c r="VNN142" s="418"/>
      <c r="VNO142" s="418"/>
      <c r="VNP142" s="418"/>
      <c r="VNQ142" s="418"/>
      <c r="VNR142" s="418"/>
      <c r="VNS142" s="418"/>
      <c r="VNT142" s="418"/>
      <c r="VNU142" s="418"/>
      <c r="VNV142" s="418"/>
      <c r="VNW142" s="418"/>
      <c r="VNX142" s="418"/>
      <c r="VNY142" s="418"/>
      <c r="VNZ142" s="418"/>
      <c r="VOA142" s="418"/>
      <c r="VOB142" s="418"/>
      <c r="VOC142" s="418"/>
      <c r="VOD142" s="418"/>
      <c r="VOE142" s="418"/>
      <c r="VOF142" s="418"/>
      <c r="VOG142" s="418"/>
      <c r="VOH142" s="418"/>
      <c r="VOI142" s="418"/>
      <c r="VOJ142" s="418"/>
      <c r="VOK142" s="418"/>
      <c r="VOL142" s="418"/>
      <c r="VOM142" s="418"/>
      <c r="VON142" s="418"/>
      <c r="VOO142" s="418"/>
      <c r="VOP142" s="418"/>
      <c r="VOQ142" s="418"/>
      <c r="VOR142" s="418"/>
      <c r="VOS142" s="418"/>
      <c r="VOT142" s="418"/>
      <c r="VOU142" s="418"/>
      <c r="VOV142" s="418"/>
      <c r="VOW142" s="418"/>
      <c r="VOX142" s="418"/>
      <c r="VOY142" s="418"/>
      <c r="VOZ142" s="418"/>
      <c r="VPA142" s="418"/>
      <c r="VPB142" s="418"/>
      <c r="VPC142" s="418"/>
      <c r="VPD142" s="418"/>
      <c r="VPE142" s="418"/>
      <c r="VPF142" s="418"/>
      <c r="VPG142" s="418"/>
      <c r="VPH142" s="418"/>
      <c r="VPI142" s="418"/>
      <c r="VPJ142" s="418"/>
      <c r="VPK142" s="418"/>
      <c r="VPL142" s="418"/>
      <c r="VPM142" s="418"/>
      <c r="VPN142" s="418"/>
      <c r="VPO142" s="418"/>
      <c r="VPP142" s="418"/>
      <c r="VPQ142" s="418"/>
      <c r="VPR142" s="418"/>
      <c r="VPS142" s="418"/>
      <c r="VPT142" s="418"/>
      <c r="VPU142" s="418"/>
      <c r="VPV142" s="418"/>
      <c r="VPW142" s="418"/>
      <c r="VPX142" s="418"/>
      <c r="VPY142" s="418"/>
      <c r="VPZ142" s="418"/>
      <c r="VQA142" s="418"/>
      <c r="VQB142" s="418"/>
      <c r="VQC142" s="418"/>
      <c r="VQD142" s="418"/>
      <c r="VQE142" s="418"/>
      <c r="VQF142" s="418"/>
      <c r="VQG142" s="418"/>
      <c r="VQH142" s="418"/>
      <c r="VQI142" s="418"/>
      <c r="VQJ142" s="418"/>
      <c r="VQK142" s="418"/>
      <c r="VQL142" s="418"/>
      <c r="VQM142" s="418"/>
      <c r="VQN142" s="418"/>
      <c r="VQO142" s="418"/>
      <c r="VQP142" s="418"/>
      <c r="VQQ142" s="418"/>
      <c r="VQR142" s="418"/>
      <c r="VQS142" s="418"/>
      <c r="VQT142" s="418"/>
      <c r="VQU142" s="418"/>
      <c r="VQV142" s="418"/>
      <c r="VQW142" s="418"/>
      <c r="VQX142" s="418"/>
      <c r="VQY142" s="418"/>
      <c r="VQZ142" s="418"/>
      <c r="VRA142" s="418"/>
      <c r="VRB142" s="418"/>
      <c r="VRC142" s="418"/>
      <c r="VRD142" s="418"/>
      <c r="VRE142" s="418"/>
      <c r="VRF142" s="418"/>
      <c r="VRG142" s="418"/>
      <c r="VRH142" s="418"/>
      <c r="VRI142" s="418"/>
      <c r="VRJ142" s="418"/>
      <c r="VRK142" s="418"/>
      <c r="VRL142" s="418"/>
      <c r="VRM142" s="418"/>
      <c r="VRN142" s="418"/>
      <c r="VRO142" s="418"/>
      <c r="VRP142" s="418"/>
      <c r="VRQ142" s="418"/>
      <c r="VRR142" s="418"/>
      <c r="VRS142" s="418"/>
      <c r="VRT142" s="418"/>
      <c r="VRU142" s="418"/>
      <c r="VRV142" s="418"/>
      <c r="VRW142" s="418"/>
      <c r="VRX142" s="418"/>
      <c r="VRY142" s="418"/>
      <c r="VRZ142" s="418"/>
      <c r="VSA142" s="418"/>
      <c r="VSB142" s="418"/>
      <c r="VSC142" s="418"/>
      <c r="VSD142" s="418"/>
      <c r="VSE142" s="418"/>
      <c r="VSF142" s="418"/>
      <c r="VSG142" s="418"/>
      <c r="VSH142" s="418"/>
      <c r="VSI142" s="418"/>
      <c r="VSJ142" s="418"/>
      <c r="VSK142" s="418"/>
      <c r="VSL142" s="418"/>
      <c r="VSM142" s="418"/>
      <c r="VSN142" s="418"/>
      <c r="VSO142" s="418"/>
      <c r="VSP142" s="418"/>
      <c r="VSQ142" s="418"/>
      <c r="VSR142" s="418"/>
      <c r="VSS142" s="418"/>
      <c r="VST142" s="418"/>
      <c r="VSU142" s="418"/>
      <c r="VSV142" s="418"/>
      <c r="VSW142" s="418"/>
      <c r="VSX142" s="418"/>
      <c r="VSY142" s="418"/>
      <c r="VSZ142" s="418"/>
      <c r="VTA142" s="418"/>
      <c r="VTB142" s="418"/>
      <c r="VTC142" s="418"/>
      <c r="VTD142" s="418"/>
      <c r="VTE142" s="418"/>
      <c r="VTF142" s="418"/>
      <c r="VTG142" s="418"/>
      <c r="VTH142" s="418"/>
      <c r="VTI142" s="418"/>
      <c r="VTJ142" s="418"/>
      <c r="VTK142" s="418"/>
      <c r="VTL142" s="418"/>
      <c r="VTM142" s="418"/>
      <c r="VTN142" s="418"/>
      <c r="VTO142" s="418"/>
      <c r="VTP142" s="418"/>
      <c r="VTQ142" s="418"/>
      <c r="VTR142" s="418"/>
      <c r="VTS142" s="418"/>
      <c r="VTT142" s="418"/>
      <c r="VTU142" s="418"/>
      <c r="VTV142" s="418"/>
      <c r="VTW142" s="418"/>
      <c r="VTX142" s="418"/>
      <c r="VTY142" s="418"/>
      <c r="VTZ142" s="418"/>
      <c r="VUA142" s="418"/>
      <c r="VUB142" s="418"/>
      <c r="VUC142" s="418"/>
      <c r="VUD142" s="418"/>
      <c r="VUE142" s="418"/>
      <c r="VUF142" s="418"/>
      <c r="VUG142" s="418"/>
      <c r="VUH142" s="418"/>
      <c r="VUI142" s="418"/>
      <c r="VUJ142" s="418"/>
      <c r="VUK142" s="418"/>
      <c r="VUL142" s="418"/>
      <c r="VUM142" s="418"/>
      <c r="VUN142" s="418"/>
      <c r="VUO142" s="418"/>
      <c r="VUP142" s="418"/>
      <c r="VUQ142" s="418"/>
      <c r="VUR142" s="418"/>
      <c r="VUS142" s="418"/>
      <c r="VUT142" s="418"/>
      <c r="VUU142" s="418"/>
      <c r="VUV142" s="418"/>
      <c r="VUW142" s="418"/>
      <c r="VUX142" s="418"/>
      <c r="VUY142" s="418"/>
      <c r="VUZ142" s="418"/>
      <c r="VVA142" s="418"/>
      <c r="VVB142" s="418"/>
      <c r="VVC142" s="418"/>
      <c r="VVD142" s="418"/>
      <c r="VVE142" s="418"/>
      <c r="VVF142" s="418"/>
      <c r="VVG142" s="418"/>
      <c r="VVH142" s="418"/>
      <c r="VVI142" s="418"/>
      <c r="VVJ142" s="418"/>
      <c r="VVK142" s="418"/>
      <c r="VVL142" s="418"/>
      <c r="VVM142" s="418"/>
      <c r="VVN142" s="418"/>
      <c r="VVO142" s="418"/>
      <c r="VVP142" s="418"/>
      <c r="VVQ142" s="418"/>
      <c r="VVR142" s="418"/>
      <c r="VVS142" s="418"/>
      <c r="VVT142" s="418"/>
      <c r="VVU142" s="418"/>
      <c r="VVV142" s="418"/>
      <c r="VVW142" s="418"/>
      <c r="VVX142" s="418"/>
      <c r="VVY142" s="418"/>
      <c r="VVZ142" s="418"/>
      <c r="VWA142" s="418"/>
      <c r="VWB142" s="418"/>
      <c r="VWC142" s="418"/>
      <c r="VWD142" s="418"/>
      <c r="VWE142" s="418"/>
      <c r="VWF142" s="418"/>
      <c r="VWG142" s="418"/>
      <c r="VWH142" s="418"/>
      <c r="VWI142" s="418"/>
      <c r="VWJ142" s="418"/>
      <c r="VWK142" s="418"/>
      <c r="VWL142" s="418"/>
      <c r="VWM142" s="418"/>
      <c r="VWN142" s="418"/>
      <c r="VWO142" s="418"/>
      <c r="VWP142" s="418"/>
      <c r="VWQ142" s="418"/>
      <c r="VWR142" s="418"/>
      <c r="VWS142" s="418"/>
      <c r="VWT142" s="418"/>
      <c r="VWU142" s="418"/>
      <c r="VWV142" s="418"/>
      <c r="VWW142" s="418"/>
      <c r="VWX142" s="418"/>
      <c r="VWY142" s="418"/>
      <c r="VWZ142" s="418"/>
      <c r="VXA142" s="418"/>
      <c r="VXB142" s="418"/>
      <c r="VXC142" s="418"/>
      <c r="VXD142" s="418"/>
      <c r="VXE142" s="418"/>
      <c r="VXF142" s="418"/>
      <c r="VXG142" s="418"/>
      <c r="VXH142" s="418"/>
      <c r="VXI142" s="418"/>
      <c r="VXJ142" s="418"/>
      <c r="VXK142" s="418"/>
      <c r="VXL142" s="418"/>
      <c r="VXM142" s="418"/>
      <c r="VXN142" s="418"/>
      <c r="VXO142" s="418"/>
      <c r="VXP142" s="418"/>
      <c r="VXQ142" s="418"/>
      <c r="VXR142" s="418"/>
      <c r="VXS142" s="418"/>
      <c r="VXT142" s="418"/>
      <c r="VXU142" s="418"/>
      <c r="VXV142" s="418"/>
      <c r="VXW142" s="418"/>
      <c r="VXX142" s="418"/>
      <c r="VXY142" s="418"/>
      <c r="VXZ142" s="418"/>
      <c r="VYA142" s="418"/>
      <c r="VYB142" s="418"/>
      <c r="VYC142" s="418"/>
      <c r="VYD142" s="418"/>
      <c r="VYE142" s="418"/>
      <c r="VYF142" s="418"/>
      <c r="VYG142" s="418"/>
      <c r="VYH142" s="418"/>
      <c r="VYI142" s="418"/>
      <c r="VYJ142" s="418"/>
      <c r="VYK142" s="418"/>
      <c r="VYL142" s="418"/>
      <c r="VYM142" s="418"/>
      <c r="VYN142" s="418"/>
      <c r="VYO142" s="418"/>
      <c r="VYP142" s="418"/>
      <c r="VYQ142" s="418"/>
      <c r="VYR142" s="418"/>
      <c r="VYS142" s="418"/>
      <c r="VYT142" s="418"/>
      <c r="VYU142" s="418"/>
      <c r="VYV142" s="418"/>
      <c r="VYW142" s="418"/>
      <c r="VYX142" s="418"/>
      <c r="VYY142" s="418"/>
      <c r="VYZ142" s="418"/>
      <c r="VZA142" s="418"/>
      <c r="VZB142" s="418"/>
      <c r="VZC142" s="418"/>
      <c r="VZD142" s="418"/>
      <c r="VZE142" s="418"/>
      <c r="VZF142" s="418"/>
      <c r="VZG142" s="418"/>
      <c r="VZH142" s="418"/>
      <c r="VZI142" s="418"/>
      <c r="VZJ142" s="418"/>
      <c r="VZK142" s="418"/>
      <c r="VZL142" s="418"/>
      <c r="VZM142" s="418"/>
      <c r="VZN142" s="418"/>
      <c r="VZO142" s="418"/>
      <c r="VZP142" s="418"/>
      <c r="VZQ142" s="418"/>
      <c r="VZR142" s="418"/>
      <c r="VZS142" s="418"/>
      <c r="VZT142" s="418"/>
      <c r="VZU142" s="418"/>
      <c r="VZV142" s="418"/>
      <c r="VZW142" s="418"/>
      <c r="VZX142" s="418"/>
      <c r="VZY142" s="418"/>
      <c r="VZZ142" s="418"/>
      <c r="WAA142" s="418"/>
      <c r="WAB142" s="418"/>
      <c r="WAC142" s="418"/>
      <c r="WAD142" s="418"/>
      <c r="WAE142" s="418"/>
      <c r="WAF142" s="418"/>
      <c r="WAG142" s="418"/>
      <c r="WAH142" s="418"/>
      <c r="WAI142" s="418"/>
      <c r="WAJ142" s="418"/>
      <c r="WAK142" s="418"/>
      <c r="WAL142" s="418"/>
      <c r="WAM142" s="418"/>
      <c r="WAN142" s="418"/>
      <c r="WAO142" s="418"/>
      <c r="WAP142" s="418"/>
      <c r="WAQ142" s="418"/>
      <c r="WAR142" s="418"/>
      <c r="WAS142" s="418"/>
      <c r="WAT142" s="418"/>
      <c r="WAU142" s="418"/>
      <c r="WAV142" s="418"/>
      <c r="WAW142" s="418"/>
      <c r="WAX142" s="418"/>
      <c r="WAY142" s="418"/>
      <c r="WAZ142" s="418"/>
      <c r="WBA142" s="418"/>
      <c r="WBB142" s="418"/>
      <c r="WBC142" s="418"/>
      <c r="WBD142" s="418"/>
      <c r="WBE142" s="418"/>
      <c r="WBF142" s="418"/>
      <c r="WBG142" s="418"/>
      <c r="WBH142" s="418"/>
      <c r="WBI142" s="418"/>
      <c r="WBJ142" s="418"/>
      <c r="WBK142" s="418"/>
      <c r="WBL142" s="418"/>
      <c r="WBM142" s="418"/>
      <c r="WBN142" s="418"/>
      <c r="WBO142" s="418"/>
      <c r="WBP142" s="418"/>
      <c r="WBQ142" s="418"/>
      <c r="WBR142" s="418"/>
      <c r="WBS142" s="418"/>
      <c r="WBT142" s="418"/>
      <c r="WBU142" s="418"/>
      <c r="WBV142" s="418"/>
      <c r="WBW142" s="418"/>
      <c r="WBX142" s="418"/>
      <c r="WBY142" s="418"/>
      <c r="WBZ142" s="418"/>
      <c r="WCA142" s="418"/>
      <c r="WCB142" s="418"/>
      <c r="WCC142" s="418"/>
      <c r="WCD142" s="418"/>
      <c r="WCE142" s="418"/>
      <c r="WCF142" s="418"/>
      <c r="WCG142" s="418"/>
      <c r="WCH142" s="418"/>
      <c r="WCI142" s="418"/>
      <c r="WCJ142" s="418"/>
      <c r="WCK142" s="418"/>
      <c r="WCL142" s="418"/>
      <c r="WCM142" s="418"/>
      <c r="WCN142" s="418"/>
      <c r="WCO142" s="418"/>
      <c r="WCP142" s="418"/>
      <c r="WCQ142" s="418"/>
      <c r="WCR142" s="418"/>
      <c r="WCS142" s="418"/>
      <c r="WCT142" s="418"/>
      <c r="WCU142" s="418"/>
      <c r="WCV142" s="418"/>
      <c r="WCW142" s="418"/>
      <c r="WCX142" s="418"/>
      <c r="WCY142" s="418"/>
      <c r="WCZ142" s="418"/>
      <c r="WDA142" s="418"/>
      <c r="WDB142" s="418"/>
      <c r="WDC142" s="418"/>
      <c r="WDD142" s="418"/>
      <c r="WDE142" s="418"/>
      <c r="WDF142" s="418"/>
      <c r="WDG142" s="418"/>
      <c r="WDH142" s="418"/>
      <c r="WDI142" s="418"/>
      <c r="WDJ142" s="418"/>
      <c r="WDK142" s="418"/>
      <c r="WDL142" s="418"/>
      <c r="WDM142" s="418"/>
      <c r="WDN142" s="418"/>
      <c r="WDO142" s="418"/>
      <c r="WDP142" s="418"/>
      <c r="WDQ142" s="418"/>
      <c r="WDR142" s="418"/>
      <c r="WDS142" s="418"/>
      <c r="WDT142" s="418"/>
      <c r="WDU142" s="418"/>
      <c r="WDV142" s="418"/>
      <c r="WDW142" s="418"/>
      <c r="WDX142" s="418"/>
      <c r="WDY142" s="418"/>
      <c r="WDZ142" s="418"/>
      <c r="WEA142" s="418"/>
      <c r="WEB142" s="418"/>
      <c r="WEC142" s="418"/>
      <c r="WED142" s="418"/>
      <c r="WEE142" s="418"/>
      <c r="WEF142" s="418"/>
      <c r="WEG142" s="418"/>
      <c r="WEH142" s="418"/>
      <c r="WEI142" s="418"/>
      <c r="WEJ142" s="418"/>
      <c r="WEK142" s="418"/>
      <c r="WEL142" s="418"/>
      <c r="WEM142" s="418"/>
      <c r="WEN142" s="418"/>
      <c r="WEO142" s="418"/>
      <c r="WEP142" s="418"/>
      <c r="WEQ142" s="418"/>
      <c r="WER142" s="418"/>
      <c r="WES142" s="418"/>
      <c r="WET142" s="418"/>
      <c r="WEU142" s="418"/>
      <c r="WEV142" s="418"/>
      <c r="WEW142" s="418"/>
      <c r="WEX142" s="418"/>
      <c r="WEY142" s="418"/>
      <c r="WEZ142" s="418"/>
      <c r="WFA142" s="418"/>
      <c r="WFB142" s="418"/>
      <c r="WFC142" s="418"/>
      <c r="WFD142" s="418"/>
      <c r="WFE142" s="418"/>
      <c r="WFF142" s="418"/>
      <c r="WFG142" s="418"/>
      <c r="WFH142" s="418"/>
      <c r="WFI142" s="418"/>
      <c r="WFJ142" s="418"/>
      <c r="WFK142" s="418"/>
      <c r="WFL142" s="418"/>
      <c r="WFM142" s="418"/>
      <c r="WFN142" s="418"/>
      <c r="WFO142" s="418"/>
      <c r="WFP142" s="418"/>
      <c r="WFQ142" s="418"/>
      <c r="WFR142" s="418"/>
      <c r="WFS142" s="418"/>
      <c r="WFT142" s="418"/>
      <c r="WFU142" s="418"/>
      <c r="WFV142" s="418"/>
      <c r="WFW142" s="418"/>
      <c r="WFX142" s="418"/>
      <c r="WFY142" s="418"/>
      <c r="WFZ142" s="418"/>
      <c r="WGA142" s="418"/>
      <c r="WGB142" s="418"/>
      <c r="WGC142" s="418"/>
      <c r="WGD142" s="418"/>
      <c r="WGE142" s="418"/>
      <c r="WGF142" s="418"/>
      <c r="WGG142" s="418"/>
      <c r="WGH142" s="418"/>
      <c r="WGI142" s="418"/>
      <c r="WGJ142" s="418"/>
      <c r="WGK142" s="418"/>
      <c r="WGL142" s="418"/>
      <c r="WGM142" s="418"/>
      <c r="WGN142" s="418"/>
      <c r="WGO142" s="418"/>
      <c r="WGP142" s="418"/>
      <c r="WGQ142" s="418"/>
      <c r="WGR142" s="418"/>
      <c r="WGS142" s="418"/>
      <c r="WGT142" s="418"/>
      <c r="WGU142" s="418"/>
      <c r="WGV142" s="418"/>
      <c r="WGW142" s="418"/>
      <c r="WGX142" s="418"/>
      <c r="WGY142" s="418"/>
      <c r="WGZ142" s="418"/>
      <c r="WHA142" s="418"/>
      <c r="WHB142" s="418"/>
      <c r="WHC142" s="418"/>
      <c r="WHD142" s="418"/>
      <c r="WHE142" s="418"/>
      <c r="WHF142" s="418"/>
      <c r="WHG142" s="418"/>
      <c r="WHH142" s="418"/>
      <c r="WHI142" s="418"/>
      <c r="WHJ142" s="418"/>
      <c r="WHK142" s="418"/>
      <c r="WHL142" s="418"/>
      <c r="WHM142" s="418"/>
      <c r="WHN142" s="418"/>
      <c r="WHO142" s="418"/>
      <c r="WHP142" s="418"/>
      <c r="WHQ142" s="418"/>
      <c r="WHR142" s="418"/>
      <c r="WHS142" s="418"/>
      <c r="WHT142" s="418"/>
      <c r="WHU142" s="418"/>
      <c r="WHV142" s="418"/>
      <c r="WHW142" s="418"/>
      <c r="WHX142" s="418"/>
      <c r="WHY142" s="418"/>
      <c r="WHZ142" s="418"/>
      <c r="WIA142" s="418"/>
      <c r="WIB142" s="418"/>
      <c r="WIC142" s="418"/>
      <c r="WID142" s="418"/>
      <c r="WIE142" s="418"/>
      <c r="WIF142" s="418"/>
      <c r="WIG142" s="418"/>
      <c r="WIH142" s="418"/>
      <c r="WII142" s="418"/>
      <c r="WIJ142" s="418"/>
      <c r="WIK142" s="418"/>
      <c r="WIL142" s="418"/>
      <c r="WIM142" s="418"/>
      <c r="WIN142" s="418"/>
      <c r="WIO142" s="418"/>
      <c r="WIP142" s="418"/>
      <c r="WIQ142" s="418"/>
      <c r="WIR142" s="418"/>
      <c r="WIS142" s="418"/>
      <c r="WIT142" s="418"/>
      <c r="WIU142" s="418"/>
      <c r="WIV142" s="418"/>
      <c r="WIW142" s="418"/>
      <c r="WIX142" s="418"/>
      <c r="WIY142" s="418"/>
      <c r="WIZ142" s="418"/>
      <c r="WJA142" s="418"/>
      <c r="WJB142" s="418"/>
      <c r="WJC142" s="418"/>
      <c r="WJD142" s="418"/>
      <c r="WJE142" s="418"/>
      <c r="WJF142" s="418"/>
      <c r="WJG142" s="418"/>
      <c r="WJH142" s="418"/>
      <c r="WJI142" s="418"/>
      <c r="WJJ142" s="418"/>
      <c r="WJK142" s="418"/>
      <c r="WJL142" s="418"/>
      <c r="WJM142" s="418"/>
      <c r="WJN142" s="418"/>
      <c r="WJO142" s="418"/>
      <c r="WJP142" s="418"/>
      <c r="WJQ142" s="418"/>
      <c r="WJR142" s="418"/>
      <c r="WJS142" s="418"/>
      <c r="WJT142" s="418"/>
      <c r="WJU142" s="418"/>
      <c r="WJV142" s="418"/>
      <c r="WJW142" s="418"/>
      <c r="WJX142" s="418"/>
      <c r="WJY142" s="418"/>
      <c r="WJZ142" s="418"/>
      <c r="WKA142" s="418"/>
      <c r="WKB142" s="418"/>
      <c r="WKC142" s="418"/>
      <c r="WKD142" s="418"/>
      <c r="WKE142" s="418"/>
      <c r="WKF142" s="418"/>
      <c r="WKG142" s="418"/>
      <c r="WKH142" s="418"/>
      <c r="WKI142" s="418"/>
      <c r="WKJ142" s="418"/>
      <c r="WKK142" s="418"/>
      <c r="WKL142" s="418"/>
      <c r="WKM142" s="418"/>
      <c r="WKN142" s="418"/>
      <c r="WKO142" s="418"/>
      <c r="WKP142" s="418"/>
      <c r="WKQ142" s="418"/>
      <c r="WKR142" s="418"/>
      <c r="WKS142" s="418"/>
      <c r="WKT142" s="418"/>
      <c r="WKU142" s="418"/>
      <c r="WKV142" s="418"/>
      <c r="WKW142" s="418"/>
      <c r="WKX142" s="418"/>
      <c r="WKY142" s="418"/>
      <c r="WKZ142" s="418"/>
      <c r="WLA142" s="418"/>
      <c r="WLB142" s="418"/>
      <c r="WLC142" s="418"/>
      <c r="WLD142" s="418"/>
      <c r="WLE142" s="418"/>
      <c r="WLF142" s="418"/>
      <c r="WLG142" s="418"/>
      <c r="WLH142" s="418"/>
      <c r="WLI142" s="418"/>
      <c r="WLJ142" s="418"/>
      <c r="WLK142" s="418"/>
      <c r="WLL142" s="418"/>
      <c r="WLM142" s="418"/>
      <c r="WLN142" s="418"/>
      <c r="WLO142" s="418"/>
      <c r="WLP142" s="418"/>
      <c r="WLQ142" s="418"/>
      <c r="WLR142" s="418"/>
      <c r="WLS142" s="418"/>
      <c r="WLT142" s="418"/>
      <c r="WLU142" s="418"/>
      <c r="WLV142" s="418"/>
      <c r="WLW142" s="418"/>
      <c r="WLX142" s="418"/>
      <c r="WLY142" s="418"/>
      <c r="WLZ142" s="418"/>
      <c r="WMA142" s="418"/>
      <c r="WMB142" s="418"/>
      <c r="WMC142" s="418"/>
      <c r="WMD142" s="418"/>
      <c r="WME142" s="418"/>
      <c r="WMF142" s="418"/>
      <c r="WMG142" s="418"/>
      <c r="WMH142" s="418"/>
      <c r="WMI142" s="418"/>
      <c r="WMJ142" s="418"/>
      <c r="WMK142" s="418"/>
      <c r="WML142" s="418"/>
      <c r="WMM142" s="418"/>
      <c r="WMN142" s="418"/>
      <c r="WMO142" s="418"/>
      <c r="WMP142" s="418"/>
      <c r="WMQ142" s="418"/>
      <c r="WMR142" s="418"/>
      <c r="WMS142" s="418"/>
      <c r="WMT142" s="418"/>
      <c r="WMU142" s="418"/>
      <c r="WMV142" s="418"/>
      <c r="WMW142" s="418"/>
      <c r="WMX142" s="418"/>
      <c r="WMY142" s="418"/>
      <c r="WMZ142" s="418"/>
      <c r="WNA142" s="418"/>
      <c r="WNB142" s="418"/>
      <c r="WNC142" s="418"/>
      <c r="WND142" s="418"/>
      <c r="WNE142" s="418"/>
      <c r="WNF142" s="418"/>
      <c r="WNG142" s="418"/>
      <c r="WNH142" s="418"/>
      <c r="WNI142" s="418"/>
      <c r="WNJ142" s="418"/>
      <c r="WNK142" s="418"/>
      <c r="WNL142" s="418"/>
      <c r="WNM142" s="418"/>
      <c r="WNN142" s="418"/>
      <c r="WNO142" s="418"/>
      <c r="WNP142" s="418"/>
      <c r="WNQ142" s="418"/>
      <c r="WNR142" s="418"/>
      <c r="WNS142" s="418"/>
      <c r="WNT142" s="418"/>
      <c r="WNU142" s="418"/>
      <c r="WNV142" s="418"/>
      <c r="WNW142" s="418"/>
      <c r="WNX142" s="418"/>
      <c r="WNY142" s="418"/>
      <c r="WNZ142" s="418"/>
      <c r="WOA142" s="418"/>
      <c r="WOB142" s="418"/>
      <c r="WOC142" s="418"/>
      <c r="WOD142" s="418"/>
      <c r="WOE142" s="418"/>
      <c r="WOF142" s="418"/>
      <c r="WOG142" s="418"/>
      <c r="WOH142" s="418"/>
      <c r="WOI142" s="418"/>
      <c r="WOJ142" s="418"/>
      <c r="WOK142" s="418"/>
      <c r="WOL142" s="418"/>
      <c r="WOM142" s="418"/>
      <c r="WON142" s="418"/>
      <c r="WOO142" s="418"/>
      <c r="WOP142" s="418"/>
      <c r="WOQ142" s="418"/>
      <c r="WOR142" s="418"/>
      <c r="WOS142" s="418"/>
      <c r="WOT142" s="418"/>
      <c r="WOU142" s="418"/>
      <c r="WOV142" s="418"/>
      <c r="WOW142" s="418"/>
      <c r="WOX142" s="418"/>
      <c r="WOY142" s="418"/>
      <c r="WOZ142" s="418"/>
      <c r="WPA142" s="418"/>
      <c r="WPB142" s="418"/>
      <c r="WPC142" s="418"/>
      <c r="WPD142" s="418"/>
      <c r="WPE142" s="418"/>
      <c r="WPF142" s="418"/>
      <c r="WPG142" s="418"/>
      <c r="WPH142" s="418"/>
      <c r="WPI142" s="418"/>
      <c r="WPJ142" s="418"/>
      <c r="WPK142" s="418"/>
      <c r="WPL142" s="418"/>
      <c r="WPM142" s="418"/>
      <c r="WPN142" s="418"/>
      <c r="WPO142" s="418"/>
      <c r="WPP142" s="418"/>
      <c r="WPQ142" s="418"/>
      <c r="WPR142" s="418"/>
      <c r="WPS142" s="418"/>
      <c r="WPT142" s="418"/>
      <c r="WPU142" s="418"/>
      <c r="WPV142" s="418"/>
      <c r="WPW142" s="418"/>
      <c r="WPX142" s="418"/>
      <c r="WPY142" s="418"/>
      <c r="WPZ142" s="418"/>
      <c r="WQA142" s="418"/>
      <c r="WQB142" s="418"/>
      <c r="WQC142" s="418"/>
      <c r="WQD142" s="418"/>
      <c r="WQE142" s="418"/>
      <c r="WQF142" s="418"/>
      <c r="WQG142" s="418"/>
      <c r="WQH142" s="418"/>
      <c r="WQI142" s="418"/>
      <c r="WQJ142" s="418"/>
      <c r="WQK142" s="418"/>
      <c r="WQL142" s="418"/>
      <c r="WQM142" s="418"/>
      <c r="WQN142" s="418"/>
      <c r="WQO142" s="418"/>
      <c r="WQP142" s="418"/>
      <c r="WQQ142" s="418"/>
      <c r="WQR142" s="418"/>
      <c r="WQS142" s="418"/>
      <c r="WQT142" s="418"/>
      <c r="WQU142" s="418"/>
      <c r="WQV142" s="418"/>
      <c r="WQW142" s="418"/>
      <c r="WQX142" s="418"/>
      <c r="WQY142" s="418"/>
      <c r="WQZ142" s="418"/>
      <c r="WRA142" s="418"/>
      <c r="WRB142" s="418"/>
      <c r="WRC142" s="418"/>
      <c r="WRD142" s="418"/>
      <c r="WRE142" s="418"/>
      <c r="WRF142" s="418"/>
      <c r="WRG142" s="418"/>
      <c r="WRH142" s="418"/>
      <c r="WRI142" s="418"/>
      <c r="WRJ142" s="418"/>
      <c r="WRK142" s="418"/>
      <c r="WRL142" s="418"/>
      <c r="WRM142" s="418"/>
      <c r="WRN142" s="418"/>
      <c r="WRO142" s="418"/>
      <c r="WRP142" s="418"/>
      <c r="WRQ142" s="418"/>
      <c r="WRR142" s="418"/>
      <c r="WRS142" s="418"/>
      <c r="WRT142" s="418"/>
      <c r="WRU142" s="418"/>
      <c r="WRV142" s="418"/>
      <c r="WRW142" s="418"/>
      <c r="WRX142" s="418"/>
      <c r="WRY142" s="418"/>
      <c r="WRZ142" s="418"/>
      <c r="WSA142" s="418"/>
      <c r="WSB142" s="418"/>
      <c r="WSC142" s="418"/>
      <c r="WSD142" s="418"/>
      <c r="WSE142" s="418"/>
      <c r="WSF142" s="418"/>
      <c r="WSG142" s="418"/>
      <c r="WSH142" s="418"/>
      <c r="WSI142" s="418"/>
      <c r="WSJ142" s="418"/>
      <c r="WSK142" s="418"/>
      <c r="WSL142" s="418"/>
      <c r="WSM142" s="418"/>
      <c r="WSN142" s="418"/>
      <c r="WSO142" s="418"/>
      <c r="WSP142" s="418"/>
      <c r="WSQ142" s="418"/>
      <c r="WSR142" s="418"/>
      <c r="WSS142" s="418"/>
      <c r="WST142" s="418"/>
      <c r="WSU142" s="418"/>
      <c r="WSV142" s="418"/>
      <c r="WSW142" s="418"/>
      <c r="WSX142" s="418"/>
      <c r="WSY142" s="418"/>
      <c r="WSZ142" s="418"/>
      <c r="WTA142" s="418"/>
      <c r="WTB142" s="418"/>
      <c r="WTC142" s="418"/>
      <c r="WTD142" s="418"/>
      <c r="WTE142" s="418"/>
      <c r="WTF142" s="418"/>
      <c r="WTG142" s="418"/>
      <c r="WTH142" s="418"/>
      <c r="WTI142" s="418"/>
      <c r="WTJ142" s="418"/>
      <c r="WTK142" s="418"/>
      <c r="WTL142" s="418"/>
      <c r="WTM142" s="418"/>
      <c r="WTN142" s="418"/>
      <c r="WTO142" s="418"/>
      <c r="WTP142" s="418"/>
      <c r="WTQ142" s="418"/>
      <c r="WTR142" s="418"/>
      <c r="WTS142" s="418"/>
      <c r="WTT142" s="418"/>
      <c r="WTU142" s="418"/>
      <c r="WTV142" s="418"/>
      <c r="WTW142" s="418"/>
      <c r="WTX142" s="418"/>
      <c r="WTY142" s="418"/>
      <c r="WTZ142" s="418"/>
      <c r="WUA142" s="418"/>
      <c r="WUB142" s="418"/>
      <c r="WUC142" s="418"/>
      <c r="WUD142" s="418"/>
      <c r="WUE142" s="418"/>
      <c r="WUF142" s="418"/>
      <c r="WUG142" s="418"/>
      <c r="WUH142" s="418"/>
      <c r="WUI142" s="418"/>
      <c r="WUJ142" s="418"/>
      <c r="WUK142" s="418"/>
      <c r="WUL142" s="418"/>
      <c r="WUM142" s="418"/>
      <c r="WUN142" s="418"/>
      <c r="WUO142" s="418"/>
      <c r="WUP142" s="418"/>
      <c r="WUQ142" s="418"/>
      <c r="WUR142" s="418"/>
      <c r="WUS142" s="418"/>
      <c r="WUT142" s="418"/>
      <c r="WUU142" s="418"/>
      <c r="WUV142" s="418"/>
      <c r="WUW142" s="418"/>
      <c r="WUX142" s="418"/>
      <c r="WUY142" s="418"/>
      <c r="WUZ142" s="418"/>
      <c r="WVA142" s="418"/>
      <c r="WVB142" s="418"/>
      <c r="WVC142" s="418"/>
      <c r="WVD142" s="418"/>
      <c r="WVE142" s="418"/>
      <c r="WVF142" s="418"/>
      <c r="WVG142" s="418"/>
      <c r="WVH142" s="418"/>
      <c r="WVI142" s="418"/>
      <c r="WVJ142" s="418"/>
      <c r="WVK142" s="418"/>
      <c r="WVL142" s="418"/>
      <c r="WVM142" s="418"/>
      <c r="WVN142" s="418"/>
      <c r="WVO142" s="418"/>
      <c r="WVP142" s="418"/>
      <c r="WVQ142" s="418"/>
      <c r="WVR142" s="418"/>
      <c r="WVS142" s="418"/>
      <c r="WVT142" s="418"/>
      <c r="WVU142" s="418"/>
      <c r="WVV142" s="418"/>
      <c r="WVW142" s="418"/>
      <c r="WVX142" s="418"/>
      <c r="WVY142" s="418"/>
      <c r="WVZ142" s="418"/>
      <c r="WWA142" s="418"/>
      <c r="WWB142" s="418"/>
      <c r="WWC142" s="418"/>
      <c r="WWD142" s="418"/>
      <c r="WWE142" s="418"/>
      <c r="WWF142" s="418"/>
      <c r="WWG142" s="418"/>
      <c r="WWH142" s="418"/>
      <c r="WWI142" s="418"/>
      <c r="WWJ142" s="418"/>
      <c r="WWK142" s="418"/>
      <c r="WWL142" s="418"/>
      <c r="WWM142" s="418"/>
      <c r="WWN142" s="418"/>
      <c r="WWO142" s="418"/>
      <c r="WWP142" s="418"/>
      <c r="WWQ142" s="418"/>
      <c r="WWR142" s="418"/>
      <c r="WWS142" s="418"/>
      <c r="WWT142" s="418"/>
      <c r="WWU142" s="418"/>
      <c r="WWV142" s="418"/>
      <c r="WWW142" s="418"/>
      <c r="WWX142" s="418"/>
      <c r="WWY142" s="418"/>
      <c r="WWZ142" s="418"/>
      <c r="WXA142" s="418"/>
      <c r="WXB142" s="418"/>
      <c r="WXC142" s="418"/>
      <c r="WXD142" s="418"/>
      <c r="WXE142" s="418"/>
      <c r="WXF142" s="418"/>
      <c r="WXG142" s="418"/>
      <c r="WXH142" s="418"/>
      <c r="WXI142" s="418"/>
      <c r="WXJ142" s="418"/>
      <c r="WXK142" s="418"/>
      <c r="WXL142" s="418"/>
      <c r="WXM142" s="418"/>
      <c r="WXN142" s="418"/>
      <c r="WXO142" s="418"/>
      <c r="WXP142" s="418"/>
      <c r="WXQ142" s="418"/>
      <c r="WXR142" s="418"/>
      <c r="WXS142" s="418"/>
      <c r="WXT142" s="418"/>
      <c r="WXU142" s="418"/>
      <c r="WXV142" s="418"/>
      <c r="WXW142" s="418"/>
      <c r="WXX142" s="418"/>
      <c r="WXY142" s="418"/>
      <c r="WXZ142" s="418"/>
      <c r="WYA142" s="418"/>
      <c r="WYB142" s="418"/>
      <c r="WYC142" s="418"/>
      <c r="WYD142" s="418"/>
      <c r="WYE142" s="418"/>
      <c r="WYF142" s="418"/>
      <c r="WYG142" s="418"/>
      <c r="WYH142" s="418"/>
      <c r="WYI142" s="418"/>
      <c r="WYJ142" s="418"/>
      <c r="WYK142" s="418"/>
      <c r="WYL142" s="418"/>
      <c r="WYM142" s="418"/>
      <c r="WYN142" s="418"/>
      <c r="WYO142" s="418"/>
      <c r="WYP142" s="418"/>
      <c r="WYQ142" s="418"/>
      <c r="WYR142" s="418"/>
      <c r="WYS142" s="418"/>
      <c r="WYT142" s="418"/>
      <c r="WYU142" s="418"/>
      <c r="WYV142" s="418"/>
      <c r="WYW142" s="418"/>
      <c r="WYX142" s="418"/>
      <c r="WYY142" s="418"/>
      <c r="WYZ142" s="418"/>
      <c r="WZA142" s="418"/>
      <c r="WZB142" s="418"/>
      <c r="WZC142" s="418"/>
      <c r="WZD142" s="418"/>
      <c r="WZE142" s="418"/>
      <c r="WZF142" s="418"/>
      <c r="WZG142" s="418"/>
      <c r="WZH142" s="418"/>
      <c r="WZI142" s="418"/>
      <c r="WZJ142" s="418"/>
      <c r="WZK142" s="418"/>
      <c r="WZL142" s="418"/>
      <c r="WZM142" s="418"/>
      <c r="WZN142" s="418"/>
      <c r="WZO142" s="418"/>
      <c r="WZP142" s="418"/>
      <c r="WZQ142" s="418"/>
      <c r="WZR142" s="418"/>
      <c r="WZS142" s="418"/>
      <c r="WZT142" s="418"/>
      <c r="WZU142" s="418"/>
      <c r="WZV142" s="418"/>
      <c r="WZW142" s="418"/>
      <c r="WZX142" s="418"/>
      <c r="WZY142" s="418"/>
      <c r="WZZ142" s="418"/>
      <c r="XAA142" s="418"/>
      <c r="XAB142" s="418"/>
      <c r="XAC142" s="418"/>
      <c r="XAD142" s="418"/>
      <c r="XAE142" s="418"/>
      <c r="XAF142" s="418"/>
      <c r="XAG142" s="418"/>
      <c r="XAH142" s="418"/>
      <c r="XAI142" s="418"/>
      <c r="XAJ142" s="418"/>
      <c r="XAK142" s="418"/>
      <c r="XAL142" s="418"/>
      <c r="XAM142" s="418"/>
      <c r="XAN142" s="418"/>
      <c r="XAO142" s="418"/>
      <c r="XAP142" s="418"/>
      <c r="XAQ142" s="418"/>
      <c r="XAR142" s="418"/>
      <c r="XAS142" s="418"/>
      <c r="XAT142" s="418"/>
      <c r="XAU142" s="418"/>
      <c r="XAV142" s="418"/>
      <c r="XAW142" s="418"/>
      <c r="XAX142" s="418"/>
      <c r="XAY142" s="418"/>
      <c r="XAZ142" s="418"/>
      <c r="XBA142" s="418"/>
      <c r="XBB142" s="418"/>
      <c r="XBC142" s="418"/>
      <c r="XBD142" s="418"/>
      <c r="XBE142" s="418"/>
      <c r="XBF142" s="418"/>
      <c r="XBG142" s="418"/>
      <c r="XBH142" s="418"/>
      <c r="XBI142" s="418"/>
      <c r="XBJ142" s="418"/>
      <c r="XBK142" s="418"/>
      <c r="XBL142" s="418"/>
      <c r="XBM142" s="418"/>
      <c r="XBN142" s="418"/>
      <c r="XBO142" s="418"/>
      <c r="XBP142" s="418"/>
      <c r="XBQ142" s="418"/>
      <c r="XBR142" s="418"/>
      <c r="XBS142" s="418"/>
      <c r="XBT142" s="418"/>
      <c r="XBU142" s="418"/>
      <c r="XBV142" s="418"/>
      <c r="XBW142" s="418"/>
      <c r="XBX142" s="418"/>
      <c r="XBY142" s="418"/>
      <c r="XBZ142" s="418"/>
      <c r="XCA142" s="418"/>
      <c r="XCB142" s="418"/>
      <c r="XCC142" s="418"/>
      <c r="XCD142" s="418"/>
      <c r="XCE142" s="418"/>
      <c r="XCF142" s="418"/>
      <c r="XCG142" s="418"/>
      <c r="XCH142" s="418"/>
      <c r="XCI142" s="418"/>
      <c r="XCJ142" s="418"/>
      <c r="XCK142" s="418"/>
      <c r="XCL142" s="418"/>
      <c r="XCM142" s="418"/>
      <c r="XCN142" s="418"/>
      <c r="XCO142" s="418"/>
      <c r="XCP142" s="418"/>
      <c r="XCQ142" s="418"/>
      <c r="XCR142" s="418"/>
      <c r="XCS142" s="418"/>
      <c r="XCT142" s="418"/>
      <c r="XCU142" s="418"/>
      <c r="XCV142" s="418"/>
      <c r="XCW142" s="418"/>
      <c r="XCX142" s="418"/>
      <c r="XCY142" s="418"/>
      <c r="XCZ142" s="418"/>
      <c r="XDA142" s="418"/>
      <c r="XDB142" s="418"/>
      <c r="XDC142" s="418"/>
      <c r="XDD142" s="418"/>
      <c r="XDE142" s="418"/>
      <c r="XDF142" s="418"/>
      <c r="XDG142" s="418"/>
      <c r="XDH142" s="418"/>
      <c r="XDI142" s="418"/>
      <c r="XDJ142" s="418"/>
      <c r="XDK142" s="418"/>
      <c r="XDL142" s="418"/>
      <c r="XDM142" s="418"/>
      <c r="XDN142" s="418"/>
      <c r="XDO142" s="418"/>
      <c r="XDP142" s="418"/>
      <c r="XDQ142" s="418"/>
      <c r="XDR142" s="418"/>
      <c r="XDS142" s="418"/>
      <c r="XDT142" s="418"/>
      <c r="XDU142" s="418"/>
      <c r="XDV142" s="418"/>
      <c r="XDW142" s="418"/>
      <c r="XDX142" s="418"/>
      <c r="XDY142" s="418"/>
      <c r="XDZ142" s="418"/>
      <c r="XEA142" s="418"/>
      <c r="XEB142" s="418"/>
      <c r="XEC142" s="418"/>
      <c r="XED142" s="418"/>
      <c r="XEE142" s="418"/>
      <c r="XEF142" s="418"/>
      <c r="XEG142" s="418"/>
      <c r="XEH142" s="418"/>
      <c r="XEI142" s="418"/>
      <c r="XEJ142" s="418"/>
      <c r="XEK142" s="418"/>
      <c r="XEL142" s="418"/>
      <c r="XEM142" s="418"/>
      <c r="XEN142" s="418"/>
      <c r="XEO142" s="418"/>
      <c r="XEP142" s="418"/>
      <c r="XEQ142" s="418"/>
      <c r="XER142" s="418"/>
      <c r="XES142" s="418"/>
      <c r="XET142" s="418"/>
      <c r="XEU142" s="418"/>
      <c r="XEV142" s="418"/>
      <c r="XEW142" s="418"/>
      <c r="XEX142" s="418"/>
      <c r="XEY142" s="418"/>
      <c r="XEZ142" s="418"/>
      <c r="XFA142" s="418"/>
      <c r="XFB142" s="418"/>
      <c r="XFC142" s="418"/>
      <c r="XFD142" s="448"/>
    </row>
    <row r="143" spans="1:16384" s="58" customFormat="1" ht="15" hidden="1" customHeight="1">
      <c r="A143" s="560" t="s">
        <v>363</v>
      </c>
      <c r="B143" s="114" t="s">
        <v>533</v>
      </c>
      <c r="C143" s="114"/>
      <c r="D143" s="119"/>
      <c r="E143" s="121">
        <v>4444.42</v>
      </c>
      <c r="F143" s="125" t="s">
        <v>555</v>
      </c>
      <c r="G143" s="350" t="s">
        <v>555</v>
      </c>
      <c r="H143" s="119" t="s">
        <v>19</v>
      </c>
      <c r="I143" s="70"/>
      <c r="J143" s="565"/>
      <c r="K143" s="566"/>
      <c r="L143" s="427"/>
      <c r="M143" s="113"/>
      <c r="N143" s="403"/>
      <c r="O143" s="403"/>
      <c r="P143" s="70"/>
      <c r="Q143" s="404"/>
      <c r="R143" s="404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</row>
    <row r="144" spans="1:16384" s="58" customFormat="1" ht="15" hidden="1" customHeight="1">
      <c r="A144" s="560" t="s">
        <v>363</v>
      </c>
      <c r="B144" s="114" t="s">
        <v>527</v>
      </c>
      <c r="C144" s="114"/>
      <c r="D144" s="119"/>
      <c r="E144" s="121">
        <v>3662.76</v>
      </c>
      <c r="F144" s="125">
        <v>46308</v>
      </c>
      <c r="G144" s="350" t="s">
        <v>556</v>
      </c>
      <c r="H144" s="119" t="s">
        <v>19</v>
      </c>
      <c r="I144" s="70"/>
      <c r="J144" s="565"/>
      <c r="K144" s="566"/>
      <c r="L144" s="427"/>
      <c r="M144" s="113"/>
      <c r="N144" s="403"/>
      <c r="O144" s="403"/>
      <c r="P144" s="70"/>
      <c r="Q144" s="404"/>
      <c r="R144" s="404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</row>
    <row r="145" spans="1:36" s="58" customFormat="1" ht="15" hidden="1" customHeight="1">
      <c r="A145" s="560" t="s">
        <v>363</v>
      </c>
      <c r="B145" s="114" t="s">
        <v>528</v>
      </c>
      <c r="C145" s="114"/>
      <c r="D145" s="119"/>
      <c r="E145" s="121">
        <v>2063.0700000000002</v>
      </c>
      <c r="F145" s="125" t="s">
        <v>556</v>
      </c>
      <c r="G145" s="350" t="s">
        <v>556</v>
      </c>
      <c r="H145" s="119" t="s">
        <v>19</v>
      </c>
      <c r="I145" s="70"/>
      <c r="J145" s="563" t="s">
        <v>451</v>
      </c>
      <c r="K145" s="564"/>
      <c r="L145" s="427"/>
      <c r="M145" s="113"/>
      <c r="N145" s="403"/>
      <c r="O145" s="403"/>
      <c r="P145" s="70"/>
      <c r="Q145" s="404"/>
      <c r="R145" s="404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</row>
    <row r="146" spans="1:36" s="58" customFormat="1" ht="15" hidden="1" customHeight="1">
      <c r="A146" s="560" t="s">
        <v>363</v>
      </c>
      <c r="B146" s="114" t="s">
        <v>527</v>
      </c>
      <c r="C146" s="114"/>
      <c r="D146" s="119"/>
      <c r="E146" s="121">
        <v>709</v>
      </c>
      <c r="F146" s="125" t="s">
        <v>556</v>
      </c>
      <c r="G146" s="350" t="s">
        <v>556</v>
      </c>
      <c r="H146" s="119" t="s">
        <v>19</v>
      </c>
      <c r="I146" s="70"/>
      <c r="J146" s="565"/>
      <c r="K146" s="566"/>
      <c r="L146" s="427"/>
      <c r="M146" s="113"/>
      <c r="N146" s="403"/>
      <c r="O146" s="403"/>
      <c r="P146" s="70"/>
      <c r="Q146" s="404"/>
      <c r="R146" s="404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</row>
    <row r="147" spans="1:36" s="58" customFormat="1" ht="15" hidden="1" customHeight="1">
      <c r="A147" s="560" t="s">
        <v>363</v>
      </c>
      <c r="B147" s="114" t="s">
        <v>557</v>
      </c>
      <c r="C147" s="114"/>
      <c r="D147" s="119"/>
      <c r="E147" s="121">
        <v>3211.83</v>
      </c>
      <c r="F147" s="125" t="s">
        <v>556</v>
      </c>
      <c r="G147" s="350" t="s">
        <v>556</v>
      </c>
      <c r="H147" s="119" t="s">
        <v>19</v>
      </c>
      <c r="I147" s="70"/>
      <c r="J147" s="565"/>
      <c r="K147" s="566"/>
      <c r="L147" s="427"/>
      <c r="M147" s="113"/>
      <c r="N147" s="403"/>
      <c r="O147" s="403"/>
      <c r="P147" s="70"/>
      <c r="Q147" s="404"/>
      <c r="R147" s="404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</row>
    <row r="148" spans="1:36" s="58" customFormat="1" ht="15" hidden="1" customHeight="1">
      <c r="A148" s="560" t="s">
        <v>363</v>
      </c>
      <c r="B148" s="114" t="s">
        <v>558</v>
      </c>
      <c r="C148" s="114"/>
      <c r="D148" s="119"/>
      <c r="E148" s="121">
        <v>1772.5</v>
      </c>
      <c r="F148" s="125" t="s">
        <v>556</v>
      </c>
      <c r="G148" s="350" t="s">
        <v>556</v>
      </c>
      <c r="H148" s="119" t="s">
        <v>19</v>
      </c>
      <c r="I148" s="70"/>
      <c r="J148" s="565"/>
      <c r="K148" s="566"/>
      <c r="L148" s="427"/>
      <c r="M148" s="113"/>
      <c r="N148" s="403"/>
      <c r="O148" s="403"/>
      <c r="P148" s="70"/>
      <c r="Q148" s="404"/>
      <c r="R148" s="404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</row>
    <row r="149" spans="1:36" s="58" customFormat="1" ht="15" hidden="1" customHeight="1">
      <c r="A149" s="560" t="s">
        <v>363</v>
      </c>
      <c r="B149" s="114" t="s">
        <v>528</v>
      </c>
      <c r="C149" s="114"/>
      <c r="D149" s="119"/>
      <c r="E149" s="121">
        <v>2971.05</v>
      </c>
      <c r="F149" s="125" t="s">
        <v>556</v>
      </c>
      <c r="G149" s="350" t="s">
        <v>556</v>
      </c>
      <c r="H149" s="119" t="s">
        <v>19</v>
      </c>
      <c r="I149" s="70"/>
      <c r="J149" s="565"/>
      <c r="K149" s="566"/>
      <c r="L149" s="427"/>
      <c r="M149" s="113"/>
      <c r="N149" s="403"/>
      <c r="O149" s="403"/>
      <c r="P149" s="70"/>
      <c r="Q149" s="404"/>
      <c r="R149" s="404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</row>
    <row r="150" spans="1:36" s="58" customFormat="1" ht="15" hidden="1" customHeight="1">
      <c r="A150" s="560" t="s">
        <v>363</v>
      </c>
      <c r="B150" s="114" t="s">
        <v>559</v>
      </c>
      <c r="C150" s="114"/>
      <c r="D150" s="119"/>
      <c r="E150" s="121">
        <v>4940.46</v>
      </c>
      <c r="F150" s="125" t="s">
        <v>556</v>
      </c>
      <c r="G150" s="350" t="s">
        <v>556</v>
      </c>
      <c r="H150" s="119" t="s">
        <v>19</v>
      </c>
      <c r="I150" s="70"/>
      <c r="J150" s="565"/>
      <c r="K150" s="566"/>
      <c r="L150" s="427"/>
      <c r="M150" s="113"/>
      <c r="N150" s="403"/>
      <c r="O150" s="403"/>
      <c r="P150" s="70"/>
      <c r="Q150" s="404"/>
      <c r="R150" s="404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</row>
    <row r="151" spans="1:36" s="58" customFormat="1" ht="15" hidden="1" customHeight="1">
      <c r="A151" s="560" t="s">
        <v>560</v>
      </c>
      <c r="B151" s="111" t="s">
        <v>561</v>
      </c>
      <c r="C151" s="111"/>
      <c r="D151" s="119"/>
      <c r="E151" s="121">
        <v>6</v>
      </c>
      <c r="F151" s="125">
        <v>46277</v>
      </c>
      <c r="G151" s="125">
        <v>46279</v>
      </c>
      <c r="H151" s="119" t="s">
        <v>445</v>
      </c>
      <c r="I151" s="70"/>
      <c r="J151" s="565"/>
      <c r="K151" s="566"/>
      <c r="L151" s="427"/>
      <c r="M151" s="113"/>
      <c r="N151" s="403"/>
      <c r="O151" s="403"/>
      <c r="P151" s="70"/>
      <c r="Q151" s="404"/>
      <c r="R151" s="404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</row>
    <row r="152" spans="1:36" s="58" customFormat="1" ht="15" hidden="1" customHeight="1">
      <c r="A152" s="560" t="s">
        <v>560</v>
      </c>
      <c r="B152" s="111" t="s">
        <v>562</v>
      </c>
      <c r="C152" s="111"/>
      <c r="D152" s="119"/>
      <c r="E152" s="121">
        <v>45</v>
      </c>
      <c r="F152" s="125">
        <v>46279</v>
      </c>
      <c r="G152" s="125">
        <v>46279</v>
      </c>
      <c r="H152" s="119" t="s">
        <v>19</v>
      </c>
      <c r="I152" s="70"/>
      <c r="J152" s="565"/>
      <c r="K152" s="566"/>
      <c r="L152" s="427"/>
      <c r="M152" s="113"/>
      <c r="N152" s="403"/>
      <c r="O152" s="403"/>
      <c r="P152" s="70"/>
      <c r="Q152" s="404"/>
      <c r="R152" s="404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</row>
    <row r="153" spans="1:36" s="58" customFormat="1" ht="15" hidden="1" customHeight="1">
      <c r="A153" s="560" t="s">
        <v>560</v>
      </c>
      <c r="B153" s="114" t="s">
        <v>563</v>
      </c>
      <c r="C153" s="114"/>
      <c r="D153" s="119"/>
      <c r="E153" s="121">
        <v>12</v>
      </c>
      <c r="F153" s="125">
        <v>46296</v>
      </c>
      <c r="G153" s="350">
        <v>46296</v>
      </c>
      <c r="H153" s="125" t="s">
        <v>445</v>
      </c>
      <c r="I153" s="70"/>
      <c r="J153" s="572"/>
      <c r="K153" s="566"/>
      <c r="L153" s="427"/>
      <c r="M153" s="113"/>
      <c r="N153" s="403"/>
      <c r="O153" s="403"/>
      <c r="P153" s="70"/>
      <c r="Q153" s="404"/>
      <c r="R153" s="404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</row>
    <row r="154" spans="1:36" s="58" customFormat="1" ht="15" hidden="1" customHeight="1">
      <c r="A154" s="560" t="s">
        <v>560</v>
      </c>
      <c r="B154" s="111" t="s">
        <v>564</v>
      </c>
      <c r="C154" s="111"/>
      <c r="D154" s="119"/>
      <c r="E154" s="121">
        <v>6</v>
      </c>
      <c r="F154" s="351">
        <v>46293</v>
      </c>
      <c r="G154" s="125">
        <v>46294</v>
      </c>
      <c r="H154" s="125" t="s">
        <v>19</v>
      </c>
      <c r="I154" s="70"/>
      <c r="J154" s="563"/>
      <c r="K154" s="566"/>
      <c r="L154" s="427"/>
      <c r="M154" s="113"/>
      <c r="N154" s="403"/>
      <c r="O154" s="403"/>
      <c r="P154" s="70"/>
      <c r="Q154" s="404"/>
      <c r="R154" s="404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</row>
    <row r="155" spans="1:36" s="58" customFormat="1" ht="15" hidden="1" customHeight="1">
      <c r="A155" s="560" t="s">
        <v>560</v>
      </c>
      <c r="B155" s="111" t="s">
        <v>565</v>
      </c>
      <c r="C155" s="111"/>
      <c r="D155" s="119"/>
      <c r="E155" s="121">
        <v>6</v>
      </c>
      <c r="F155" s="351">
        <v>46293</v>
      </c>
      <c r="G155" s="125">
        <v>46294</v>
      </c>
      <c r="H155" s="125" t="s">
        <v>19</v>
      </c>
      <c r="I155" s="70"/>
      <c r="J155" s="572" t="s">
        <v>566</v>
      </c>
      <c r="K155" s="564"/>
      <c r="L155" s="427"/>
      <c r="M155" s="113"/>
      <c r="N155" s="403"/>
      <c r="O155" s="403"/>
      <c r="P155" s="70"/>
      <c r="Q155" s="404"/>
      <c r="R155" s="404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</row>
    <row r="156" spans="1:36" s="58" customFormat="1" ht="15" hidden="1" customHeight="1">
      <c r="A156" s="560" t="s">
        <v>560</v>
      </c>
      <c r="B156" s="114" t="s">
        <v>567</v>
      </c>
      <c r="C156" s="114"/>
      <c r="D156" s="119"/>
      <c r="E156" s="121">
        <v>21</v>
      </c>
      <c r="F156" s="125">
        <v>46302</v>
      </c>
      <c r="G156" s="350">
        <v>46302</v>
      </c>
      <c r="H156" s="119" t="s">
        <v>19</v>
      </c>
      <c r="I156" s="70"/>
      <c r="J156" s="534"/>
      <c r="K156" s="533"/>
      <c r="L156" s="70"/>
      <c r="M156" s="113"/>
      <c r="N156" s="403"/>
      <c r="O156" s="403"/>
      <c r="P156" s="70"/>
      <c r="Q156" s="404"/>
      <c r="R156" s="404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</row>
    <row r="157" spans="1:36" s="14" customFormat="1" ht="14.25" hidden="1" customHeight="1">
      <c r="A157" s="560" t="s">
        <v>560</v>
      </c>
      <c r="B157" s="111" t="s">
        <v>568</v>
      </c>
      <c r="C157" s="111"/>
      <c r="D157" s="119"/>
      <c r="E157" s="121">
        <v>24</v>
      </c>
      <c r="F157" s="125">
        <v>46314</v>
      </c>
      <c r="G157" s="125">
        <v>46314</v>
      </c>
      <c r="H157" s="125" t="s">
        <v>19</v>
      </c>
      <c r="I157" s="70"/>
      <c r="J157" s="563" t="s">
        <v>569</v>
      </c>
      <c r="K157" s="564"/>
      <c r="L157" s="70"/>
      <c r="M157" s="126"/>
      <c r="N157" s="403"/>
      <c r="O157" s="403"/>
      <c r="P157" s="70"/>
      <c r="Q157" s="404"/>
      <c r="R157" s="404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</row>
    <row r="158" spans="1:36" s="14" customFormat="1" ht="15" hidden="1" customHeight="1">
      <c r="A158" s="560" t="s">
        <v>570</v>
      </c>
      <c r="B158" s="111" t="s">
        <v>571</v>
      </c>
      <c r="C158" s="111"/>
      <c r="D158" s="119" t="s">
        <v>572</v>
      </c>
      <c r="E158" s="121">
        <v>5800</v>
      </c>
      <c r="F158" s="125">
        <v>46238</v>
      </c>
      <c r="G158" s="351">
        <v>46238</v>
      </c>
      <c r="H158" s="119" t="s">
        <v>19</v>
      </c>
      <c r="I158" s="70"/>
      <c r="J158" s="583">
        <v>12195145609</v>
      </c>
      <c r="K158" s="588"/>
      <c r="L158" s="70"/>
      <c r="M158" s="126"/>
      <c r="N158" s="403"/>
      <c r="O158" s="403"/>
      <c r="P158" s="70"/>
      <c r="Q158" s="404"/>
      <c r="R158" s="404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</row>
    <row r="159" spans="1:36" s="14" customFormat="1" hidden="1">
      <c r="A159" s="560" t="s">
        <v>570</v>
      </c>
      <c r="B159" s="111" t="s">
        <v>573</v>
      </c>
      <c r="C159" s="111"/>
      <c r="D159" s="119">
        <v>363</v>
      </c>
      <c r="E159" s="121">
        <v>10500</v>
      </c>
      <c r="F159" s="125">
        <v>46241</v>
      </c>
      <c r="G159" s="351">
        <v>46241</v>
      </c>
      <c r="H159" s="119" t="s">
        <v>574</v>
      </c>
      <c r="I159" s="70"/>
      <c r="J159" s="586" t="s">
        <v>575</v>
      </c>
      <c r="K159" s="587"/>
      <c r="L159" s="70"/>
      <c r="M159" s="123"/>
      <c r="N159" s="403"/>
      <c r="O159" s="403"/>
      <c r="P159" s="70"/>
      <c r="Q159" s="404"/>
      <c r="R159" s="404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</row>
    <row r="160" spans="1:36" s="14" customFormat="1" hidden="1">
      <c r="A160" s="560" t="s">
        <v>570</v>
      </c>
      <c r="B160" s="111" t="s">
        <v>576</v>
      </c>
      <c r="C160" s="111"/>
      <c r="D160" s="119">
        <v>365</v>
      </c>
      <c r="E160" s="121">
        <v>18900</v>
      </c>
      <c r="F160" s="125">
        <v>46241</v>
      </c>
      <c r="G160" s="351">
        <v>46241</v>
      </c>
      <c r="H160" s="119" t="s">
        <v>19</v>
      </c>
      <c r="I160" s="70"/>
      <c r="J160" s="569" t="s">
        <v>355</v>
      </c>
      <c r="K160" s="569"/>
      <c r="L160" s="70"/>
      <c r="M160" s="126"/>
      <c r="N160" s="403"/>
      <c r="O160" s="403"/>
      <c r="P160" s="70"/>
      <c r="Q160" s="404"/>
      <c r="R160" s="404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</row>
    <row r="161" spans="1:36" s="14" customFormat="1" hidden="1">
      <c r="A161" s="560" t="s">
        <v>570</v>
      </c>
      <c r="B161" s="111" t="s">
        <v>577</v>
      </c>
      <c r="C161" s="111"/>
      <c r="D161" s="119">
        <v>363</v>
      </c>
      <c r="E161" s="121">
        <v>4500</v>
      </c>
      <c r="F161" s="125">
        <v>46245</v>
      </c>
      <c r="G161" s="351">
        <v>46246</v>
      </c>
      <c r="H161" s="119" t="s">
        <v>19</v>
      </c>
      <c r="I161" s="70"/>
      <c r="J161" s="563"/>
      <c r="K161" s="564"/>
      <c r="L161" s="427"/>
      <c r="M161" s="113"/>
      <c r="N161" s="403"/>
      <c r="O161" s="403"/>
      <c r="P161" s="70"/>
      <c r="Q161" s="404"/>
      <c r="R161" s="404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</row>
    <row r="162" spans="1:36" s="14" customFormat="1" hidden="1">
      <c r="A162" s="560" t="s">
        <v>570</v>
      </c>
      <c r="B162" s="111" t="s">
        <v>578</v>
      </c>
      <c r="C162" s="111"/>
      <c r="D162" s="119">
        <v>365</v>
      </c>
      <c r="E162" s="121">
        <v>8100</v>
      </c>
      <c r="F162" s="125">
        <v>46245</v>
      </c>
      <c r="G162" s="351">
        <v>46246</v>
      </c>
      <c r="H162" s="119" t="s">
        <v>19</v>
      </c>
      <c r="I162" s="70"/>
      <c r="J162" s="563"/>
      <c r="K162" s="564"/>
      <c r="L162" s="427"/>
      <c r="M162" s="113"/>
      <c r="N162" s="403"/>
      <c r="O162" s="403"/>
      <c r="P162" s="70"/>
      <c r="Q162" s="404"/>
      <c r="R162" s="404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</row>
    <row r="163" spans="1:36" s="14" customFormat="1" hidden="1">
      <c r="A163" s="560" t="s">
        <v>570</v>
      </c>
      <c r="B163" s="111" t="s">
        <v>579</v>
      </c>
      <c r="C163" s="111"/>
      <c r="D163" s="119"/>
      <c r="E163" s="121">
        <v>11900</v>
      </c>
      <c r="F163" s="125">
        <v>46259</v>
      </c>
      <c r="G163" s="351">
        <v>46259</v>
      </c>
      <c r="H163" s="119" t="s">
        <v>19</v>
      </c>
      <c r="I163" s="70"/>
      <c r="J163" s="563" t="s">
        <v>580</v>
      </c>
      <c r="K163" s="564"/>
      <c r="L163" s="427"/>
      <c r="M163" s="113"/>
      <c r="N163" s="403"/>
      <c r="O163" s="403"/>
      <c r="P163" s="70"/>
      <c r="Q163" s="404"/>
      <c r="R163" s="404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</row>
    <row r="164" spans="1:36" s="14" customFormat="1" hidden="1">
      <c r="A164" s="560" t="s">
        <v>570</v>
      </c>
      <c r="B164" s="111" t="s">
        <v>581</v>
      </c>
      <c r="C164" s="111"/>
      <c r="D164" s="119"/>
      <c r="E164" s="121">
        <v>5100</v>
      </c>
      <c r="F164" s="125">
        <v>46265</v>
      </c>
      <c r="G164" s="351">
        <v>46266</v>
      </c>
      <c r="H164" s="119" t="s">
        <v>19</v>
      </c>
      <c r="I164" s="70"/>
      <c r="J164" s="563"/>
      <c r="K164" s="564"/>
      <c r="L164" s="427"/>
      <c r="M164" s="113"/>
      <c r="N164" s="403"/>
      <c r="O164" s="403"/>
      <c r="P164" s="70"/>
      <c r="Q164" s="404"/>
      <c r="R164" s="404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</row>
    <row r="165" spans="1:36" s="14" customFormat="1" hidden="1">
      <c r="A165" s="560" t="s">
        <v>570</v>
      </c>
      <c r="B165" s="111" t="s">
        <v>582</v>
      </c>
      <c r="C165" s="111"/>
      <c r="D165" s="119"/>
      <c r="E165" s="121">
        <v>11900</v>
      </c>
      <c r="F165" s="125">
        <v>46268</v>
      </c>
      <c r="G165" s="125">
        <v>46268</v>
      </c>
      <c r="H165" s="119" t="s">
        <v>19</v>
      </c>
      <c r="I165" s="70"/>
      <c r="J165" s="563"/>
      <c r="K165" s="564"/>
      <c r="L165" s="427"/>
      <c r="M165" s="113"/>
      <c r="N165" s="403"/>
      <c r="O165" s="403"/>
      <c r="P165" s="70"/>
      <c r="Q165" s="404"/>
      <c r="R165" s="404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</row>
    <row r="166" spans="1:36" s="14" customFormat="1" ht="15.6" hidden="1" customHeight="1">
      <c r="A166" s="560" t="s">
        <v>570</v>
      </c>
      <c r="B166" s="111" t="s">
        <v>583</v>
      </c>
      <c r="C166" s="111"/>
      <c r="D166" s="119"/>
      <c r="E166" s="121">
        <v>5100</v>
      </c>
      <c r="F166" s="125">
        <v>46275</v>
      </c>
      <c r="G166" s="125">
        <v>46276</v>
      </c>
      <c r="H166" s="119" t="s">
        <v>19</v>
      </c>
      <c r="I166" s="70"/>
      <c r="J166" s="563"/>
      <c r="K166" s="564"/>
      <c r="L166" s="427"/>
      <c r="M166" s="113"/>
      <c r="N166" s="403"/>
      <c r="O166" s="403"/>
      <c r="P166" s="70"/>
      <c r="Q166" s="404"/>
      <c r="R166" s="404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</row>
    <row r="167" spans="1:36" s="14" customFormat="1" hidden="1">
      <c r="A167" s="560" t="s">
        <v>570</v>
      </c>
      <c r="B167" s="111" t="s">
        <v>584</v>
      </c>
      <c r="C167" s="111"/>
      <c r="D167" s="119"/>
      <c r="E167" s="121">
        <f>17000*70%</f>
        <v>11900</v>
      </c>
      <c r="F167" s="125">
        <v>46276</v>
      </c>
      <c r="G167" s="125">
        <v>46276</v>
      </c>
      <c r="H167" s="119" t="s">
        <v>19</v>
      </c>
      <c r="I167" s="70"/>
      <c r="J167" s="563"/>
      <c r="K167" s="564"/>
      <c r="L167" s="427"/>
      <c r="M167" s="113"/>
      <c r="N167" s="403"/>
      <c r="O167" s="403"/>
      <c r="P167" s="70"/>
      <c r="Q167" s="404"/>
      <c r="R167" s="404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</row>
    <row r="168" spans="1:36" s="14" customFormat="1" hidden="1">
      <c r="A168" s="560" t="s">
        <v>570</v>
      </c>
      <c r="B168" s="111" t="s">
        <v>585</v>
      </c>
      <c r="C168" s="111"/>
      <c r="D168" s="119"/>
      <c r="E168" s="121">
        <f>17000*30%</f>
        <v>5100</v>
      </c>
      <c r="F168" s="125">
        <v>46286</v>
      </c>
      <c r="G168" s="125">
        <v>46289</v>
      </c>
      <c r="H168" s="119" t="s">
        <v>19</v>
      </c>
      <c r="I168" s="70"/>
      <c r="J168" s="563"/>
      <c r="K168" s="564"/>
      <c r="L168" s="427"/>
      <c r="M168" s="113"/>
      <c r="N168" s="403"/>
      <c r="O168" s="403"/>
      <c r="P168" s="70"/>
      <c r="Q168" s="404"/>
      <c r="R168" s="404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</row>
    <row r="169" spans="1:36" s="14" customFormat="1" hidden="1">
      <c r="A169" s="437" t="s">
        <v>570</v>
      </c>
      <c r="B169" s="114" t="s">
        <v>586</v>
      </c>
      <c r="C169" s="114"/>
      <c r="D169" s="119">
        <v>365</v>
      </c>
      <c r="E169" s="121">
        <v>3769.38</v>
      </c>
      <c r="F169" s="125">
        <v>46270</v>
      </c>
      <c r="G169" s="351" t="s">
        <v>366</v>
      </c>
      <c r="H169" s="498" t="s">
        <v>587</v>
      </c>
      <c r="J169" s="563" t="s">
        <v>588</v>
      </c>
      <c r="K169" s="564"/>
      <c r="L169" s="427"/>
      <c r="M169" s="113"/>
      <c r="N169" s="403"/>
      <c r="O169" s="403"/>
      <c r="P169" s="70"/>
      <c r="Q169" s="404"/>
      <c r="R169" s="404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</row>
    <row r="170" spans="1:36" s="14" customFormat="1" hidden="1">
      <c r="A170" s="437" t="s">
        <v>570</v>
      </c>
      <c r="B170" s="114" t="s">
        <v>589</v>
      </c>
      <c r="C170" s="114"/>
      <c r="D170" s="135"/>
      <c r="E170" s="121">
        <f>4400+303.3</f>
        <v>4703.3</v>
      </c>
      <c r="F170" s="125">
        <v>46282</v>
      </c>
      <c r="G170" s="125">
        <v>46293</v>
      </c>
      <c r="H170" s="125" t="s">
        <v>19</v>
      </c>
      <c r="I170" s="70"/>
      <c r="J170" s="563"/>
      <c r="K170" s="564"/>
      <c r="L170" s="427"/>
      <c r="M170" s="113"/>
      <c r="N170" s="403"/>
      <c r="O170" s="403"/>
      <c r="P170" s="70"/>
      <c r="Q170" s="404"/>
      <c r="R170" s="404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</row>
    <row r="171" spans="1:36" s="14" customFormat="1" hidden="1">
      <c r="A171" s="437" t="s">
        <v>570</v>
      </c>
      <c r="B171" s="114" t="s">
        <v>590</v>
      </c>
      <c r="C171" s="114"/>
      <c r="D171" s="135"/>
      <c r="E171" s="121">
        <f>4450+259.2</f>
        <v>4709.2</v>
      </c>
      <c r="F171" s="125">
        <v>46282</v>
      </c>
      <c r="G171" s="125">
        <v>46293</v>
      </c>
      <c r="H171" s="125" t="s">
        <v>19</v>
      </c>
      <c r="I171" s="70"/>
      <c r="J171" s="563"/>
      <c r="K171" s="564"/>
      <c r="L171" s="427"/>
      <c r="M171" s="113"/>
      <c r="N171" s="403"/>
      <c r="O171" s="403"/>
      <c r="P171" s="70"/>
      <c r="Q171" s="404"/>
      <c r="R171" s="404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</row>
    <row r="172" spans="1:36" s="14" customFormat="1">
      <c r="A172" s="437" t="s">
        <v>570</v>
      </c>
      <c r="B172" s="114" t="s">
        <v>591</v>
      </c>
      <c r="C172" s="439"/>
      <c r="D172" s="119"/>
      <c r="E172" s="121">
        <v>11900</v>
      </c>
      <c r="F172" s="350">
        <v>46287</v>
      </c>
      <c r="G172" s="478" t="s">
        <v>366</v>
      </c>
      <c r="H172" s="498" t="s">
        <v>592</v>
      </c>
      <c r="I172" s="70"/>
      <c r="J172" s="563" t="s">
        <v>593</v>
      </c>
      <c r="K172" s="564"/>
      <c r="L172" s="427"/>
      <c r="M172" s="113"/>
      <c r="N172" s="403"/>
      <c r="O172" s="403"/>
      <c r="P172" s="70"/>
      <c r="Q172" s="404"/>
      <c r="R172" s="404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</row>
    <row r="173" spans="1:36" s="14" customFormat="1">
      <c r="A173" s="437" t="s">
        <v>570</v>
      </c>
      <c r="B173" s="114" t="s">
        <v>594</v>
      </c>
      <c r="C173" s="439"/>
      <c r="D173" s="119"/>
      <c r="E173" s="121">
        <v>5100</v>
      </c>
      <c r="F173" s="350">
        <v>46287</v>
      </c>
      <c r="G173" s="478" t="s">
        <v>366</v>
      </c>
      <c r="H173" s="498" t="s">
        <v>592</v>
      </c>
      <c r="I173" s="70"/>
      <c r="J173" s="563"/>
      <c r="K173" s="564"/>
      <c r="L173" s="427"/>
      <c r="M173" s="113"/>
      <c r="N173" s="403"/>
      <c r="O173" s="403"/>
      <c r="P173" s="70"/>
      <c r="Q173" s="404"/>
      <c r="R173" s="404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</row>
    <row r="174" spans="1:36" s="14" customFormat="1">
      <c r="A174" s="437" t="s">
        <v>570</v>
      </c>
      <c r="B174" s="114" t="s">
        <v>595</v>
      </c>
      <c r="C174" s="439"/>
      <c r="D174" s="119"/>
      <c r="E174" s="121">
        <v>11900</v>
      </c>
      <c r="F174" s="350">
        <v>46287</v>
      </c>
      <c r="G174" s="478" t="s">
        <v>366</v>
      </c>
      <c r="H174" s="498" t="s">
        <v>592</v>
      </c>
      <c r="I174" s="70"/>
      <c r="J174" s="563"/>
      <c r="K174" s="564"/>
      <c r="L174" s="427"/>
      <c r="M174" s="113"/>
      <c r="N174" s="403"/>
      <c r="O174" s="403"/>
      <c r="P174" s="70"/>
      <c r="Q174" s="404"/>
      <c r="R174" s="404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</row>
    <row r="175" spans="1:36" s="14" customFormat="1">
      <c r="A175" s="437" t="s">
        <v>570</v>
      </c>
      <c r="B175" s="114" t="s">
        <v>596</v>
      </c>
      <c r="C175" s="439"/>
      <c r="D175" s="119"/>
      <c r="E175" s="121">
        <v>5100</v>
      </c>
      <c r="F175" s="350">
        <v>46287</v>
      </c>
      <c r="G175" s="478" t="s">
        <v>366</v>
      </c>
      <c r="H175" s="498" t="s">
        <v>592</v>
      </c>
      <c r="I175" s="70"/>
      <c r="J175" s="563"/>
      <c r="K175" s="564"/>
      <c r="L175" s="427"/>
      <c r="M175" s="113"/>
      <c r="N175" s="403"/>
      <c r="O175" s="403"/>
      <c r="P175" s="70"/>
      <c r="Q175" s="404"/>
      <c r="R175" s="404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</row>
    <row r="176" spans="1:36" s="14" customFormat="1" hidden="1">
      <c r="A176" s="560" t="s">
        <v>570</v>
      </c>
      <c r="B176" s="114" t="s">
        <v>597</v>
      </c>
      <c r="C176" s="114"/>
      <c r="D176" s="119"/>
      <c r="E176" s="121">
        <v>10850</v>
      </c>
      <c r="F176" s="125">
        <v>46296</v>
      </c>
      <c r="G176" s="350">
        <v>46296</v>
      </c>
      <c r="H176" s="125" t="s">
        <v>445</v>
      </c>
      <c r="I176" s="70"/>
      <c r="J176" s="563"/>
      <c r="K176" s="564"/>
      <c r="L176" s="427"/>
      <c r="M176" s="113"/>
      <c r="N176" s="403"/>
      <c r="O176" s="403"/>
      <c r="P176" s="70"/>
      <c r="Q176" s="404"/>
      <c r="R176" s="404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</row>
    <row r="177" spans="1:36" s="14" customFormat="1">
      <c r="A177" s="560" t="s">
        <v>570</v>
      </c>
      <c r="B177" s="114" t="s">
        <v>598</v>
      </c>
      <c r="C177" s="439"/>
      <c r="D177" s="119"/>
      <c r="E177" s="121">
        <f>4100*30%</f>
        <v>1230</v>
      </c>
      <c r="F177" s="125">
        <v>46314</v>
      </c>
      <c r="G177" s="350"/>
      <c r="H177" s="498" t="s">
        <v>592</v>
      </c>
      <c r="I177" s="70"/>
      <c r="J177" s="563"/>
      <c r="K177" s="564"/>
      <c r="L177" s="427"/>
      <c r="M177" s="113"/>
      <c r="N177" s="403"/>
      <c r="O177" s="403"/>
      <c r="P177" s="70"/>
      <c r="Q177" s="404"/>
      <c r="R177" s="404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</row>
    <row r="178" spans="1:36" s="14" customFormat="1">
      <c r="A178" s="437" t="s">
        <v>570</v>
      </c>
      <c r="B178" s="114" t="s">
        <v>599</v>
      </c>
      <c r="C178" s="439"/>
      <c r="D178" s="119"/>
      <c r="E178" s="121">
        <f>11900+2996.4+5100</f>
        <v>19996.400000000001</v>
      </c>
      <c r="F178" s="125">
        <v>46312</v>
      </c>
      <c r="G178" s="350"/>
      <c r="H178" s="498" t="s">
        <v>592</v>
      </c>
      <c r="I178" s="70"/>
      <c r="J178" s="563"/>
      <c r="K178" s="564"/>
      <c r="L178" s="427"/>
      <c r="M178" s="113"/>
      <c r="N178" s="403"/>
      <c r="O178" s="403"/>
      <c r="P178" s="70"/>
      <c r="Q178" s="404"/>
      <c r="R178" s="404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</row>
    <row r="179" spans="1:36" s="14" customFormat="1">
      <c r="A179" s="437" t="s">
        <v>570</v>
      </c>
      <c r="B179" s="114" t="s">
        <v>600</v>
      </c>
      <c r="C179" s="439"/>
      <c r="D179" s="119"/>
      <c r="E179" s="121">
        <f>11900+2996.4+5100</f>
        <v>19996.400000000001</v>
      </c>
      <c r="F179" s="125">
        <v>46312</v>
      </c>
      <c r="G179" s="350"/>
      <c r="H179" s="498" t="s">
        <v>592</v>
      </c>
      <c r="I179" s="70"/>
      <c r="J179" s="572" t="s">
        <v>601</v>
      </c>
      <c r="K179" s="564"/>
      <c r="L179" s="427"/>
      <c r="M179" s="113"/>
      <c r="N179" s="403"/>
      <c r="O179" s="403"/>
      <c r="P179" s="70"/>
      <c r="Q179" s="404"/>
      <c r="R179" s="404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</row>
    <row r="180" spans="1:36" s="14" customFormat="1" hidden="1">
      <c r="A180" s="560" t="s">
        <v>570</v>
      </c>
      <c r="B180" s="114" t="s">
        <v>602</v>
      </c>
      <c r="C180" s="114"/>
      <c r="D180" s="119"/>
      <c r="E180" s="121">
        <v>10850</v>
      </c>
      <c r="F180" s="125">
        <v>46301</v>
      </c>
      <c r="G180" s="350">
        <v>46301</v>
      </c>
      <c r="H180" s="125" t="s">
        <v>19</v>
      </c>
      <c r="I180" s="70"/>
      <c r="J180" s="563" t="s">
        <v>355</v>
      </c>
      <c r="K180" s="564"/>
      <c r="L180" s="427"/>
      <c r="M180" s="113"/>
      <c r="N180" s="403"/>
      <c r="O180" s="403"/>
      <c r="P180" s="70"/>
      <c r="Q180" s="404"/>
      <c r="R180" s="404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</row>
    <row r="181" spans="1:36" s="14" customFormat="1" hidden="1">
      <c r="A181" s="560" t="s">
        <v>570</v>
      </c>
      <c r="B181" s="114" t="s">
        <v>603</v>
      </c>
      <c r="C181" s="439"/>
      <c r="D181" s="119"/>
      <c r="E181" s="121">
        <v>4650</v>
      </c>
      <c r="F181" s="125">
        <v>46316</v>
      </c>
      <c r="G181" s="125">
        <v>46316</v>
      </c>
      <c r="H181" s="498" t="s">
        <v>592</v>
      </c>
      <c r="I181" s="70"/>
      <c r="J181" s="563" t="s">
        <v>355</v>
      </c>
      <c r="K181" s="564"/>
      <c r="L181" s="427"/>
      <c r="M181" s="113"/>
      <c r="N181" s="403"/>
      <c r="O181" s="403"/>
      <c r="P181" s="70"/>
      <c r="Q181" s="404"/>
      <c r="R181" s="404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</row>
    <row r="182" spans="1:36" s="14" customFormat="1" hidden="1">
      <c r="A182" s="560" t="s">
        <v>570</v>
      </c>
      <c r="B182" s="114" t="s">
        <v>604</v>
      </c>
      <c r="C182" s="439"/>
      <c r="D182" s="119"/>
      <c r="E182" s="121">
        <f>11900+3588.3+5100</f>
        <v>20588.3</v>
      </c>
      <c r="F182" s="125">
        <v>46320</v>
      </c>
      <c r="G182" s="350"/>
      <c r="H182" s="498" t="s">
        <v>592</v>
      </c>
      <c r="I182" s="70"/>
      <c r="J182" s="563"/>
      <c r="K182" s="564"/>
      <c r="L182" s="427"/>
      <c r="M182" s="113"/>
      <c r="N182" s="403"/>
      <c r="O182" s="403"/>
      <c r="P182" s="70"/>
      <c r="Q182" s="404"/>
      <c r="R182" s="404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</row>
    <row r="183" spans="1:36" s="14" customFormat="1" hidden="1">
      <c r="A183" s="560" t="s">
        <v>570</v>
      </c>
      <c r="B183" s="114" t="s">
        <v>605</v>
      </c>
      <c r="C183" s="114"/>
      <c r="D183" s="119"/>
      <c r="E183" s="121">
        <f>4100*70%</f>
        <v>2870</v>
      </c>
      <c r="F183" s="125">
        <v>46309</v>
      </c>
      <c r="G183" s="350">
        <v>46310</v>
      </c>
      <c r="H183" s="125" t="s">
        <v>19</v>
      </c>
      <c r="I183" s="70"/>
      <c r="J183" s="563"/>
      <c r="K183" s="564"/>
      <c r="L183" s="427"/>
      <c r="M183" s="113"/>
      <c r="N183" s="403"/>
      <c r="O183" s="403"/>
      <c r="P183" s="70"/>
      <c r="Q183" s="404"/>
      <c r="R183" s="404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</row>
    <row r="184" spans="1:36" s="14" customFormat="1">
      <c r="A184" s="560" t="s">
        <v>570</v>
      </c>
      <c r="B184" s="114" t="s">
        <v>606</v>
      </c>
      <c r="C184" s="439"/>
      <c r="D184" s="119"/>
      <c r="E184" s="121">
        <v>23000</v>
      </c>
      <c r="F184" s="125">
        <v>46317</v>
      </c>
      <c r="G184" s="350"/>
      <c r="H184" s="498" t="s">
        <v>592</v>
      </c>
      <c r="I184" s="70"/>
      <c r="J184" s="563"/>
      <c r="K184" s="564"/>
      <c r="L184" s="427"/>
      <c r="M184" s="113"/>
      <c r="N184" s="403"/>
      <c r="O184" s="403"/>
      <c r="P184" s="70"/>
      <c r="Q184" s="404"/>
      <c r="R184" s="404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</row>
    <row r="185" spans="1:36" s="14" customFormat="1" hidden="1">
      <c r="A185" s="560" t="s">
        <v>570</v>
      </c>
      <c r="B185" s="114" t="s">
        <v>607</v>
      </c>
      <c r="C185" s="114"/>
      <c r="D185" s="119"/>
      <c r="E185" s="121">
        <v>5224.8</v>
      </c>
      <c r="F185" s="125">
        <v>46305</v>
      </c>
      <c r="G185" s="350" t="s">
        <v>556</v>
      </c>
      <c r="H185" s="119" t="s">
        <v>19</v>
      </c>
      <c r="I185" s="70"/>
      <c r="J185" s="563" t="s">
        <v>608</v>
      </c>
      <c r="K185" s="564"/>
      <c r="L185" s="427"/>
      <c r="M185" s="113"/>
      <c r="N185" s="403"/>
      <c r="O185" s="403"/>
      <c r="P185" s="70"/>
      <c r="Q185" s="404"/>
      <c r="R185" s="404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</row>
    <row r="186" spans="1:36" s="14" customFormat="1" hidden="1">
      <c r="A186" s="560" t="s">
        <v>570</v>
      </c>
      <c r="B186" s="114" t="s">
        <v>609</v>
      </c>
      <c r="C186" s="439"/>
      <c r="D186" s="119"/>
      <c r="E186" s="121">
        <f>5500*70%</f>
        <v>3849.9999999999995</v>
      </c>
      <c r="F186" s="125">
        <v>46315</v>
      </c>
      <c r="G186" s="350">
        <v>46316</v>
      </c>
      <c r="H186" s="498" t="s">
        <v>592</v>
      </c>
      <c r="I186" s="70"/>
      <c r="J186" s="563"/>
      <c r="K186" s="564"/>
      <c r="L186" s="427"/>
      <c r="M186" s="113"/>
      <c r="N186" s="403"/>
      <c r="O186" s="403"/>
      <c r="P186" s="70"/>
      <c r="Q186" s="404"/>
      <c r="R186" s="404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</row>
    <row r="187" spans="1:36" s="14" customFormat="1" hidden="1">
      <c r="A187" s="560" t="s">
        <v>570</v>
      </c>
      <c r="B187" s="114" t="s">
        <v>610</v>
      </c>
      <c r="C187" s="439"/>
      <c r="D187" s="119"/>
      <c r="E187" s="121">
        <f>5500*30%</f>
        <v>1650</v>
      </c>
      <c r="F187" s="125">
        <v>46320</v>
      </c>
      <c r="G187" s="350"/>
      <c r="H187" s="119"/>
      <c r="I187" s="70"/>
      <c r="J187" s="563"/>
      <c r="K187" s="564"/>
      <c r="L187" s="427"/>
      <c r="M187" s="113"/>
      <c r="N187" s="403"/>
      <c r="O187" s="403"/>
      <c r="P187" s="70"/>
      <c r="Q187" s="404"/>
      <c r="R187" s="404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</row>
    <row r="188" spans="1:36" s="14" customFormat="1" hidden="1">
      <c r="A188" s="560" t="s">
        <v>570</v>
      </c>
      <c r="B188" s="114" t="s">
        <v>611</v>
      </c>
      <c r="C188" s="439"/>
      <c r="D188" s="119"/>
      <c r="E188" s="121">
        <f>22937.22*70%</f>
        <v>16056.054</v>
      </c>
      <c r="F188" s="125">
        <v>46315</v>
      </c>
      <c r="G188" s="350">
        <f>F188+1</f>
        <v>46316</v>
      </c>
      <c r="H188" s="498" t="s">
        <v>592</v>
      </c>
      <c r="I188" s="70"/>
      <c r="J188" s="563"/>
      <c r="K188" s="564"/>
      <c r="L188" s="427"/>
      <c r="M188" s="113"/>
      <c r="N188" s="403"/>
      <c r="O188" s="403"/>
      <c r="P188" s="70"/>
      <c r="Q188" s="404"/>
      <c r="R188" s="404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</row>
    <row r="189" spans="1:36" s="14" customFormat="1">
      <c r="A189" s="560" t="s">
        <v>570</v>
      </c>
      <c r="B189" s="114" t="s">
        <v>612</v>
      </c>
      <c r="C189" s="439"/>
      <c r="D189" s="119"/>
      <c r="E189" s="121">
        <f>22937.22*30%</f>
        <v>6881.1660000000002</v>
      </c>
      <c r="F189" s="125">
        <v>46315</v>
      </c>
      <c r="G189" s="350"/>
      <c r="H189" s="119"/>
      <c r="I189" s="70"/>
      <c r="J189" s="563"/>
      <c r="K189" s="564"/>
      <c r="L189" s="427"/>
      <c r="M189" s="113"/>
      <c r="N189" s="403"/>
      <c r="O189" s="403"/>
      <c r="P189" s="70"/>
      <c r="Q189" s="404"/>
      <c r="R189" s="404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</row>
    <row r="190" spans="1:36" s="14" customFormat="1" hidden="1">
      <c r="A190" s="560" t="s">
        <v>613</v>
      </c>
      <c r="B190" s="111" t="s">
        <v>614</v>
      </c>
      <c r="C190" s="111"/>
      <c r="D190" s="119" t="s">
        <v>355</v>
      </c>
      <c r="E190" s="121">
        <v>78.62</v>
      </c>
      <c r="F190" s="125">
        <v>46237</v>
      </c>
      <c r="G190" s="351">
        <v>46237</v>
      </c>
      <c r="H190" s="119" t="s">
        <v>19</v>
      </c>
      <c r="I190" s="70"/>
      <c r="J190" s="563"/>
      <c r="K190" s="564"/>
      <c r="L190" s="70"/>
      <c r="M190" s="113"/>
      <c r="N190" s="403"/>
      <c r="O190" s="403"/>
      <c r="P190" s="70"/>
      <c r="Q190" s="404"/>
      <c r="R190" s="404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</row>
    <row r="191" spans="1:36" s="14" customFormat="1" hidden="1">
      <c r="A191" s="560" t="s">
        <v>613</v>
      </c>
      <c r="B191" s="111" t="s">
        <v>615</v>
      </c>
      <c r="C191" s="111"/>
      <c r="D191" s="119"/>
      <c r="E191" s="121">
        <v>147.22999999999999</v>
      </c>
      <c r="F191" s="125">
        <v>46251</v>
      </c>
      <c r="G191" s="351">
        <v>46251</v>
      </c>
      <c r="H191" s="119" t="s">
        <v>19</v>
      </c>
      <c r="I191" s="70"/>
      <c r="J191" s="563"/>
      <c r="K191" s="564"/>
      <c r="L191" s="70"/>
      <c r="M191" s="113"/>
      <c r="N191" s="403"/>
      <c r="O191" s="403"/>
      <c r="P191" s="70"/>
      <c r="Q191" s="404"/>
      <c r="R191" s="404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</row>
    <row r="192" spans="1:36" s="14" customFormat="1" hidden="1">
      <c r="A192" s="560" t="s">
        <v>613</v>
      </c>
      <c r="B192" s="111" t="s">
        <v>616</v>
      </c>
      <c r="C192" s="111"/>
      <c r="D192" s="119"/>
      <c r="E192" s="121">
        <v>119.66</v>
      </c>
      <c r="F192" s="125">
        <v>46273</v>
      </c>
      <c r="G192" s="125">
        <v>46273</v>
      </c>
      <c r="H192" s="119" t="s">
        <v>481</v>
      </c>
      <c r="I192" s="70"/>
      <c r="J192" s="563"/>
      <c r="K192" s="564"/>
      <c r="L192" s="70"/>
      <c r="M192" s="113"/>
      <c r="N192" s="403"/>
      <c r="O192" s="403"/>
      <c r="P192" s="70"/>
      <c r="Q192" s="404"/>
      <c r="R192" s="404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</row>
    <row r="193" spans="1:36" s="14" customFormat="1" hidden="1">
      <c r="A193" s="560" t="s">
        <v>368</v>
      </c>
      <c r="B193" s="111" t="s">
        <v>617</v>
      </c>
      <c r="C193" s="111"/>
      <c r="D193" s="119" t="s">
        <v>383</v>
      </c>
      <c r="E193" s="121">
        <v>6000</v>
      </c>
      <c r="F193" s="125">
        <v>46236</v>
      </c>
      <c r="G193" s="351">
        <v>46238</v>
      </c>
      <c r="H193" s="119" t="s">
        <v>19</v>
      </c>
      <c r="I193" s="70"/>
      <c r="J193" s="563"/>
      <c r="K193" s="564"/>
      <c r="L193" s="70"/>
      <c r="M193" s="113"/>
      <c r="N193" s="403"/>
      <c r="O193" s="403"/>
      <c r="P193" s="70"/>
      <c r="Q193" s="404"/>
      <c r="R193" s="404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</row>
    <row r="194" spans="1:36" s="14" customFormat="1" hidden="1">
      <c r="A194" s="560" t="s">
        <v>368</v>
      </c>
      <c r="B194" s="111" t="s">
        <v>618</v>
      </c>
      <c r="C194" s="111"/>
      <c r="D194" s="119" t="s">
        <v>372</v>
      </c>
      <c r="E194" s="121">
        <v>6000</v>
      </c>
      <c r="F194" s="125">
        <v>46243</v>
      </c>
      <c r="G194" s="351">
        <v>46246</v>
      </c>
      <c r="H194" s="119" t="s">
        <v>19</v>
      </c>
      <c r="I194" s="70"/>
      <c r="J194" s="563"/>
      <c r="K194" s="564"/>
      <c r="L194" s="70"/>
      <c r="M194" s="113"/>
      <c r="N194" s="403"/>
      <c r="O194" s="403"/>
      <c r="P194" s="70"/>
      <c r="Q194" s="404"/>
      <c r="R194" s="404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</row>
    <row r="195" spans="1:36" s="14" customFormat="1" hidden="1">
      <c r="A195" s="560" t="s">
        <v>368</v>
      </c>
      <c r="B195" s="111" t="s">
        <v>619</v>
      </c>
      <c r="C195" s="111"/>
      <c r="D195" s="119" t="s">
        <v>620</v>
      </c>
      <c r="E195" s="121">
        <v>6000</v>
      </c>
      <c r="F195" s="125">
        <v>46249</v>
      </c>
      <c r="G195" s="351">
        <v>46252</v>
      </c>
      <c r="H195" s="119" t="s">
        <v>19</v>
      </c>
      <c r="I195" s="70"/>
      <c r="J195" s="563"/>
      <c r="K195" s="564"/>
      <c r="L195" s="70"/>
      <c r="M195" s="113"/>
      <c r="N195" s="403"/>
      <c r="O195" s="403"/>
      <c r="P195" s="70"/>
      <c r="Q195" s="404"/>
      <c r="R195" s="404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</row>
    <row r="196" spans="1:36" s="14" customFormat="1" hidden="1">
      <c r="A196" s="560" t="s">
        <v>368</v>
      </c>
      <c r="B196" s="111" t="s">
        <v>621</v>
      </c>
      <c r="C196" s="111"/>
      <c r="D196" s="119"/>
      <c r="E196" s="121">
        <v>6000</v>
      </c>
      <c r="F196" s="125">
        <v>46259</v>
      </c>
      <c r="G196" s="351">
        <v>46260</v>
      </c>
      <c r="H196" s="119" t="s">
        <v>19</v>
      </c>
      <c r="I196" s="70"/>
      <c r="J196" s="563" t="s">
        <v>622</v>
      </c>
      <c r="K196" s="564"/>
      <c r="L196" s="70"/>
      <c r="M196" s="113"/>
      <c r="N196" s="403"/>
      <c r="O196" s="403"/>
      <c r="P196" s="70"/>
      <c r="Q196" s="404"/>
      <c r="R196" s="404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</row>
    <row r="197" spans="1:36" s="14" customFormat="1" hidden="1">
      <c r="A197" s="560" t="s">
        <v>368</v>
      </c>
      <c r="B197" s="111" t="s">
        <v>623</v>
      </c>
      <c r="C197" s="111"/>
      <c r="D197" s="119" t="s">
        <v>383</v>
      </c>
      <c r="E197" s="121">
        <v>6000</v>
      </c>
      <c r="F197" s="125">
        <v>46267</v>
      </c>
      <c r="G197" s="125">
        <v>46274</v>
      </c>
      <c r="H197" s="119" t="s">
        <v>19</v>
      </c>
      <c r="I197" s="70"/>
      <c r="J197" s="563" t="s">
        <v>622</v>
      </c>
      <c r="K197" s="564"/>
      <c r="L197" s="70"/>
      <c r="M197" s="113"/>
      <c r="N197" s="403"/>
      <c r="O197" s="403"/>
      <c r="P197" s="70"/>
      <c r="Q197" s="404"/>
      <c r="R197" s="404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</row>
    <row r="198" spans="1:36" s="14" customFormat="1" hidden="1">
      <c r="A198" s="560" t="s">
        <v>368</v>
      </c>
      <c r="B198" s="111" t="s">
        <v>369</v>
      </c>
      <c r="C198" s="111"/>
      <c r="D198" s="119"/>
      <c r="E198" s="121">
        <v>5000</v>
      </c>
      <c r="F198" s="125">
        <v>46268</v>
      </c>
      <c r="G198" s="125">
        <v>46268</v>
      </c>
      <c r="H198" s="119" t="s">
        <v>19</v>
      </c>
      <c r="I198" s="70"/>
      <c r="J198" s="563"/>
      <c r="K198" s="564"/>
      <c r="L198" s="70"/>
      <c r="M198" s="113"/>
      <c r="N198" s="403"/>
      <c r="O198" s="403"/>
      <c r="P198" s="70"/>
      <c r="Q198" s="404"/>
      <c r="R198" s="404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</row>
    <row r="199" spans="1:36" s="14" customFormat="1" hidden="1">
      <c r="A199" s="560" t="s">
        <v>368</v>
      </c>
      <c r="B199" s="111" t="s">
        <v>371</v>
      </c>
      <c r="C199" s="111"/>
      <c r="D199" s="119" t="s">
        <v>372</v>
      </c>
      <c r="E199" s="121">
        <v>6000</v>
      </c>
      <c r="F199" s="125">
        <v>46274</v>
      </c>
      <c r="G199" s="125">
        <v>46280</v>
      </c>
      <c r="H199" s="119" t="s">
        <v>19</v>
      </c>
      <c r="I199" s="70"/>
      <c r="J199" s="563"/>
      <c r="K199" s="564"/>
      <c r="L199" s="70"/>
      <c r="M199" s="113"/>
      <c r="N199" s="403"/>
      <c r="O199" s="403"/>
      <c r="P199" s="70"/>
      <c r="Q199" s="404"/>
      <c r="R199" s="404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</row>
    <row r="200" spans="1:36" s="14" customFormat="1" hidden="1">
      <c r="A200" s="560" t="s">
        <v>368</v>
      </c>
      <c r="B200" s="111" t="s">
        <v>624</v>
      </c>
      <c r="C200" s="111"/>
      <c r="D200" s="119" t="s">
        <v>620</v>
      </c>
      <c r="E200" s="121">
        <v>6000</v>
      </c>
      <c r="F200" s="125">
        <v>46280</v>
      </c>
      <c r="G200" s="125">
        <v>46283</v>
      </c>
      <c r="H200" s="119" t="s">
        <v>481</v>
      </c>
      <c r="I200" s="70"/>
      <c r="J200" s="563"/>
      <c r="K200" s="564"/>
      <c r="L200" s="70"/>
      <c r="M200" s="113"/>
      <c r="N200" s="403"/>
      <c r="O200" s="403"/>
      <c r="P200" s="70"/>
      <c r="Q200" s="404"/>
      <c r="R200" s="404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</row>
    <row r="201" spans="1:36" s="14" customFormat="1" hidden="1">
      <c r="A201" s="437" t="s">
        <v>368</v>
      </c>
      <c r="B201" s="114" t="s">
        <v>625</v>
      </c>
      <c r="C201" s="114"/>
      <c r="D201" s="135"/>
      <c r="E201" s="121">
        <v>6000</v>
      </c>
      <c r="F201" s="125">
        <v>46290</v>
      </c>
      <c r="G201" s="125">
        <v>46293</v>
      </c>
      <c r="H201" s="125" t="s">
        <v>19</v>
      </c>
      <c r="I201" s="70"/>
      <c r="J201" s="563"/>
      <c r="K201" s="564"/>
      <c r="L201" s="70"/>
      <c r="M201" s="113"/>
      <c r="N201" s="403"/>
      <c r="O201" s="403"/>
      <c r="P201" s="70"/>
      <c r="Q201" s="404"/>
      <c r="R201" s="404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</row>
    <row r="202" spans="1:36" s="14" customFormat="1">
      <c r="A202" s="560" t="s">
        <v>368</v>
      </c>
      <c r="B202" s="111" t="s">
        <v>619</v>
      </c>
      <c r="C202" s="440"/>
      <c r="D202" s="119" t="s">
        <v>620</v>
      </c>
      <c r="E202" s="121">
        <v>6000</v>
      </c>
      <c r="F202" s="125">
        <v>46310</v>
      </c>
      <c r="G202" s="350" t="s">
        <v>366</v>
      </c>
      <c r="H202" s="125" t="s">
        <v>592</v>
      </c>
      <c r="I202" s="70"/>
      <c r="J202" s="563"/>
      <c r="K202" s="564"/>
      <c r="L202" s="70"/>
      <c r="M202" s="113"/>
      <c r="N202" s="403"/>
      <c r="O202" s="403"/>
      <c r="P202" s="70"/>
      <c r="Q202" s="404"/>
      <c r="R202" s="404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</row>
    <row r="203" spans="1:36" s="14" customFormat="1" hidden="1">
      <c r="A203" s="560" t="s">
        <v>368</v>
      </c>
      <c r="B203" s="114" t="s">
        <v>621</v>
      </c>
      <c r="C203" s="439"/>
      <c r="D203" s="119"/>
      <c r="E203" s="121">
        <v>6000</v>
      </c>
      <c r="F203" s="125">
        <v>46320</v>
      </c>
      <c r="G203" s="350"/>
      <c r="H203" s="125" t="s">
        <v>592</v>
      </c>
      <c r="I203" s="70"/>
      <c r="J203" s="563"/>
      <c r="K203" s="564"/>
      <c r="L203" s="70"/>
      <c r="M203" s="113"/>
      <c r="N203" s="403"/>
      <c r="O203" s="403"/>
      <c r="P203" s="70"/>
      <c r="Q203" s="404"/>
      <c r="R203" s="404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</row>
    <row r="204" spans="1:36" s="14" customFormat="1" hidden="1">
      <c r="A204" s="437" t="s">
        <v>368</v>
      </c>
      <c r="B204" s="114" t="s">
        <v>623</v>
      </c>
      <c r="C204" s="114"/>
      <c r="D204" s="135" t="s">
        <v>383</v>
      </c>
      <c r="E204" s="121">
        <v>6000</v>
      </c>
      <c r="F204" s="350">
        <v>46297</v>
      </c>
      <c r="G204" s="351">
        <v>46310</v>
      </c>
      <c r="H204" s="125" t="s">
        <v>19</v>
      </c>
      <c r="I204" s="70"/>
      <c r="J204" s="563"/>
      <c r="K204" s="564"/>
      <c r="L204" s="70"/>
      <c r="M204" s="113"/>
      <c r="N204" s="403"/>
      <c r="O204" s="403"/>
      <c r="P204" s="70"/>
      <c r="Q204" s="404"/>
      <c r="R204" s="404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</row>
    <row r="205" spans="1:36" s="14" customFormat="1" hidden="1">
      <c r="A205" s="560" t="s">
        <v>626</v>
      </c>
      <c r="B205" s="111" t="s">
        <v>627</v>
      </c>
      <c r="C205" s="111"/>
      <c r="D205" s="119"/>
      <c r="E205" s="121">
        <v>4000</v>
      </c>
      <c r="F205" s="125">
        <v>46248</v>
      </c>
      <c r="G205" s="351">
        <v>46248</v>
      </c>
      <c r="H205" s="119" t="s">
        <v>19</v>
      </c>
      <c r="I205" s="70"/>
      <c r="J205" s="563"/>
      <c r="K205" s="564"/>
      <c r="L205" s="70"/>
      <c r="M205" s="113"/>
      <c r="N205" s="403"/>
      <c r="O205" s="403"/>
      <c r="P205" s="70"/>
      <c r="Q205" s="404"/>
      <c r="R205" s="404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</row>
    <row r="206" spans="1:36" s="14" customFormat="1" ht="15" hidden="1" customHeight="1">
      <c r="A206" s="560" t="s">
        <v>626</v>
      </c>
      <c r="B206" s="111" t="s">
        <v>628</v>
      </c>
      <c r="C206" s="111"/>
      <c r="D206" s="119"/>
      <c r="E206" s="121">
        <v>350</v>
      </c>
      <c r="F206" s="125">
        <v>46248</v>
      </c>
      <c r="G206" s="351">
        <v>46248</v>
      </c>
      <c r="H206" s="119" t="s">
        <v>19</v>
      </c>
      <c r="I206" s="70"/>
      <c r="J206" s="563"/>
      <c r="K206" s="564"/>
      <c r="L206" s="70"/>
      <c r="M206" s="113"/>
      <c r="N206" s="403"/>
      <c r="O206" s="403"/>
      <c r="P206" s="70"/>
      <c r="Q206" s="404"/>
      <c r="R206" s="404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</row>
    <row r="207" spans="1:36" s="14" customFormat="1" hidden="1">
      <c r="A207" s="560" t="s">
        <v>626</v>
      </c>
      <c r="B207" s="111" t="s">
        <v>629</v>
      </c>
      <c r="C207" s="111"/>
      <c r="D207" s="119"/>
      <c r="E207" s="121">
        <v>2000</v>
      </c>
      <c r="F207" s="125">
        <v>46251</v>
      </c>
      <c r="G207" s="351">
        <v>46251</v>
      </c>
      <c r="H207" s="119" t="s">
        <v>19</v>
      </c>
      <c r="I207" s="70"/>
      <c r="J207" s="563"/>
      <c r="K207" s="564"/>
      <c r="L207" s="70"/>
      <c r="M207" s="113"/>
      <c r="N207" s="403"/>
      <c r="O207" s="403"/>
      <c r="P207" s="70"/>
      <c r="Q207" s="404"/>
      <c r="R207" s="404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</row>
    <row r="208" spans="1:36" s="14" customFormat="1" hidden="1">
      <c r="A208" s="560" t="s">
        <v>626</v>
      </c>
      <c r="B208" s="111" t="s">
        <v>630</v>
      </c>
      <c r="C208" s="111"/>
      <c r="D208" s="119"/>
      <c r="E208" s="121">
        <v>500</v>
      </c>
      <c r="F208" s="125">
        <v>46255</v>
      </c>
      <c r="G208" s="351">
        <v>46255</v>
      </c>
      <c r="H208" s="119" t="s">
        <v>19</v>
      </c>
      <c r="I208" s="70"/>
      <c r="J208" s="563"/>
      <c r="K208" s="564"/>
      <c r="L208" s="70"/>
      <c r="M208" s="113"/>
      <c r="N208" s="403"/>
      <c r="O208" s="403"/>
      <c r="P208" s="70"/>
      <c r="Q208" s="404"/>
      <c r="R208" s="404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</row>
    <row r="209" spans="1:16384" s="14" customFormat="1" hidden="1">
      <c r="A209" s="560" t="s">
        <v>626</v>
      </c>
      <c r="B209" s="111" t="s">
        <v>631</v>
      </c>
      <c r="C209" s="111"/>
      <c r="D209" s="119"/>
      <c r="E209" s="121">
        <v>5700</v>
      </c>
      <c r="F209" s="125">
        <v>46258</v>
      </c>
      <c r="G209" s="351">
        <v>46260</v>
      </c>
      <c r="H209" s="119" t="s">
        <v>19</v>
      </c>
      <c r="I209" s="70"/>
      <c r="J209" s="563"/>
      <c r="K209" s="564"/>
      <c r="L209" s="70"/>
      <c r="M209" s="113"/>
      <c r="N209" s="403"/>
      <c r="O209" s="403"/>
      <c r="P209" s="70"/>
      <c r="Q209" s="404"/>
      <c r="R209" s="404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</row>
    <row r="210" spans="1:16384" s="70" customFormat="1" hidden="1">
      <c r="A210" s="560" t="s">
        <v>626</v>
      </c>
      <c r="B210" s="111" t="s">
        <v>632</v>
      </c>
      <c r="C210" s="111"/>
      <c r="D210" s="119"/>
      <c r="E210" s="121">
        <v>100</v>
      </c>
      <c r="F210" s="125">
        <v>46280</v>
      </c>
      <c r="G210" s="125">
        <v>46280</v>
      </c>
      <c r="H210" s="119" t="s">
        <v>19</v>
      </c>
      <c r="J210" s="567"/>
      <c r="K210" s="568"/>
      <c r="M210" s="113"/>
      <c r="N210" s="403"/>
      <c r="O210" s="403"/>
      <c r="Q210" s="404"/>
      <c r="R210" s="404"/>
    </row>
    <row r="211" spans="1:16384" s="70" customFormat="1" hidden="1">
      <c r="A211" s="560" t="s">
        <v>626</v>
      </c>
      <c r="B211" s="111" t="s">
        <v>633</v>
      </c>
      <c r="C211" s="111"/>
      <c r="D211" s="119"/>
      <c r="E211" s="121">
        <v>500</v>
      </c>
      <c r="F211" s="125">
        <v>46280</v>
      </c>
      <c r="G211" s="125">
        <v>46280</v>
      </c>
      <c r="H211" s="119" t="s">
        <v>19</v>
      </c>
      <c r="I211" s="142"/>
      <c r="J211" s="567"/>
      <c r="K211" s="568"/>
      <c r="L211" s="124"/>
      <c r="M211" s="113"/>
      <c r="N211" s="145"/>
      <c r="O211" s="146"/>
      <c r="P211" s="142"/>
      <c r="Q211" s="143"/>
      <c r="R211" s="144"/>
      <c r="S211" s="124"/>
      <c r="T211" s="145"/>
      <c r="U211" s="145"/>
      <c r="V211" s="146"/>
      <c r="W211" s="142"/>
      <c r="X211" s="143"/>
      <c r="Y211" s="144"/>
      <c r="Z211" s="124"/>
      <c r="AA211" s="145"/>
      <c r="AB211" s="145"/>
      <c r="AC211" s="146"/>
      <c r="AD211" s="142"/>
      <c r="AE211" s="143"/>
      <c r="AF211" s="144"/>
      <c r="AG211" s="124"/>
      <c r="AH211" s="145"/>
      <c r="AI211" s="145"/>
      <c r="AJ211" s="146"/>
      <c r="AK211" s="142"/>
      <c r="AL211" s="143"/>
      <c r="AM211" s="144"/>
      <c r="AN211" s="124"/>
      <c r="AO211" s="145"/>
      <c r="AP211" s="145"/>
      <c r="AQ211" s="146"/>
      <c r="AR211" s="142"/>
      <c r="AS211" s="143"/>
      <c r="AT211" s="144"/>
      <c r="AU211" s="124"/>
      <c r="AV211" s="145"/>
      <c r="AW211" s="145"/>
      <c r="AX211" s="146"/>
      <c r="AY211" s="142"/>
      <c r="AZ211" s="143"/>
      <c r="BA211" s="144"/>
      <c r="BB211" s="124"/>
      <c r="BC211" s="145"/>
      <c r="BD211" s="145"/>
      <c r="BE211" s="146"/>
      <c r="BF211" s="142"/>
      <c r="BG211" s="143"/>
      <c r="BH211" s="144"/>
      <c r="BI211" s="124"/>
      <c r="BJ211" s="145"/>
      <c r="BK211" s="145"/>
      <c r="BL211" s="146"/>
      <c r="BM211" s="142"/>
      <c r="BN211" s="143"/>
      <c r="BO211" s="144"/>
      <c r="BP211" s="124"/>
      <c r="BQ211" s="145"/>
      <c r="BR211" s="145"/>
      <c r="BS211" s="146"/>
      <c r="BT211" s="142"/>
      <c r="BU211" s="143"/>
      <c r="BV211" s="144"/>
      <c r="BW211" s="124"/>
      <c r="BX211" s="145"/>
      <c r="BY211" s="145"/>
      <c r="BZ211" s="146"/>
      <c r="CA211" s="142"/>
      <c r="CB211" s="143"/>
      <c r="CC211" s="144"/>
      <c r="CD211" s="124"/>
      <c r="CE211" s="145"/>
      <c r="CF211" s="145"/>
      <c r="CG211" s="146"/>
      <c r="CH211" s="142"/>
      <c r="CI211" s="143"/>
      <c r="CJ211" s="144"/>
      <c r="CK211" s="124"/>
      <c r="CL211" s="145"/>
      <c r="CM211" s="145"/>
      <c r="CN211" s="146"/>
      <c r="CO211" s="142"/>
      <c r="CP211" s="143"/>
      <c r="CQ211" s="144"/>
      <c r="CR211" s="124"/>
      <c r="CS211" s="145"/>
      <c r="CT211" s="145"/>
      <c r="CU211" s="146"/>
      <c r="CV211" s="142"/>
      <c r="CW211" s="143"/>
      <c r="CX211" s="144"/>
      <c r="CY211" s="124"/>
      <c r="CZ211" s="145"/>
      <c r="DA211" s="145"/>
      <c r="DB211" s="146"/>
      <c r="DC211" s="142"/>
      <c r="DD211" s="143"/>
      <c r="DE211" s="144"/>
      <c r="DF211" s="124"/>
      <c r="DG211" s="145"/>
      <c r="DH211" s="145"/>
      <c r="DI211" s="146"/>
      <c r="DJ211" s="142"/>
      <c r="DK211" s="143"/>
      <c r="DL211" s="144"/>
      <c r="DM211" s="124"/>
      <c r="DN211" s="145"/>
      <c r="DO211" s="145"/>
      <c r="DP211" s="146"/>
      <c r="DQ211" s="142"/>
      <c r="DR211" s="143"/>
      <c r="DS211" s="144"/>
      <c r="DT211" s="124"/>
      <c r="DU211" s="145"/>
      <c r="DV211" s="145"/>
      <c r="DW211" s="146"/>
      <c r="DX211" s="142"/>
      <c r="DY211" s="143"/>
      <c r="DZ211" s="144"/>
      <c r="EA211" s="124"/>
      <c r="EB211" s="145"/>
      <c r="EC211" s="145"/>
      <c r="ED211" s="146"/>
      <c r="EE211" s="142"/>
      <c r="EF211" s="143"/>
      <c r="EG211" s="144"/>
      <c r="EH211" s="124"/>
      <c r="EI211" s="145"/>
      <c r="EJ211" s="145"/>
      <c r="EK211" s="146"/>
      <c r="EL211" s="142"/>
      <c r="EM211" s="143"/>
      <c r="EN211" s="144"/>
      <c r="EO211" s="124"/>
      <c r="EP211" s="145"/>
      <c r="EQ211" s="145"/>
      <c r="ER211" s="146"/>
      <c r="ES211" s="142"/>
      <c r="ET211" s="143"/>
      <c r="EU211" s="144"/>
      <c r="EV211" s="124"/>
      <c r="EW211" s="145"/>
      <c r="EX211" s="145"/>
      <c r="EY211" s="146"/>
      <c r="EZ211" s="142"/>
      <c r="FA211" s="143"/>
      <c r="FB211" s="144"/>
      <c r="FC211" s="124"/>
      <c r="FD211" s="145"/>
      <c r="FE211" s="145"/>
      <c r="FF211" s="146"/>
      <c r="FG211" s="142"/>
      <c r="FH211" s="143"/>
      <c r="FI211" s="144"/>
      <c r="FJ211" s="124"/>
      <c r="FK211" s="145"/>
      <c r="FL211" s="145"/>
      <c r="FM211" s="146"/>
      <c r="FN211" s="142"/>
      <c r="FO211" s="143"/>
      <c r="FP211" s="144"/>
      <c r="FQ211" s="124"/>
      <c r="FR211" s="145"/>
      <c r="FS211" s="145"/>
      <c r="FT211" s="146"/>
      <c r="FU211" s="142"/>
      <c r="FV211" s="143"/>
      <c r="FW211" s="144"/>
      <c r="FX211" s="124"/>
      <c r="FY211" s="145"/>
      <c r="FZ211" s="145"/>
      <c r="GA211" s="146"/>
      <c r="GB211" s="142"/>
      <c r="GC211" s="143"/>
      <c r="GD211" s="144"/>
      <c r="GE211" s="124"/>
      <c r="GF211" s="145"/>
      <c r="GG211" s="145"/>
      <c r="GH211" s="146"/>
      <c r="GI211" s="142"/>
      <c r="GJ211" s="143"/>
      <c r="GK211" s="144"/>
      <c r="GL211" s="124"/>
      <c r="GM211" s="145"/>
      <c r="GN211" s="145"/>
      <c r="GO211" s="146"/>
      <c r="GP211" s="142"/>
      <c r="GQ211" s="143"/>
      <c r="GR211" s="144"/>
      <c r="GS211" s="124"/>
      <c r="GT211" s="145"/>
      <c r="GU211" s="145"/>
      <c r="GV211" s="146"/>
      <c r="GW211" s="142"/>
      <c r="GX211" s="143"/>
      <c r="GY211" s="144"/>
      <c r="GZ211" s="124"/>
      <c r="HA211" s="145"/>
      <c r="HB211" s="145"/>
      <c r="HC211" s="146"/>
      <c r="HD211" s="142"/>
      <c r="HE211" s="143"/>
      <c r="HF211" s="144"/>
      <c r="HG211" s="124"/>
      <c r="HH211" s="145"/>
      <c r="HI211" s="145"/>
      <c r="HJ211" s="146"/>
      <c r="HK211" s="142"/>
      <c r="HL211" s="143"/>
      <c r="HM211" s="144"/>
      <c r="HN211" s="124"/>
      <c r="HO211" s="145"/>
      <c r="HP211" s="145"/>
      <c r="HQ211" s="146"/>
      <c r="HR211" s="142"/>
      <c r="HS211" s="143"/>
      <c r="HT211" s="144"/>
      <c r="HU211" s="124"/>
      <c r="HV211" s="145"/>
      <c r="HW211" s="145"/>
      <c r="HX211" s="146"/>
      <c r="HY211" s="142"/>
      <c r="HZ211" s="143"/>
      <c r="IA211" s="144"/>
      <c r="IB211" s="124"/>
      <c r="IC211" s="145"/>
      <c r="ID211" s="145"/>
      <c r="IE211" s="146"/>
      <c r="IF211" s="142"/>
      <c r="IG211" s="143"/>
      <c r="IH211" s="144"/>
      <c r="II211" s="124"/>
      <c r="IJ211" s="145"/>
      <c r="IK211" s="145"/>
      <c r="IL211" s="146"/>
      <c r="IM211" s="142"/>
      <c r="IN211" s="143"/>
      <c r="IO211" s="144"/>
      <c r="IP211" s="124"/>
      <c r="IQ211" s="145"/>
      <c r="IR211" s="145"/>
      <c r="IS211" s="146"/>
      <c r="IT211" s="142"/>
      <c r="IU211" s="143"/>
      <c r="IV211" s="144"/>
      <c r="IW211" s="124"/>
      <c r="IX211" s="145"/>
      <c r="IY211" s="145"/>
      <c r="IZ211" s="146"/>
      <c r="JA211" s="142"/>
      <c r="JB211" s="143"/>
      <c r="JC211" s="144"/>
      <c r="JD211" s="124"/>
      <c r="JE211" s="145"/>
      <c r="JF211" s="145"/>
      <c r="JG211" s="146"/>
      <c r="JH211" s="142"/>
      <c r="JI211" s="143"/>
      <c r="JJ211" s="144"/>
      <c r="JK211" s="124"/>
      <c r="JL211" s="145"/>
      <c r="JM211" s="145"/>
      <c r="JN211" s="146"/>
      <c r="JO211" s="142"/>
      <c r="JP211" s="143"/>
      <c r="JQ211" s="144"/>
      <c r="JR211" s="124"/>
      <c r="JS211" s="145"/>
      <c r="JT211" s="145"/>
      <c r="JU211" s="146"/>
      <c r="JV211" s="142"/>
      <c r="JW211" s="143"/>
      <c r="JX211" s="144"/>
      <c r="JY211" s="124"/>
      <c r="JZ211" s="145"/>
      <c r="KA211" s="145"/>
      <c r="KB211" s="146"/>
      <c r="KC211" s="142"/>
      <c r="KD211" s="143"/>
      <c r="KE211" s="144"/>
      <c r="KF211" s="124"/>
      <c r="KG211" s="145"/>
      <c r="KH211" s="145"/>
      <c r="KI211" s="146"/>
      <c r="KJ211" s="142"/>
      <c r="KK211" s="143"/>
      <c r="KL211" s="144"/>
      <c r="KM211" s="124"/>
      <c r="KN211" s="145"/>
      <c r="KO211" s="145"/>
      <c r="KP211" s="146"/>
      <c r="KQ211" s="142"/>
      <c r="KR211" s="143"/>
      <c r="KS211" s="144"/>
      <c r="KT211" s="124"/>
      <c r="KU211" s="145"/>
      <c r="KV211" s="145"/>
      <c r="KW211" s="146"/>
      <c r="KX211" s="142"/>
      <c r="KY211" s="143"/>
      <c r="KZ211" s="144"/>
      <c r="LA211" s="124"/>
      <c r="LB211" s="145"/>
      <c r="LC211" s="145"/>
      <c r="LD211" s="146"/>
      <c r="LE211" s="142"/>
      <c r="LF211" s="143"/>
      <c r="LG211" s="144"/>
      <c r="LH211" s="124"/>
      <c r="LI211" s="145"/>
      <c r="LJ211" s="145"/>
      <c r="LK211" s="146"/>
      <c r="LL211" s="142"/>
      <c r="LM211" s="143"/>
      <c r="LN211" s="144"/>
      <c r="LO211" s="124"/>
      <c r="LP211" s="145"/>
      <c r="LQ211" s="145"/>
      <c r="LR211" s="146"/>
      <c r="LS211" s="142"/>
      <c r="LT211" s="143"/>
      <c r="LU211" s="144"/>
      <c r="LV211" s="124"/>
      <c r="LW211" s="145"/>
      <c r="LX211" s="145"/>
      <c r="LY211" s="146"/>
      <c r="LZ211" s="142"/>
      <c r="MA211" s="143"/>
      <c r="MB211" s="144"/>
      <c r="MC211" s="124"/>
      <c r="MD211" s="145"/>
      <c r="ME211" s="145"/>
      <c r="MF211" s="146"/>
      <c r="MG211" s="142"/>
      <c r="MH211" s="143"/>
      <c r="MI211" s="144"/>
      <c r="MJ211" s="124"/>
      <c r="MK211" s="145"/>
      <c r="ML211" s="145"/>
      <c r="MM211" s="146"/>
      <c r="MN211" s="142"/>
      <c r="MO211" s="143"/>
      <c r="MP211" s="144"/>
      <c r="MQ211" s="124"/>
      <c r="MR211" s="145"/>
      <c r="MS211" s="145"/>
      <c r="MT211" s="146"/>
      <c r="MU211" s="142"/>
      <c r="MV211" s="143"/>
      <c r="MW211" s="144"/>
      <c r="MX211" s="124"/>
      <c r="MY211" s="145"/>
      <c r="MZ211" s="145"/>
      <c r="NA211" s="146"/>
      <c r="NB211" s="142"/>
      <c r="NC211" s="143"/>
      <c r="ND211" s="144"/>
      <c r="NE211" s="124"/>
      <c r="NF211" s="145"/>
      <c r="NG211" s="145"/>
      <c r="NH211" s="146"/>
      <c r="NI211" s="142"/>
      <c r="NJ211" s="143"/>
      <c r="NK211" s="144"/>
      <c r="NL211" s="124"/>
      <c r="NM211" s="145"/>
      <c r="NN211" s="145"/>
      <c r="NO211" s="146"/>
      <c r="NP211" s="142"/>
      <c r="NQ211" s="143"/>
      <c r="NR211" s="144"/>
      <c r="NS211" s="124"/>
      <c r="NT211" s="145"/>
      <c r="NU211" s="145"/>
      <c r="NV211" s="146"/>
      <c r="NW211" s="142"/>
      <c r="NX211" s="143"/>
      <c r="NY211" s="144"/>
      <c r="NZ211" s="124"/>
      <c r="OA211" s="145"/>
      <c r="OB211" s="145"/>
      <c r="OC211" s="146"/>
      <c r="OD211" s="142"/>
      <c r="OE211" s="143"/>
      <c r="OF211" s="144"/>
      <c r="OG211" s="124"/>
      <c r="OH211" s="145"/>
      <c r="OI211" s="145"/>
      <c r="OJ211" s="146"/>
      <c r="OK211" s="142"/>
      <c r="OL211" s="143"/>
      <c r="OM211" s="144"/>
      <c r="ON211" s="124"/>
      <c r="OO211" s="145"/>
      <c r="OP211" s="145"/>
      <c r="OQ211" s="146"/>
      <c r="OR211" s="142"/>
      <c r="OS211" s="143"/>
      <c r="OT211" s="144"/>
      <c r="OU211" s="124"/>
      <c r="OV211" s="145"/>
      <c r="OW211" s="145"/>
      <c r="OX211" s="146"/>
      <c r="OY211" s="142"/>
      <c r="OZ211" s="143"/>
      <c r="PA211" s="144"/>
      <c r="PB211" s="124"/>
      <c r="PC211" s="145"/>
      <c r="PD211" s="145"/>
      <c r="PE211" s="146"/>
      <c r="PF211" s="142"/>
      <c r="PG211" s="143"/>
      <c r="PH211" s="144"/>
      <c r="PI211" s="124"/>
      <c r="PJ211" s="145"/>
      <c r="PK211" s="145"/>
      <c r="PL211" s="146"/>
      <c r="PM211" s="142"/>
      <c r="PN211" s="143"/>
      <c r="PO211" s="144"/>
      <c r="PP211" s="124"/>
      <c r="PQ211" s="145"/>
      <c r="PR211" s="145"/>
      <c r="PS211" s="146"/>
      <c r="PT211" s="142"/>
      <c r="PU211" s="143"/>
      <c r="PV211" s="144"/>
      <c r="PW211" s="124"/>
      <c r="PX211" s="145"/>
      <c r="PY211" s="145"/>
      <c r="PZ211" s="146"/>
      <c r="QA211" s="142"/>
      <c r="QB211" s="143"/>
      <c r="QC211" s="144"/>
      <c r="QD211" s="124"/>
      <c r="QE211" s="145"/>
      <c r="QF211" s="145"/>
      <c r="QG211" s="146"/>
      <c r="QH211" s="142"/>
      <c r="QI211" s="143"/>
      <c r="QJ211" s="144"/>
      <c r="QK211" s="124"/>
      <c r="QL211" s="145"/>
      <c r="QM211" s="145"/>
      <c r="QN211" s="146"/>
      <c r="QO211" s="142"/>
      <c r="QP211" s="143"/>
      <c r="QQ211" s="144"/>
      <c r="QR211" s="124"/>
      <c r="QS211" s="145"/>
      <c r="QT211" s="145"/>
      <c r="QU211" s="146"/>
      <c r="QV211" s="142"/>
      <c r="QW211" s="143"/>
      <c r="QX211" s="144"/>
      <c r="QY211" s="124"/>
      <c r="QZ211" s="145"/>
      <c r="RA211" s="145"/>
      <c r="RB211" s="146"/>
      <c r="RC211" s="142"/>
      <c r="RD211" s="143"/>
      <c r="RE211" s="144"/>
      <c r="RF211" s="124"/>
      <c r="RG211" s="145"/>
      <c r="RH211" s="145"/>
      <c r="RI211" s="146"/>
      <c r="RJ211" s="142"/>
      <c r="RK211" s="143"/>
      <c r="RL211" s="144"/>
      <c r="RM211" s="124"/>
      <c r="RN211" s="145"/>
      <c r="RO211" s="145"/>
      <c r="RP211" s="146"/>
      <c r="RQ211" s="142"/>
      <c r="RR211" s="143"/>
      <c r="RS211" s="144"/>
      <c r="RT211" s="124"/>
      <c r="RU211" s="145"/>
      <c r="RV211" s="145"/>
      <c r="RW211" s="146"/>
      <c r="RX211" s="142"/>
      <c r="RY211" s="143"/>
      <c r="RZ211" s="144"/>
      <c r="SA211" s="124"/>
      <c r="SB211" s="145"/>
      <c r="SC211" s="145"/>
      <c r="SD211" s="146"/>
      <c r="SE211" s="142"/>
      <c r="SF211" s="143"/>
      <c r="SG211" s="144"/>
      <c r="SH211" s="124"/>
      <c r="SI211" s="145"/>
      <c r="SJ211" s="145"/>
      <c r="SK211" s="146"/>
      <c r="SL211" s="142"/>
      <c r="SM211" s="143"/>
      <c r="SN211" s="144"/>
      <c r="SO211" s="124"/>
      <c r="SP211" s="145"/>
      <c r="SQ211" s="145"/>
      <c r="SR211" s="146"/>
      <c r="SS211" s="142"/>
      <c r="ST211" s="143"/>
      <c r="SU211" s="144"/>
      <c r="SV211" s="124"/>
      <c r="SW211" s="145"/>
      <c r="SX211" s="145"/>
      <c r="SY211" s="146"/>
      <c r="SZ211" s="142"/>
      <c r="TA211" s="143"/>
      <c r="TB211" s="144"/>
      <c r="TC211" s="124"/>
      <c r="TD211" s="145"/>
      <c r="TE211" s="145"/>
      <c r="TF211" s="146"/>
      <c r="TG211" s="142"/>
      <c r="TH211" s="143"/>
      <c r="TI211" s="144"/>
      <c r="TJ211" s="124"/>
      <c r="TK211" s="145"/>
      <c r="TL211" s="145"/>
      <c r="TM211" s="146"/>
      <c r="TN211" s="142"/>
      <c r="TO211" s="143"/>
      <c r="TP211" s="144"/>
      <c r="TQ211" s="124"/>
      <c r="TR211" s="145"/>
      <c r="TS211" s="145"/>
      <c r="TT211" s="146"/>
      <c r="TU211" s="142"/>
      <c r="TV211" s="143"/>
      <c r="TW211" s="144"/>
      <c r="TX211" s="124"/>
      <c r="TY211" s="145"/>
      <c r="TZ211" s="145"/>
      <c r="UA211" s="146"/>
      <c r="UB211" s="142"/>
      <c r="UC211" s="143"/>
      <c r="UD211" s="144"/>
      <c r="UE211" s="124"/>
      <c r="UF211" s="145"/>
      <c r="UG211" s="145"/>
      <c r="UH211" s="146"/>
      <c r="UI211" s="142"/>
      <c r="UJ211" s="143"/>
      <c r="UK211" s="144"/>
      <c r="UL211" s="124"/>
      <c r="UM211" s="145"/>
      <c r="UN211" s="145"/>
      <c r="UO211" s="146"/>
      <c r="UP211" s="142"/>
      <c r="UQ211" s="143"/>
      <c r="UR211" s="144"/>
      <c r="US211" s="124"/>
      <c r="UT211" s="145"/>
      <c r="UU211" s="145"/>
      <c r="UV211" s="146"/>
      <c r="UW211" s="142"/>
      <c r="UX211" s="143"/>
      <c r="UY211" s="144"/>
      <c r="UZ211" s="124"/>
      <c r="VA211" s="145"/>
      <c r="VB211" s="145"/>
      <c r="VC211" s="146"/>
      <c r="VD211" s="142"/>
      <c r="VE211" s="143"/>
      <c r="VF211" s="144"/>
      <c r="VG211" s="124"/>
      <c r="VH211" s="145"/>
      <c r="VI211" s="145"/>
      <c r="VJ211" s="146"/>
      <c r="VK211" s="142"/>
      <c r="VL211" s="143"/>
      <c r="VM211" s="144"/>
      <c r="VN211" s="124"/>
      <c r="VO211" s="145"/>
      <c r="VP211" s="145"/>
      <c r="VQ211" s="146"/>
      <c r="VR211" s="142"/>
      <c r="VS211" s="143"/>
      <c r="VT211" s="144"/>
      <c r="VU211" s="124"/>
      <c r="VV211" s="145"/>
      <c r="VW211" s="145"/>
      <c r="VX211" s="146"/>
      <c r="VY211" s="142"/>
      <c r="VZ211" s="143"/>
      <c r="WA211" s="144"/>
      <c r="WB211" s="124"/>
      <c r="WC211" s="145"/>
      <c r="WD211" s="145"/>
      <c r="WE211" s="146"/>
      <c r="WF211" s="142"/>
      <c r="WG211" s="143"/>
      <c r="WH211" s="144"/>
      <c r="WI211" s="124"/>
      <c r="WJ211" s="145"/>
      <c r="WK211" s="145"/>
      <c r="WL211" s="146"/>
      <c r="WM211" s="142"/>
      <c r="WN211" s="143"/>
      <c r="WO211" s="144"/>
      <c r="WP211" s="124"/>
      <c r="WQ211" s="145"/>
      <c r="WR211" s="145"/>
      <c r="WS211" s="146"/>
      <c r="WT211" s="142"/>
      <c r="WU211" s="143"/>
      <c r="WV211" s="144"/>
      <c r="WW211" s="124"/>
      <c r="WX211" s="145"/>
      <c r="WY211" s="145"/>
      <c r="WZ211" s="146"/>
      <c r="XA211" s="142"/>
      <c r="XB211" s="143"/>
      <c r="XC211" s="144"/>
      <c r="XD211" s="124"/>
      <c r="XE211" s="145"/>
      <c r="XF211" s="145"/>
      <c r="XG211" s="146"/>
      <c r="XH211" s="142"/>
      <c r="XI211" s="143"/>
      <c r="XJ211" s="144"/>
      <c r="XK211" s="124"/>
      <c r="XL211" s="145"/>
      <c r="XM211" s="145"/>
      <c r="XN211" s="146"/>
      <c r="XO211" s="142"/>
      <c r="XP211" s="143"/>
      <c r="XQ211" s="144"/>
      <c r="XR211" s="124"/>
      <c r="XS211" s="145"/>
      <c r="XT211" s="145"/>
      <c r="XU211" s="146"/>
      <c r="XV211" s="142"/>
      <c r="XW211" s="143"/>
      <c r="XX211" s="144"/>
      <c r="XY211" s="124"/>
      <c r="XZ211" s="145"/>
      <c r="YA211" s="145"/>
      <c r="YB211" s="146"/>
      <c r="YC211" s="142"/>
      <c r="YD211" s="143"/>
      <c r="YE211" s="144"/>
      <c r="YF211" s="124"/>
      <c r="YG211" s="145"/>
      <c r="YH211" s="145"/>
      <c r="YI211" s="146"/>
      <c r="YJ211" s="142"/>
      <c r="YK211" s="143"/>
      <c r="YL211" s="144"/>
      <c r="YM211" s="124"/>
      <c r="YN211" s="145"/>
      <c r="YO211" s="145"/>
      <c r="YP211" s="146"/>
      <c r="YQ211" s="142"/>
      <c r="YR211" s="143"/>
      <c r="YS211" s="144"/>
      <c r="YT211" s="124"/>
      <c r="YU211" s="145"/>
      <c r="YV211" s="145"/>
      <c r="YW211" s="146"/>
      <c r="YX211" s="142"/>
      <c r="YY211" s="143"/>
      <c r="YZ211" s="144"/>
      <c r="ZA211" s="124"/>
      <c r="ZB211" s="145"/>
      <c r="ZC211" s="145"/>
      <c r="ZD211" s="146"/>
      <c r="ZE211" s="142"/>
      <c r="ZF211" s="143"/>
      <c r="ZG211" s="144"/>
      <c r="ZH211" s="124"/>
      <c r="ZI211" s="145"/>
      <c r="ZJ211" s="145"/>
      <c r="ZK211" s="146"/>
      <c r="ZL211" s="142"/>
      <c r="ZM211" s="143"/>
      <c r="ZN211" s="144"/>
      <c r="ZO211" s="124"/>
      <c r="ZP211" s="145"/>
      <c r="ZQ211" s="145"/>
      <c r="ZR211" s="146"/>
      <c r="ZS211" s="142"/>
      <c r="ZT211" s="143"/>
      <c r="ZU211" s="144"/>
      <c r="ZV211" s="124"/>
      <c r="ZW211" s="145"/>
      <c r="ZX211" s="145"/>
      <c r="ZY211" s="146"/>
      <c r="ZZ211" s="142"/>
      <c r="AAA211" s="143"/>
      <c r="AAB211" s="144"/>
      <c r="AAC211" s="124"/>
      <c r="AAD211" s="145"/>
      <c r="AAE211" s="145"/>
      <c r="AAF211" s="146"/>
      <c r="AAG211" s="142"/>
      <c r="AAH211" s="143"/>
      <c r="AAI211" s="144"/>
      <c r="AAJ211" s="124"/>
      <c r="AAK211" s="145"/>
      <c r="AAL211" s="145"/>
      <c r="AAM211" s="146"/>
      <c r="AAN211" s="142"/>
      <c r="AAO211" s="143"/>
      <c r="AAP211" s="144"/>
      <c r="AAQ211" s="124"/>
      <c r="AAR211" s="145"/>
      <c r="AAS211" s="145"/>
      <c r="AAT211" s="146"/>
      <c r="AAU211" s="142"/>
      <c r="AAV211" s="143"/>
      <c r="AAW211" s="144"/>
      <c r="AAX211" s="124"/>
      <c r="AAY211" s="145"/>
      <c r="AAZ211" s="145"/>
      <c r="ABA211" s="146"/>
      <c r="ABB211" s="142"/>
      <c r="ABC211" s="143"/>
      <c r="ABD211" s="144"/>
      <c r="ABE211" s="124"/>
      <c r="ABF211" s="145"/>
      <c r="ABG211" s="145"/>
      <c r="ABH211" s="146"/>
      <c r="ABI211" s="142"/>
      <c r="ABJ211" s="143"/>
      <c r="ABK211" s="144"/>
      <c r="ABL211" s="124"/>
      <c r="ABM211" s="145"/>
      <c r="ABN211" s="145"/>
      <c r="ABO211" s="146"/>
      <c r="ABP211" s="142"/>
      <c r="ABQ211" s="143"/>
      <c r="ABR211" s="144"/>
      <c r="ABS211" s="124"/>
      <c r="ABT211" s="145"/>
      <c r="ABU211" s="145"/>
      <c r="ABV211" s="146"/>
      <c r="ABW211" s="142"/>
      <c r="ABX211" s="143"/>
      <c r="ABY211" s="144"/>
      <c r="ABZ211" s="124"/>
      <c r="ACA211" s="145"/>
      <c r="ACB211" s="145"/>
      <c r="ACC211" s="146"/>
      <c r="ACD211" s="142"/>
      <c r="ACE211" s="143"/>
      <c r="ACF211" s="144"/>
      <c r="ACG211" s="124"/>
      <c r="ACH211" s="145"/>
      <c r="ACI211" s="145"/>
      <c r="ACJ211" s="146"/>
      <c r="ACK211" s="142"/>
      <c r="ACL211" s="143"/>
      <c r="ACM211" s="144"/>
      <c r="ACN211" s="124"/>
      <c r="ACO211" s="145"/>
      <c r="ACP211" s="145"/>
      <c r="ACQ211" s="146"/>
      <c r="ACR211" s="142"/>
      <c r="ACS211" s="143"/>
      <c r="ACT211" s="144"/>
      <c r="ACU211" s="124"/>
      <c r="ACV211" s="145"/>
      <c r="ACW211" s="145"/>
      <c r="ACX211" s="146"/>
      <c r="ACY211" s="142"/>
      <c r="ACZ211" s="143"/>
      <c r="ADA211" s="144"/>
      <c r="ADB211" s="124"/>
      <c r="ADC211" s="145"/>
      <c r="ADD211" s="145"/>
      <c r="ADE211" s="146"/>
      <c r="ADF211" s="142"/>
      <c r="ADG211" s="143"/>
      <c r="ADH211" s="144"/>
      <c r="ADI211" s="124"/>
      <c r="ADJ211" s="145"/>
      <c r="ADK211" s="145"/>
      <c r="ADL211" s="146"/>
      <c r="ADM211" s="142"/>
      <c r="ADN211" s="143"/>
      <c r="ADO211" s="144"/>
      <c r="ADP211" s="124"/>
      <c r="ADQ211" s="145"/>
      <c r="ADR211" s="145"/>
      <c r="ADS211" s="146"/>
      <c r="ADT211" s="142"/>
      <c r="ADU211" s="143"/>
      <c r="ADV211" s="144"/>
      <c r="ADW211" s="124"/>
      <c r="ADX211" s="145"/>
      <c r="ADY211" s="145"/>
      <c r="ADZ211" s="146"/>
      <c r="AEA211" s="142"/>
      <c r="AEB211" s="143"/>
      <c r="AEC211" s="144"/>
      <c r="AED211" s="124"/>
      <c r="AEE211" s="145"/>
      <c r="AEF211" s="145"/>
      <c r="AEG211" s="146"/>
      <c r="AEH211" s="142"/>
      <c r="AEI211" s="143"/>
      <c r="AEJ211" s="144"/>
      <c r="AEK211" s="124"/>
      <c r="AEL211" s="145"/>
      <c r="AEM211" s="145"/>
      <c r="AEN211" s="146"/>
      <c r="AEO211" s="142"/>
      <c r="AEP211" s="143"/>
      <c r="AEQ211" s="144"/>
      <c r="AER211" s="124"/>
      <c r="AES211" s="145"/>
      <c r="AET211" s="145"/>
      <c r="AEU211" s="146"/>
      <c r="AEV211" s="142"/>
      <c r="AEW211" s="143"/>
      <c r="AEX211" s="144"/>
      <c r="AEY211" s="124"/>
      <c r="AEZ211" s="145"/>
      <c r="AFA211" s="145"/>
      <c r="AFB211" s="146"/>
      <c r="AFC211" s="142"/>
      <c r="AFD211" s="143"/>
      <c r="AFE211" s="144"/>
      <c r="AFF211" s="124"/>
      <c r="AFG211" s="145"/>
      <c r="AFH211" s="145"/>
      <c r="AFI211" s="146"/>
      <c r="AFJ211" s="142"/>
      <c r="AFK211" s="143"/>
      <c r="AFL211" s="144"/>
      <c r="AFM211" s="124"/>
      <c r="AFN211" s="145"/>
      <c r="AFO211" s="145"/>
      <c r="AFP211" s="146"/>
      <c r="AFQ211" s="142"/>
      <c r="AFR211" s="143"/>
      <c r="AFS211" s="144"/>
      <c r="AFT211" s="124"/>
      <c r="AFU211" s="145"/>
      <c r="AFV211" s="145"/>
      <c r="AFW211" s="146"/>
      <c r="AFX211" s="142"/>
      <c r="AFY211" s="143"/>
      <c r="AFZ211" s="144"/>
      <c r="AGA211" s="124"/>
      <c r="AGB211" s="145"/>
      <c r="AGC211" s="145"/>
      <c r="AGD211" s="146"/>
      <c r="AGE211" s="142"/>
      <c r="AGF211" s="143"/>
      <c r="AGG211" s="144"/>
      <c r="AGH211" s="124"/>
      <c r="AGI211" s="145"/>
      <c r="AGJ211" s="145"/>
      <c r="AGK211" s="146"/>
      <c r="AGL211" s="142"/>
      <c r="AGM211" s="143"/>
      <c r="AGN211" s="144"/>
      <c r="AGO211" s="124"/>
      <c r="AGP211" s="145"/>
      <c r="AGQ211" s="145"/>
      <c r="AGR211" s="146"/>
      <c r="AGS211" s="142"/>
      <c r="AGT211" s="143"/>
      <c r="AGU211" s="144"/>
      <c r="AGV211" s="124"/>
      <c r="AGW211" s="145"/>
      <c r="AGX211" s="145"/>
      <c r="AGY211" s="146"/>
      <c r="AGZ211" s="142"/>
      <c r="AHA211" s="143"/>
      <c r="AHB211" s="144"/>
      <c r="AHC211" s="124"/>
      <c r="AHD211" s="145"/>
      <c r="AHE211" s="145"/>
      <c r="AHF211" s="146"/>
      <c r="AHG211" s="142"/>
      <c r="AHH211" s="143"/>
      <c r="AHI211" s="144"/>
      <c r="AHJ211" s="124"/>
      <c r="AHK211" s="145"/>
      <c r="AHL211" s="145"/>
      <c r="AHM211" s="146"/>
      <c r="AHN211" s="142"/>
      <c r="AHO211" s="143"/>
      <c r="AHP211" s="144"/>
      <c r="AHQ211" s="124"/>
      <c r="AHR211" s="145"/>
      <c r="AHS211" s="145"/>
      <c r="AHT211" s="146"/>
      <c r="AHU211" s="142"/>
      <c r="AHV211" s="143"/>
      <c r="AHW211" s="144"/>
      <c r="AHX211" s="124"/>
      <c r="AHY211" s="145"/>
      <c r="AHZ211" s="145"/>
      <c r="AIA211" s="146"/>
      <c r="AIB211" s="142"/>
      <c r="AIC211" s="143"/>
      <c r="AID211" s="144"/>
      <c r="AIE211" s="124"/>
      <c r="AIF211" s="145"/>
      <c r="AIG211" s="145"/>
      <c r="AIH211" s="146"/>
      <c r="AII211" s="142"/>
      <c r="AIJ211" s="143"/>
      <c r="AIK211" s="144"/>
      <c r="AIL211" s="124"/>
      <c r="AIM211" s="145"/>
      <c r="AIN211" s="145"/>
      <c r="AIO211" s="146"/>
      <c r="AIP211" s="142"/>
      <c r="AIQ211" s="143"/>
      <c r="AIR211" s="144"/>
      <c r="AIS211" s="124"/>
      <c r="AIT211" s="145"/>
      <c r="AIU211" s="145"/>
      <c r="AIV211" s="146"/>
      <c r="AIW211" s="142"/>
      <c r="AIX211" s="143"/>
      <c r="AIY211" s="144"/>
      <c r="AIZ211" s="124"/>
      <c r="AJA211" s="145"/>
      <c r="AJB211" s="145"/>
      <c r="AJC211" s="146"/>
      <c r="AJD211" s="142"/>
      <c r="AJE211" s="143"/>
      <c r="AJF211" s="144"/>
      <c r="AJG211" s="124"/>
      <c r="AJH211" s="145"/>
      <c r="AJI211" s="145"/>
      <c r="AJJ211" s="146"/>
      <c r="AJK211" s="142"/>
      <c r="AJL211" s="143"/>
      <c r="AJM211" s="144"/>
      <c r="AJN211" s="124"/>
      <c r="AJO211" s="145"/>
      <c r="AJP211" s="145"/>
      <c r="AJQ211" s="146"/>
      <c r="AJR211" s="142"/>
      <c r="AJS211" s="143"/>
      <c r="AJT211" s="144"/>
      <c r="AJU211" s="124"/>
      <c r="AJV211" s="145"/>
      <c r="AJW211" s="145"/>
      <c r="AJX211" s="146"/>
      <c r="AJY211" s="142"/>
      <c r="AJZ211" s="143"/>
      <c r="AKA211" s="144"/>
      <c r="AKB211" s="124"/>
      <c r="AKC211" s="145"/>
      <c r="AKD211" s="145"/>
      <c r="AKE211" s="146"/>
      <c r="AKF211" s="142"/>
      <c r="AKG211" s="143"/>
      <c r="AKH211" s="144"/>
      <c r="AKI211" s="124"/>
      <c r="AKJ211" s="145"/>
      <c r="AKK211" s="145"/>
      <c r="AKL211" s="146"/>
      <c r="AKM211" s="142"/>
      <c r="AKN211" s="143"/>
      <c r="AKO211" s="144"/>
      <c r="AKP211" s="124"/>
      <c r="AKQ211" s="145"/>
      <c r="AKR211" s="145"/>
      <c r="AKS211" s="146"/>
      <c r="AKT211" s="142"/>
      <c r="AKU211" s="143"/>
      <c r="AKV211" s="144"/>
      <c r="AKW211" s="124"/>
      <c r="AKX211" s="145"/>
      <c r="AKY211" s="145"/>
      <c r="AKZ211" s="146"/>
      <c r="ALA211" s="142"/>
      <c r="ALB211" s="143"/>
      <c r="ALC211" s="144"/>
      <c r="ALD211" s="124"/>
      <c r="ALE211" s="145"/>
      <c r="ALF211" s="145"/>
      <c r="ALG211" s="146"/>
      <c r="ALH211" s="142"/>
      <c r="ALI211" s="143"/>
      <c r="ALJ211" s="144"/>
      <c r="ALK211" s="124"/>
      <c r="ALL211" s="145"/>
      <c r="ALM211" s="145"/>
      <c r="ALN211" s="146"/>
      <c r="ALO211" s="142"/>
      <c r="ALP211" s="143"/>
      <c r="ALQ211" s="144"/>
      <c r="ALR211" s="124"/>
      <c r="ALS211" s="145"/>
      <c r="ALT211" s="145"/>
      <c r="ALU211" s="146"/>
      <c r="ALV211" s="142"/>
      <c r="ALW211" s="143"/>
      <c r="ALX211" s="144"/>
      <c r="ALY211" s="124"/>
      <c r="ALZ211" s="145"/>
      <c r="AMA211" s="145"/>
      <c r="AMB211" s="146"/>
      <c r="AMC211" s="142"/>
      <c r="AMD211" s="143"/>
      <c r="AME211" s="144"/>
      <c r="AMF211" s="124"/>
      <c r="AMG211" s="145"/>
      <c r="AMH211" s="145"/>
      <c r="AMI211" s="146"/>
      <c r="AMJ211" s="142"/>
      <c r="AMK211" s="143"/>
      <c r="AML211" s="144"/>
      <c r="AMM211" s="124"/>
      <c r="AMN211" s="145"/>
      <c r="AMO211" s="145"/>
      <c r="AMP211" s="146"/>
      <c r="AMQ211" s="142"/>
      <c r="AMR211" s="143"/>
      <c r="AMS211" s="144"/>
      <c r="AMT211" s="124"/>
      <c r="AMU211" s="145"/>
      <c r="AMV211" s="145"/>
      <c r="AMW211" s="146"/>
      <c r="AMX211" s="142"/>
      <c r="AMY211" s="143"/>
      <c r="AMZ211" s="144"/>
      <c r="ANA211" s="124"/>
      <c r="ANB211" s="145"/>
      <c r="ANC211" s="145"/>
      <c r="AND211" s="146"/>
      <c r="ANE211" s="142"/>
      <c r="ANF211" s="143"/>
      <c r="ANG211" s="144"/>
      <c r="ANH211" s="124"/>
      <c r="ANI211" s="145"/>
      <c r="ANJ211" s="145"/>
      <c r="ANK211" s="146"/>
      <c r="ANL211" s="142"/>
      <c r="ANM211" s="143"/>
      <c r="ANN211" s="144"/>
      <c r="ANO211" s="124"/>
      <c r="ANP211" s="145"/>
      <c r="ANQ211" s="145"/>
      <c r="ANR211" s="146"/>
      <c r="ANS211" s="142"/>
      <c r="ANT211" s="143"/>
      <c r="ANU211" s="144"/>
      <c r="ANV211" s="124"/>
      <c r="ANW211" s="145"/>
      <c r="ANX211" s="145"/>
      <c r="ANY211" s="146"/>
      <c r="ANZ211" s="142"/>
      <c r="AOA211" s="143"/>
      <c r="AOB211" s="144"/>
      <c r="AOC211" s="124"/>
      <c r="AOD211" s="145"/>
      <c r="AOE211" s="145"/>
      <c r="AOF211" s="146"/>
      <c r="AOG211" s="142"/>
      <c r="AOH211" s="143"/>
      <c r="AOI211" s="144"/>
      <c r="AOJ211" s="124"/>
      <c r="AOK211" s="145"/>
      <c r="AOL211" s="145"/>
      <c r="AOM211" s="146"/>
      <c r="AON211" s="142"/>
      <c r="AOO211" s="143"/>
      <c r="AOP211" s="144"/>
      <c r="AOQ211" s="124"/>
      <c r="AOR211" s="145"/>
      <c r="AOS211" s="145"/>
      <c r="AOT211" s="146"/>
      <c r="AOU211" s="142"/>
      <c r="AOV211" s="143"/>
      <c r="AOW211" s="144"/>
      <c r="AOX211" s="124"/>
      <c r="AOY211" s="145"/>
      <c r="AOZ211" s="145"/>
      <c r="APA211" s="146"/>
      <c r="APB211" s="142"/>
      <c r="APC211" s="143"/>
      <c r="APD211" s="144"/>
      <c r="APE211" s="124"/>
      <c r="APF211" s="145"/>
      <c r="APG211" s="145"/>
      <c r="APH211" s="146"/>
      <c r="API211" s="142"/>
      <c r="APJ211" s="143"/>
      <c r="APK211" s="144"/>
      <c r="APL211" s="124"/>
      <c r="APM211" s="145"/>
      <c r="APN211" s="145"/>
      <c r="APO211" s="146"/>
      <c r="APP211" s="142"/>
      <c r="APQ211" s="143"/>
      <c r="APR211" s="144"/>
      <c r="APS211" s="124"/>
      <c r="APT211" s="145"/>
      <c r="APU211" s="145"/>
      <c r="APV211" s="146"/>
      <c r="APW211" s="142"/>
      <c r="APX211" s="143"/>
      <c r="APY211" s="144"/>
      <c r="APZ211" s="124"/>
      <c r="AQA211" s="145"/>
      <c r="AQB211" s="145"/>
      <c r="AQC211" s="146"/>
      <c r="AQD211" s="142"/>
      <c r="AQE211" s="143"/>
      <c r="AQF211" s="144"/>
      <c r="AQG211" s="124"/>
      <c r="AQH211" s="145"/>
      <c r="AQI211" s="145"/>
      <c r="AQJ211" s="146"/>
      <c r="AQK211" s="142"/>
      <c r="AQL211" s="143"/>
      <c r="AQM211" s="144"/>
      <c r="AQN211" s="124"/>
      <c r="AQO211" s="145"/>
      <c r="AQP211" s="145"/>
      <c r="AQQ211" s="146"/>
      <c r="AQR211" s="142"/>
      <c r="AQS211" s="143"/>
      <c r="AQT211" s="144"/>
      <c r="AQU211" s="124"/>
      <c r="AQV211" s="145"/>
      <c r="AQW211" s="145"/>
      <c r="AQX211" s="146"/>
      <c r="AQY211" s="142"/>
      <c r="AQZ211" s="143"/>
      <c r="ARA211" s="144"/>
      <c r="ARB211" s="124"/>
      <c r="ARC211" s="145"/>
      <c r="ARD211" s="145"/>
      <c r="ARE211" s="146"/>
      <c r="ARF211" s="142"/>
      <c r="ARG211" s="143"/>
      <c r="ARH211" s="144"/>
      <c r="ARI211" s="124"/>
      <c r="ARJ211" s="145"/>
      <c r="ARK211" s="145"/>
      <c r="ARL211" s="146"/>
      <c r="ARM211" s="142"/>
      <c r="ARN211" s="143"/>
      <c r="ARO211" s="144"/>
      <c r="ARP211" s="124"/>
      <c r="ARQ211" s="145"/>
      <c r="ARR211" s="145"/>
      <c r="ARS211" s="146"/>
      <c r="ART211" s="142"/>
      <c r="ARU211" s="143"/>
      <c r="ARV211" s="144"/>
      <c r="ARW211" s="124"/>
      <c r="ARX211" s="145"/>
      <c r="ARY211" s="145"/>
      <c r="ARZ211" s="146"/>
      <c r="ASA211" s="142"/>
      <c r="ASB211" s="143"/>
      <c r="ASC211" s="144"/>
      <c r="ASD211" s="124"/>
      <c r="ASE211" s="145"/>
      <c r="ASF211" s="145"/>
      <c r="ASG211" s="146"/>
      <c r="ASH211" s="142"/>
      <c r="ASI211" s="143"/>
      <c r="ASJ211" s="144"/>
      <c r="ASK211" s="124"/>
      <c r="ASL211" s="145"/>
      <c r="ASM211" s="145"/>
      <c r="ASN211" s="146"/>
      <c r="ASO211" s="142"/>
      <c r="ASP211" s="143"/>
      <c r="ASQ211" s="144"/>
      <c r="ASR211" s="124"/>
      <c r="ASS211" s="145"/>
      <c r="AST211" s="145"/>
      <c r="ASU211" s="146"/>
      <c r="ASV211" s="142"/>
      <c r="ASW211" s="143"/>
      <c r="ASX211" s="144"/>
      <c r="ASY211" s="124"/>
      <c r="ASZ211" s="145"/>
      <c r="ATA211" s="145"/>
      <c r="ATB211" s="146"/>
      <c r="ATC211" s="142"/>
      <c r="ATD211" s="143"/>
      <c r="ATE211" s="144"/>
      <c r="ATF211" s="124"/>
      <c r="ATG211" s="145"/>
      <c r="ATH211" s="145"/>
      <c r="ATI211" s="146"/>
      <c r="ATJ211" s="142"/>
      <c r="ATK211" s="143"/>
      <c r="ATL211" s="144"/>
      <c r="ATM211" s="124"/>
      <c r="ATN211" s="145"/>
      <c r="ATO211" s="145"/>
      <c r="ATP211" s="146"/>
      <c r="ATQ211" s="142"/>
      <c r="ATR211" s="143"/>
      <c r="ATS211" s="144"/>
      <c r="ATT211" s="124"/>
      <c r="ATU211" s="145"/>
      <c r="ATV211" s="145"/>
      <c r="ATW211" s="146"/>
      <c r="ATX211" s="142"/>
      <c r="ATY211" s="143"/>
      <c r="ATZ211" s="144"/>
      <c r="AUA211" s="124"/>
      <c r="AUB211" s="145"/>
      <c r="AUC211" s="145"/>
      <c r="AUD211" s="146"/>
      <c r="AUE211" s="142"/>
      <c r="AUF211" s="143"/>
      <c r="AUG211" s="144"/>
      <c r="AUH211" s="124"/>
      <c r="AUI211" s="145"/>
      <c r="AUJ211" s="145"/>
      <c r="AUK211" s="146"/>
      <c r="AUL211" s="142"/>
      <c r="AUM211" s="143"/>
      <c r="AUN211" s="144"/>
      <c r="AUO211" s="124"/>
      <c r="AUP211" s="145"/>
      <c r="AUQ211" s="145"/>
      <c r="AUR211" s="146"/>
      <c r="AUS211" s="142"/>
      <c r="AUT211" s="143"/>
      <c r="AUU211" s="144"/>
      <c r="AUV211" s="124"/>
      <c r="AUW211" s="145"/>
      <c r="AUX211" s="145"/>
      <c r="AUY211" s="146"/>
      <c r="AUZ211" s="142"/>
      <c r="AVA211" s="143"/>
      <c r="AVB211" s="144"/>
      <c r="AVC211" s="124"/>
      <c r="AVD211" s="145"/>
      <c r="AVE211" s="145"/>
      <c r="AVF211" s="146"/>
      <c r="AVG211" s="142"/>
      <c r="AVH211" s="143"/>
      <c r="AVI211" s="144"/>
      <c r="AVJ211" s="124"/>
      <c r="AVK211" s="145"/>
      <c r="AVL211" s="145"/>
      <c r="AVM211" s="146"/>
      <c r="AVN211" s="142"/>
      <c r="AVO211" s="143"/>
      <c r="AVP211" s="144"/>
      <c r="AVQ211" s="124"/>
      <c r="AVR211" s="145"/>
      <c r="AVS211" s="145"/>
      <c r="AVT211" s="146"/>
      <c r="AVU211" s="142"/>
      <c r="AVV211" s="143"/>
      <c r="AVW211" s="144"/>
      <c r="AVX211" s="124"/>
      <c r="AVY211" s="145"/>
      <c r="AVZ211" s="145"/>
      <c r="AWA211" s="146"/>
      <c r="AWB211" s="142"/>
      <c r="AWC211" s="143"/>
      <c r="AWD211" s="144"/>
      <c r="AWE211" s="124"/>
      <c r="AWF211" s="145"/>
      <c r="AWG211" s="145"/>
      <c r="AWH211" s="146"/>
      <c r="AWI211" s="142"/>
      <c r="AWJ211" s="143"/>
      <c r="AWK211" s="144"/>
      <c r="AWL211" s="124"/>
      <c r="AWM211" s="145"/>
      <c r="AWN211" s="145"/>
      <c r="AWO211" s="146"/>
      <c r="AWP211" s="142"/>
      <c r="AWQ211" s="143"/>
      <c r="AWR211" s="144"/>
      <c r="AWS211" s="124"/>
      <c r="AWT211" s="145"/>
      <c r="AWU211" s="145"/>
      <c r="AWV211" s="146"/>
      <c r="AWW211" s="142"/>
      <c r="AWX211" s="143"/>
      <c r="AWY211" s="144"/>
      <c r="AWZ211" s="124"/>
      <c r="AXA211" s="145"/>
      <c r="AXB211" s="145"/>
      <c r="AXC211" s="146"/>
      <c r="AXD211" s="142"/>
      <c r="AXE211" s="143"/>
      <c r="AXF211" s="144"/>
      <c r="AXG211" s="124"/>
      <c r="AXH211" s="145"/>
      <c r="AXI211" s="145"/>
      <c r="AXJ211" s="146"/>
      <c r="AXK211" s="142"/>
      <c r="AXL211" s="143"/>
      <c r="AXM211" s="144"/>
      <c r="AXN211" s="124"/>
      <c r="AXO211" s="145"/>
      <c r="AXP211" s="145"/>
      <c r="AXQ211" s="146"/>
      <c r="AXR211" s="142"/>
      <c r="AXS211" s="143"/>
      <c r="AXT211" s="144"/>
      <c r="AXU211" s="124"/>
      <c r="AXV211" s="145"/>
      <c r="AXW211" s="145"/>
      <c r="AXX211" s="146"/>
      <c r="AXY211" s="142"/>
      <c r="AXZ211" s="143"/>
      <c r="AYA211" s="144"/>
      <c r="AYB211" s="124"/>
      <c r="AYC211" s="145"/>
      <c r="AYD211" s="145"/>
      <c r="AYE211" s="146"/>
      <c r="AYF211" s="142"/>
      <c r="AYG211" s="143"/>
      <c r="AYH211" s="144"/>
      <c r="AYI211" s="124"/>
      <c r="AYJ211" s="145"/>
      <c r="AYK211" s="145"/>
      <c r="AYL211" s="146"/>
      <c r="AYM211" s="142"/>
      <c r="AYN211" s="143"/>
      <c r="AYO211" s="144"/>
      <c r="AYP211" s="124"/>
      <c r="AYQ211" s="145"/>
      <c r="AYR211" s="145"/>
      <c r="AYS211" s="146"/>
      <c r="AYT211" s="142"/>
      <c r="AYU211" s="143"/>
      <c r="AYV211" s="144"/>
      <c r="AYW211" s="124"/>
      <c r="AYX211" s="145"/>
      <c r="AYY211" s="145"/>
      <c r="AYZ211" s="146"/>
      <c r="AZA211" s="142"/>
      <c r="AZB211" s="143"/>
      <c r="AZC211" s="144"/>
      <c r="AZD211" s="124"/>
      <c r="AZE211" s="145"/>
      <c r="AZF211" s="145"/>
      <c r="AZG211" s="146"/>
      <c r="AZH211" s="142"/>
      <c r="AZI211" s="143"/>
      <c r="AZJ211" s="144"/>
      <c r="AZK211" s="124"/>
      <c r="AZL211" s="145"/>
      <c r="AZM211" s="145"/>
      <c r="AZN211" s="146"/>
      <c r="AZO211" s="142"/>
      <c r="AZP211" s="143"/>
      <c r="AZQ211" s="144"/>
      <c r="AZR211" s="124"/>
      <c r="AZS211" s="145"/>
      <c r="AZT211" s="145"/>
      <c r="AZU211" s="146"/>
      <c r="AZV211" s="142"/>
      <c r="AZW211" s="143"/>
      <c r="AZX211" s="144"/>
      <c r="AZY211" s="124"/>
      <c r="AZZ211" s="145"/>
      <c r="BAA211" s="145"/>
      <c r="BAB211" s="146"/>
      <c r="BAC211" s="142"/>
      <c r="BAD211" s="143"/>
      <c r="BAE211" s="144"/>
      <c r="BAF211" s="124"/>
      <c r="BAG211" s="145"/>
      <c r="BAH211" s="145"/>
      <c r="BAI211" s="146"/>
      <c r="BAJ211" s="142"/>
      <c r="BAK211" s="143"/>
      <c r="BAL211" s="144"/>
      <c r="BAM211" s="124"/>
      <c r="BAN211" s="145"/>
      <c r="BAO211" s="145"/>
      <c r="BAP211" s="146"/>
      <c r="BAQ211" s="142"/>
      <c r="BAR211" s="143"/>
      <c r="BAS211" s="144"/>
      <c r="BAT211" s="124"/>
      <c r="BAU211" s="145"/>
      <c r="BAV211" s="145"/>
      <c r="BAW211" s="146"/>
      <c r="BAX211" s="142"/>
      <c r="BAY211" s="143"/>
      <c r="BAZ211" s="144"/>
      <c r="BBA211" s="124"/>
      <c r="BBB211" s="145"/>
      <c r="BBC211" s="145"/>
      <c r="BBD211" s="146"/>
      <c r="BBE211" s="142"/>
      <c r="BBF211" s="143"/>
      <c r="BBG211" s="144"/>
      <c r="BBH211" s="124"/>
      <c r="BBI211" s="145"/>
      <c r="BBJ211" s="145"/>
      <c r="BBK211" s="146"/>
      <c r="BBL211" s="142"/>
      <c r="BBM211" s="143"/>
      <c r="BBN211" s="144"/>
      <c r="BBO211" s="124"/>
      <c r="BBP211" s="145"/>
      <c r="BBQ211" s="145"/>
      <c r="BBR211" s="146"/>
      <c r="BBS211" s="142"/>
      <c r="BBT211" s="143"/>
      <c r="BBU211" s="144"/>
      <c r="BBV211" s="124"/>
      <c r="BBW211" s="145"/>
      <c r="BBX211" s="145"/>
      <c r="BBY211" s="146"/>
      <c r="BBZ211" s="142"/>
      <c r="BCA211" s="143"/>
      <c r="BCB211" s="144"/>
      <c r="BCC211" s="124"/>
      <c r="BCD211" s="145"/>
      <c r="BCE211" s="145"/>
      <c r="BCF211" s="146"/>
      <c r="BCG211" s="142"/>
      <c r="BCH211" s="143"/>
      <c r="BCI211" s="144"/>
      <c r="BCJ211" s="124"/>
      <c r="BCK211" s="145"/>
      <c r="BCL211" s="145"/>
      <c r="BCM211" s="146"/>
      <c r="BCN211" s="142"/>
      <c r="BCO211" s="143"/>
      <c r="BCP211" s="144"/>
      <c r="BCQ211" s="124"/>
      <c r="BCR211" s="145"/>
      <c r="BCS211" s="145"/>
      <c r="BCT211" s="146"/>
      <c r="BCU211" s="142"/>
      <c r="BCV211" s="143"/>
      <c r="BCW211" s="144"/>
      <c r="BCX211" s="124"/>
      <c r="BCY211" s="145"/>
      <c r="BCZ211" s="145"/>
      <c r="BDA211" s="146"/>
      <c r="BDB211" s="142"/>
      <c r="BDC211" s="143"/>
      <c r="BDD211" s="144"/>
      <c r="BDE211" s="124"/>
      <c r="BDF211" s="145"/>
      <c r="BDG211" s="145"/>
      <c r="BDH211" s="146"/>
      <c r="BDI211" s="142"/>
      <c r="BDJ211" s="143"/>
      <c r="BDK211" s="144"/>
      <c r="BDL211" s="124"/>
      <c r="BDM211" s="145"/>
      <c r="BDN211" s="145"/>
      <c r="BDO211" s="146"/>
      <c r="BDP211" s="142"/>
      <c r="BDQ211" s="143"/>
      <c r="BDR211" s="144"/>
      <c r="BDS211" s="124"/>
      <c r="BDT211" s="145"/>
      <c r="BDU211" s="145"/>
      <c r="BDV211" s="146"/>
      <c r="BDW211" s="142"/>
      <c r="BDX211" s="143"/>
      <c r="BDY211" s="144"/>
      <c r="BDZ211" s="124"/>
      <c r="BEA211" s="145"/>
      <c r="BEB211" s="145"/>
      <c r="BEC211" s="146"/>
      <c r="BED211" s="142"/>
      <c r="BEE211" s="143"/>
      <c r="BEF211" s="144"/>
      <c r="BEG211" s="124"/>
      <c r="BEH211" s="145"/>
      <c r="BEI211" s="145"/>
      <c r="BEJ211" s="146"/>
      <c r="BEK211" s="142"/>
      <c r="BEL211" s="143"/>
      <c r="BEM211" s="144"/>
      <c r="BEN211" s="124"/>
      <c r="BEO211" s="145"/>
      <c r="BEP211" s="145"/>
      <c r="BEQ211" s="146"/>
      <c r="BER211" s="142"/>
      <c r="BES211" s="143"/>
      <c r="BET211" s="144"/>
      <c r="BEU211" s="124"/>
      <c r="BEV211" s="145"/>
      <c r="BEW211" s="145"/>
      <c r="BEX211" s="146"/>
      <c r="BEY211" s="142"/>
      <c r="BEZ211" s="143"/>
      <c r="BFA211" s="144"/>
      <c r="BFB211" s="124"/>
      <c r="BFC211" s="145"/>
      <c r="BFD211" s="145"/>
      <c r="BFE211" s="146"/>
      <c r="BFF211" s="142"/>
      <c r="BFG211" s="143"/>
      <c r="BFH211" s="144"/>
      <c r="BFI211" s="124"/>
      <c r="BFJ211" s="145"/>
      <c r="BFK211" s="145"/>
      <c r="BFL211" s="146"/>
      <c r="BFM211" s="142"/>
      <c r="BFN211" s="143"/>
      <c r="BFO211" s="144"/>
      <c r="BFP211" s="124"/>
      <c r="BFQ211" s="145"/>
      <c r="BFR211" s="145"/>
      <c r="BFS211" s="146"/>
      <c r="BFT211" s="142"/>
      <c r="BFU211" s="143"/>
      <c r="BFV211" s="144"/>
      <c r="BFW211" s="124"/>
      <c r="BFX211" s="145"/>
      <c r="BFY211" s="145"/>
      <c r="BFZ211" s="146"/>
      <c r="BGA211" s="142"/>
      <c r="BGB211" s="143"/>
      <c r="BGC211" s="144"/>
      <c r="BGD211" s="124"/>
      <c r="BGE211" s="145"/>
      <c r="BGF211" s="145"/>
      <c r="BGG211" s="146"/>
      <c r="BGH211" s="142"/>
      <c r="BGI211" s="143"/>
      <c r="BGJ211" s="144"/>
      <c r="BGK211" s="124"/>
      <c r="BGL211" s="145"/>
      <c r="BGM211" s="145"/>
      <c r="BGN211" s="146"/>
      <c r="BGO211" s="142"/>
      <c r="BGP211" s="143"/>
      <c r="BGQ211" s="144"/>
      <c r="BGR211" s="124"/>
      <c r="BGS211" s="145"/>
      <c r="BGT211" s="145"/>
      <c r="BGU211" s="146"/>
      <c r="BGV211" s="142"/>
      <c r="BGW211" s="143"/>
      <c r="BGX211" s="144"/>
      <c r="BGY211" s="124"/>
      <c r="BGZ211" s="145"/>
      <c r="BHA211" s="145"/>
      <c r="BHB211" s="146"/>
      <c r="BHC211" s="142"/>
      <c r="BHD211" s="143"/>
      <c r="BHE211" s="144"/>
      <c r="BHF211" s="124"/>
      <c r="BHG211" s="145"/>
      <c r="BHH211" s="145"/>
      <c r="BHI211" s="146"/>
      <c r="BHJ211" s="142"/>
      <c r="BHK211" s="143"/>
      <c r="BHL211" s="144"/>
      <c r="BHM211" s="124"/>
      <c r="BHN211" s="145"/>
      <c r="BHO211" s="145"/>
      <c r="BHP211" s="146"/>
      <c r="BHQ211" s="142"/>
      <c r="BHR211" s="143"/>
      <c r="BHS211" s="144"/>
      <c r="BHT211" s="124"/>
      <c r="BHU211" s="145"/>
      <c r="BHV211" s="145"/>
      <c r="BHW211" s="146"/>
      <c r="BHX211" s="142"/>
      <c r="BHY211" s="143"/>
      <c r="BHZ211" s="144"/>
      <c r="BIA211" s="124"/>
      <c r="BIB211" s="145"/>
      <c r="BIC211" s="145"/>
      <c r="BID211" s="146"/>
      <c r="BIE211" s="142"/>
      <c r="BIF211" s="143"/>
      <c r="BIG211" s="144"/>
      <c r="BIH211" s="124"/>
      <c r="BII211" s="145"/>
      <c r="BIJ211" s="145"/>
      <c r="BIK211" s="146"/>
      <c r="BIL211" s="142"/>
      <c r="BIM211" s="143"/>
      <c r="BIN211" s="144"/>
      <c r="BIO211" s="124"/>
      <c r="BIP211" s="145"/>
      <c r="BIQ211" s="145"/>
      <c r="BIR211" s="146"/>
      <c r="BIS211" s="142"/>
      <c r="BIT211" s="143"/>
      <c r="BIU211" s="144"/>
      <c r="BIV211" s="124"/>
      <c r="BIW211" s="145"/>
      <c r="BIX211" s="145"/>
      <c r="BIY211" s="146"/>
      <c r="BIZ211" s="142"/>
      <c r="BJA211" s="143"/>
      <c r="BJB211" s="144"/>
      <c r="BJC211" s="124"/>
      <c r="BJD211" s="145"/>
      <c r="BJE211" s="145"/>
      <c r="BJF211" s="146"/>
      <c r="BJG211" s="142"/>
      <c r="BJH211" s="143"/>
      <c r="BJI211" s="144"/>
      <c r="BJJ211" s="124"/>
      <c r="BJK211" s="145"/>
      <c r="BJL211" s="145"/>
      <c r="BJM211" s="146"/>
      <c r="BJN211" s="142"/>
      <c r="BJO211" s="143"/>
      <c r="BJP211" s="144"/>
      <c r="BJQ211" s="124"/>
      <c r="BJR211" s="145"/>
      <c r="BJS211" s="145"/>
      <c r="BJT211" s="146"/>
      <c r="BJU211" s="142"/>
      <c r="BJV211" s="143"/>
      <c r="BJW211" s="144"/>
      <c r="BJX211" s="124"/>
      <c r="BJY211" s="145"/>
      <c r="BJZ211" s="145"/>
      <c r="BKA211" s="146"/>
      <c r="BKB211" s="142"/>
      <c r="BKC211" s="143"/>
      <c r="BKD211" s="144"/>
      <c r="BKE211" s="124"/>
      <c r="BKF211" s="145"/>
      <c r="BKG211" s="145"/>
      <c r="BKH211" s="146"/>
      <c r="BKI211" s="142"/>
      <c r="BKJ211" s="143"/>
      <c r="BKK211" s="144"/>
      <c r="BKL211" s="124"/>
      <c r="BKM211" s="145"/>
      <c r="BKN211" s="145"/>
      <c r="BKO211" s="146"/>
      <c r="BKP211" s="142"/>
      <c r="BKQ211" s="143"/>
      <c r="BKR211" s="144"/>
      <c r="BKS211" s="124"/>
      <c r="BKT211" s="145"/>
      <c r="BKU211" s="145"/>
      <c r="BKV211" s="146"/>
      <c r="BKW211" s="142"/>
      <c r="BKX211" s="143"/>
      <c r="BKY211" s="144"/>
      <c r="BKZ211" s="124"/>
      <c r="BLA211" s="145"/>
      <c r="BLB211" s="145"/>
      <c r="BLC211" s="146"/>
      <c r="BLD211" s="142"/>
      <c r="BLE211" s="143"/>
      <c r="BLF211" s="144"/>
      <c r="BLG211" s="124"/>
      <c r="BLH211" s="145"/>
      <c r="BLI211" s="145"/>
      <c r="BLJ211" s="146"/>
      <c r="BLK211" s="142"/>
      <c r="BLL211" s="143"/>
      <c r="BLM211" s="144"/>
      <c r="BLN211" s="124"/>
      <c r="BLO211" s="145"/>
      <c r="BLP211" s="145"/>
      <c r="BLQ211" s="146"/>
      <c r="BLR211" s="142"/>
      <c r="BLS211" s="143"/>
      <c r="BLT211" s="144"/>
      <c r="BLU211" s="124"/>
      <c r="BLV211" s="145"/>
      <c r="BLW211" s="145"/>
      <c r="BLX211" s="146"/>
      <c r="BLY211" s="142"/>
      <c r="BLZ211" s="143"/>
      <c r="BMA211" s="144"/>
      <c r="BMB211" s="124"/>
      <c r="BMC211" s="145"/>
      <c r="BMD211" s="145"/>
      <c r="BME211" s="146"/>
      <c r="BMF211" s="142"/>
      <c r="BMG211" s="143"/>
      <c r="BMH211" s="144"/>
      <c r="BMI211" s="124"/>
      <c r="BMJ211" s="145"/>
      <c r="BMK211" s="145"/>
      <c r="BML211" s="146"/>
      <c r="BMM211" s="142"/>
      <c r="BMN211" s="143"/>
      <c r="BMO211" s="144"/>
      <c r="BMP211" s="124"/>
      <c r="BMQ211" s="145"/>
      <c r="BMR211" s="145"/>
      <c r="BMS211" s="146"/>
      <c r="BMT211" s="142"/>
      <c r="BMU211" s="143"/>
      <c r="BMV211" s="144"/>
      <c r="BMW211" s="124"/>
      <c r="BMX211" s="145"/>
      <c r="BMY211" s="145"/>
      <c r="BMZ211" s="146"/>
      <c r="BNA211" s="142"/>
      <c r="BNB211" s="143"/>
      <c r="BNC211" s="144"/>
      <c r="BND211" s="124"/>
      <c r="BNE211" s="145"/>
      <c r="BNF211" s="145"/>
      <c r="BNG211" s="146"/>
      <c r="BNH211" s="142"/>
      <c r="BNI211" s="143"/>
      <c r="BNJ211" s="144"/>
      <c r="BNK211" s="124"/>
      <c r="BNL211" s="145"/>
      <c r="BNM211" s="145"/>
      <c r="BNN211" s="146"/>
      <c r="BNO211" s="142"/>
      <c r="BNP211" s="143"/>
      <c r="BNQ211" s="144"/>
      <c r="BNR211" s="124"/>
      <c r="BNS211" s="145"/>
      <c r="BNT211" s="145"/>
      <c r="BNU211" s="146"/>
      <c r="BNV211" s="142"/>
      <c r="BNW211" s="143"/>
      <c r="BNX211" s="144"/>
      <c r="BNY211" s="124"/>
      <c r="BNZ211" s="145"/>
      <c r="BOA211" s="145"/>
      <c r="BOB211" s="146"/>
      <c r="BOC211" s="142"/>
      <c r="BOD211" s="143"/>
      <c r="BOE211" s="144"/>
      <c r="BOF211" s="124"/>
      <c r="BOG211" s="145"/>
      <c r="BOH211" s="145"/>
      <c r="BOI211" s="146"/>
      <c r="BOJ211" s="142"/>
      <c r="BOK211" s="143"/>
      <c r="BOL211" s="144"/>
      <c r="BOM211" s="124"/>
      <c r="BON211" s="145"/>
      <c r="BOO211" s="145"/>
      <c r="BOP211" s="146"/>
      <c r="BOQ211" s="142"/>
      <c r="BOR211" s="143"/>
      <c r="BOS211" s="144"/>
      <c r="BOT211" s="124"/>
      <c r="BOU211" s="145"/>
      <c r="BOV211" s="145"/>
      <c r="BOW211" s="146"/>
      <c r="BOX211" s="142"/>
      <c r="BOY211" s="143"/>
      <c r="BOZ211" s="144"/>
      <c r="BPA211" s="124"/>
      <c r="BPB211" s="145"/>
      <c r="BPC211" s="145"/>
      <c r="BPD211" s="146"/>
      <c r="BPE211" s="142"/>
      <c r="BPF211" s="143"/>
      <c r="BPG211" s="144"/>
      <c r="BPH211" s="124"/>
      <c r="BPI211" s="145"/>
      <c r="BPJ211" s="145"/>
      <c r="BPK211" s="146"/>
      <c r="BPL211" s="142"/>
      <c r="BPM211" s="143"/>
      <c r="BPN211" s="144"/>
      <c r="BPO211" s="124"/>
      <c r="BPP211" s="145"/>
      <c r="BPQ211" s="145"/>
      <c r="BPR211" s="146"/>
      <c r="BPS211" s="142"/>
      <c r="BPT211" s="143"/>
      <c r="BPU211" s="144"/>
      <c r="BPV211" s="124"/>
      <c r="BPW211" s="145"/>
      <c r="BPX211" s="145"/>
      <c r="BPY211" s="146"/>
      <c r="BPZ211" s="142"/>
      <c r="BQA211" s="143"/>
      <c r="BQB211" s="144"/>
      <c r="BQC211" s="124"/>
      <c r="BQD211" s="145"/>
      <c r="BQE211" s="145"/>
      <c r="BQF211" s="146"/>
      <c r="BQG211" s="142"/>
      <c r="BQH211" s="143"/>
      <c r="BQI211" s="144"/>
      <c r="BQJ211" s="124"/>
      <c r="BQK211" s="145"/>
      <c r="BQL211" s="145"/>
      <c r="BQM211" s="146"/>
      <c r="BQN211" s="142"/>
      <c r="BQO211" s="143"/>
      <c r="BQP211" s="144"/>
      <c r="BQQ211" s="124"/>
      <c r="BQR211" s="145"/>
      <c r="BQS211" s="145"/>
      <c r="BQT211" s="146"/>
      <c r="BQU211" s="142"/>
      <c r="BQV211" s="143"/>
      <c r="BQW211" s="144"/>
      <c r="BQX211" s="124"/>
      <c r="BQY211" s="145"/>
      <c r="BQZ211" s="145"/>
      <c r="BRA211" s="146"/>
      <c r="BRB211" s="142"/>
      <c r="BRC211" s="143"/>
      <c r="BRD211" s="144"/>
      <c r="BRE211" s="124"/>
      <c r="BRF211" s="145"/>
      <c r="BRG211" s="145"/>
      <c r="BRH211" s="146"/>
      <c r="BRI211" s="142"/>
      <c r="BRJ211" s="143"/>
      <c r="BRK211" s="144"/>
      <c r="BRL211" s="124"/>
      <c r="BRM211" s="145"/>
      <c r="BRN211" s="145"/>
      <c r="BRO211" s="146"/>
      <c r="BRP211" s="142"/>
      <c r="BRQ211" s="143"/>
      <c r="BRR211" s="144"/>
      <c r="BRS211" s="124"/>
      <c r="BRT211" s="145"/>
      <c r="BRU211" s="145"/>
      <c r="BRV211" s="146"/>
      <c r="BRW211" s="142"/>
      <c r="BRX211" s="143"/>
      <c r="BRY211" s="144"/>
      <c r="BRZ211" s="124"/>
      <c r="BSA211" s="145"/>
      <c r="BSB211" s="145"/>
      <c r="BSC211" s="146"/>
      <c r="BSD211" s="142"/>
      <c r="BSE211" s="143"/>
      <c r="BSF211" s="144"/>
      <c r="BSG211" s="124"/>
      <c r="BSH211" s="145"/>
      <c r="BSI211" s="145"/>
      <c r="BSJ211" s="146"/>
      <c r="BSK211" s="142"/>
      <c r="BSL211" s="143"/>
      <c r="BSM211" s="144"/>
      <c r="BSN211" s="124"/>
      <c r="BSO211" s="145"/>
      <c r="BSP211" s="145"/>
      <c r="BSQ211" s="146"/>
      <c r="BSR211" s="142"/>
      <c r="BSS211" s="143"/>
      <c r="BST211" s="144"/>
      <c r="BSU211" s="124"/>
      <c r="BSV211" s="145"/>
      <c r="BSW211" s="145"/>
      <c r="BSX211" s="146"/>
      <c r="BSY211" s="142"/>
      <c r="BSZ211" s="143"/>
      <c r="BTA211" s="144"/>
      <c r="BTB211" s="124"/>
      <c r="BTC211" s="145"/>
      <c r="BTD211" s="145"/>
      <c r="BTE211" s="146"/>
      <c r="BTF211" s="142"/>
      <c r="BTG211" s="143"/>
      <c r="BTH211" s="144"/>
      <c r="BTI211" s="124"/>
      <c r="BTJ211" s="145"/>
      <c r="BTK211" s="145"/>
      <c r="BTL211" s="146"/>
      <c r="BTM211" s="142"/>
      <c r="BTN211" s="143"/>
      <c r="BTO211" s="144"/>
      <c r="BTP211" s="124"/>
      <c r="BTQ211" s="145"/>
      <c r="BTR211" s="145"/>
      <c r="BTS211" s="146"/>
      <c r="BTT211" s="142"/>
      <c r="BTU211" s="143"/>
      <c r="BTV211" s="144"/>
      <c r="BTW211" s="124"/>
      <c r="BTX211" s="145"/>
      <c r="BTY211" s="145"/>
      <c r="BTZ211" s="146"/>
      <c r="BUA211" s="142"/>
      <c r="BUB211" s="143"/>
      <c r="BUC211" s="144"/>
      <c r="BUD211" s="124"/>
      <c r="BUE211" s="145"/>
      <c r="BUF211" s="145"/>
      <c r="BUG211" s="146"/>
      <c r="BUH211" s="142"/>
      <c r="BUI211" s="143"/>
      <c r="BUJ211" s="144"/>
      <c r="BUK211" s="124"/>
      <c r="BUL211" s="145"/>
      <c r="BUM211" s="145"/>
      <c r="BUN211" s="146"/>
      <c r="BUO211" s="142"/>
      <c r="BUP211" s="143"/>
      <c r="BUQ211" s="144"/>
      <c r="BUR211" s="124"/>
      <c r="BUS211" s="145"/>
      <c r="BUT211" s="145"/>
      <c r="BUU211" s="146"/>
      <c r="BUV211" s="142"/>
      <c r="BUW211" s="143"/>
      <c r="BUX211" s="144"/>
      <c r="BUY211" s="124"/>
      <c r="BUZ211" s="145"/>
      <c r="BVA211" s="145"/>
      <c r="BVB211" s="146"/>
      <c r="BVC211" s="142"/>
      <c r="BVD211" s="143"/>
      <c r="BVE211" s="144"/>
      <c r="BVF211" s="124"/>
      <c r="BVG211" s="145"/>
      <c r="BVH211" s="145"/>
      <c r="BVI211" s="146"/>
      <c r="BVJ211" s="142"/>
      <c r="BVK211" s="143"/>
      <c r="BVL211" s="144"/>
      <c r="BVM211" s="124"/>
      <c r="BVN211" s="145"/>
      <c r="BVO211" s="145"/>
      <c r="BVP211" s="146"/>
      <c r="BVQ211" s="142"/>
      <c r="BVR211" s="143"/>
      <c r="BVS211" s="144"/>
      <c r="BVT211" s="124"/>
      <c r="BVU211" s="145"/>
      <c r="BVV211" s="145"/>
      <c r="BVW211" s="146"/>
      <c r="BVX211" s="142"/>
      <c r="BVY211" s="143"/>
      <c r="BVZ211" s="144"/>
      <c r="BWA211" s="124"/>
      <c r="BWB211" s="145"/>
      <c r="BWC211" s="145"/>
      <c r="BWD211" s="146"/>
      <c r="BWE211" s="142"/>
      <c r="BWF211" s="143"/>
      <c r="BWG211" s="144"/>
      <c r="BWH211" s="124"/>
      <c r="BWI211" s="145"/>
      <c r="BWJ211" s="145"/>
      <c r="BWK211" s="146"/>
      <c r="BWL211" s="142"/>
      <c r="BWM211" s="143"/>
      <c r="BWN211" s="144"/>
      <c r="BWO211" s="124"/>
      <c r="BWP211" s="145"/>
      <c r="BWQ211" s="145"/>
      <c r="BWR211" s="146"/>
      <c r="BWS211" s="142"/>
      <c r="BWT211" s="143"/>
      <c r="BWU211" s="144"/>
      <c r="BWV211" s="124"/>
      <c r="BWW211" s="145"/>
      <c r="BWX211" s="145"/>
      <c r="BWY211" s="146"/>
      <c r="BWZ211" s="142"/>
      <c r="BXA211" s="143"/>
      <c r="BXB211" s="144"/>
      <c r="BXC211" s="124"/>
      <c r="BXD211" s="145"/>
      <c r="BXE211" s="145"/>
      <c r="BXF211" s="146"/>
      <c r="BXG211" s="142"/>
      <c r="BXH211" s="143"/>
      <c r="BXI211" s="144"/>
      <c r="BXJ211" s="124"/>
      <c r="BXK211" s="145"/>
      <c r="BXL211" s="145"/>
      <c r="BXM211" s="146"/>
      <c r="BXN211" s="142"/>
      <c r="BXO211" s="143"/>
      <c r="BXP211" s="144"/>
      <c r="BXQ211" s="124"/>
      <c r="BXR211" s="145"/>
      <c r="BXS211" s="145"/>
      <c r="BXT211" s="146"/>
      <c r="BXU211" s="142"/>
      <c r="BXV211" s="143"/>
      <c r="BXW211" s="144"/>
      <c r="BXX211" s="124"/>
      <c r="BXY211" s="145"/>
      <c r="BXZ211" s="145"/>
      <c r="BYA211" s="146"/>
      <c r="BYB211" s="142"/>
      <c r="BYC211" s="143"/>
      <c r="BYD211" s="144"/>
      <c r="BYE211" s="124"/>
      <c r="BYF211" s="145"/>
      <c r="BYG211" s="145"/>
      <c r="BYH211" s="146"/>
      <c r="BYI211" s="142"/>
      <c r="BYJ211" s="143"/>
      <c r="BYK211" s="144"/>
      <c r="BYL211" s="124"/>
      <c r="BYM211" s="145"/>
      <c r="BYN211" s="145"/>
      <c r="BYO211" s="146"/>
      <c r="BYP211" s="142"/>
      <c r="BYQ211" s="143"/>
      <c r="BYR211" s="144"/>
      <c r="BYS211" s="124"/>
      <c r="BYT211" s="145"/>
      <c r="BYU211" s="145"/>
      <c r="BYV211" s="146"/>
      <c r="BYW211" s="142"/>
      <c r="BYX211" s="143"/>
      <c r="BYY211" s="144"/>
      <c r="BYZ211" s="124"/>
      <c r="BZA211" s="145"/>
      <c r="BZB211" s="145"/>
      <c r="BZC211" s="146"/>
      <c r="BZD211" s="142"/>
      <c r="BZE211" s="143"/>
      <c r="BZF211" s="144"/>
      <c r="BZG211" s="124"/>
      <c r="BZH211" s="145"/>
      <c r="BZI211" s="145"/>
      <c r="BZJ211" s="146"/>
      <c r="BZK211" s="142"/>
      <c r="BZL211" s="143"/>
      <c r="BZM211" s="144"/>
      <c r="BZN211" s="124"/>
      <c r="BZO211" s="145"/>
      <c r="BZP211" s="145"/>
      <c r="BZQ211" s="146"/>
      <c r="BZR211" s="142"/>
      <c r="BZS211" s="143"/>
      <c r="BZT211" s="144"/>
      <c r="BZU211" s="124"/>
      <c r="BZV211" s="145"/>
      <c r="BZW211" s="145"/>
      <c r="BZX211" s="146"/>
      <c r="BZY211" s="142"/>
      <c r="BZZ211" s="143"/>
      <c r="CAA211" s="144"/>
      <c r="CAB211" s="124"/>
      <c r="CAC211" s="145"/>
      <c r="CAD211" s="145"/>
      <c r="CAE211" s="146"/>
      <c r="CAF211" s="142"/>
      <c r="CAG211" s="143"/>
      <c r="CAH211" s="144"/>
      <c r="CAI211" s="124"/>
      <c r="CAJ211" s="145"/>
      <c r="CAK211" s="145"/>
      <c r="CAL211" s="146"/>
      <c r="CAM211" s="142"/>
      <c r="CAN211" s="143"/>
      <c r="CAO211" s="144"/>
      <c r="CAP211" s="124"/>
      <c r="CAQ211" s="145"/>
      <c r="CAR211" s="145"/>
      <c r="CAS211" s="146"/>
      <c r="CAT211" s="142"/>
      <c r="CAU211" s="143"/>
      <c r="CAV211" s="144"/>
      <c r="CAW211" s="124"/>
      <c r="CAX211" s="145"/>
      <c r="CAY211" s="145"/>
      <c r="CAZ211" s="146"/>
      <c r="CBA211" s="142"/>
      <c r="CBB211" s="143"/>
      <c r="CBC211" s="144"/>
      <c r="CBD211" s="124"/>
      <c r="CBE211" s="145"/>
      <c r="CBF211" s="145"/>
      <c r="CBG211" s="146"/>
      <c r="CBH211" s="142"/>
      <c r="CBI211" s="143"/>
      <c r="CBJ211" s="144"/>
      <c r="CBK211" s="124"/>
      <c r="CBL211" s="145"/>
      <c r="CBM211" s="145"/>
      <c r="CBN211" s="146"/>
      <c r="CBO211" s="142"/>
      <c r="CBP211" s="143"/>
      <c r="CBQ211" s="144"/>
      <c r="CBR211" s="124"/>
      <c r="CBS211" s="145"/>
      <c r="CBT211" s="145"/>
      <c r="CBU211" s="146"/>
      <c r="CBV211" s="142"/>
      <c r="CBW211" s="143"/>
      <c r="CBX211" s="144"/>
      <c r="CBY211" s="124"/>
      <c r="CBZ211" s="145"/>
      <c r="CCA211" s="145"/>
      <c r="CCB211" s="146"/>
      <c r="CCC211" s="142"/>
      <c r="CCD211" s="143"/>
      <c r="CCE211" s="144"/>
      <c r="CCF211" s="124"/>
      <c r="CCG211" s="145"/>
      <c r="CCH211" s="145"/>
      <c r="CCI211" s="146"/>
      <c r="CCJ211" s="142"/>
      <c r="CCK211" s="143"/>
      <c r="CCL211" s="144"/>
      <c r="CCM211" s="124"/>
      <c r="CCN211" s="145"/>
      <c r="CCO211" s="145"/>
      <c r="CCP211" s="146"/>
      <c r="CCQ211" s="142"/>
      <c r="CCR211" s="143"/>
      <c r="CCS211" s="144"/>
      <c r="CCT211" s="124"/>
      <c r="CCU211" s="145"/>
      <c r="CCV211" s="145"/>
      <c r="CCW211" s="146"/>
      <c r="CCX211" s="142"/>
      <c r="CCY211" s="143"/>
      <c r="CCZ211" s="144"/>
      <c r="CDA211" s="124"/>
      <c r="CDB211" s="145"/>
      <c r="CDC211" s="145"/>
      <c r="CDD211" s="146"/>
      <c r="CDE211" s="142"/>
      <c r="CDF211" s="143"/>
      <c r="CDG211" s="144"/>
      <c r="CDH211" s="124"/>
      <c r="CDI211" s="145"/>
      <c r="CDJ211" s="145"/>
      <c r="CDK211" s="146"/>
      <c r="CDL211" s="142"/>
      <c r="CDM211" s="143"/>
      <c r="CDN211" s="144"/>
      <c r="CDO211" s="124"/>
      <c r="CDP211" s="145"/>
      <c r="CDQ211" s="145"/>
      <c r="CDR211" s="146"/>
      <c r="CDS211" s="142"/>
      <c r="CDT211" s="143"/>
      <c r="CDU211" s="144"/>
      <c r="CDV211" s="124"/>
      <c r="CDW211" s="145"/>
      <c r="CDX211" s="145"/>
      <c r="CDY211" s="146"/>
      <c r="CDZ211" s="142"/>
      <c r="CEA211" s="143"/>
      <c r="CEB211" s="144"/>
      <c r="CEC211" s="124"/>
      <c r="CED211" s="145"/>
      <c r="CEE211" s="145"/>
      <c r="CEF211" s="146"/>
      <c r="CEG211" s="142"/>
      <c r="CEH211" s="143"/>
      <c r="CEI211" s="144"/>
      <c r="CEJ211" s="124"/>
      <c r="CEK211" s="145"/>
      <c r="CEL211" s="145"/>
      <c r="CEM211" s="146"/>
      <c r="CEN211" s="142"/>
      <c r="CEO211" s="143"/>
      <c r="CEP211" s="144"/>
      <c r="CEQ211" s="124"/>
      <c r="CER211" s="145"/>
      <c r="CES211" s="145"/>
      <c r="CET211" s="146"/>
      <c r="CEU211" s="142"/>
      <c r="CEV211" s="143"/>
      <c r="CEW211" s="144"/>
      <c r="CEX211" s="124"/>
      <c r="CEY211" s="145"/>
      <c r="CEZ211" s="145"/>
      <c r="CFA211" s="146"/>
      <c r="CFB211" s="142"/>
      <c r="CFC211" s="143"/>
      <c r="CFD211" s="144"/>
      <c r="CFE211" s="124"/>
      <c r="CFF211" s="145"/>
      <c r="CFG211" s="145"/>
      <c r="CFH211" s="146"/>
      <c r="CFI211" s="142"/>
      <c r="CFJ211" s="143"/>
      <c r="CFK211" s="144"/>
      <c r="CFL211" s="124"/>
      <c r="CFM211" s="145"/>
      <c r="CFN211" s="145"/>
      <c r="CFO211" s="146"/>
      <c r="CFP211" s="142"/>
      <c r="CFQ211" s="143"/>
      <c r="CFR211" s="144"/>
      <c r="CFS211" s="124"/>
      <c r="CFT211" s="145"/>
      <c r="CFU211" s="145"/>
      <c r="CFV211" s="146"/>
      <c r="CFW211" s="142"/>
      <c r="CFX211" s="143"/>
      <c r="CFY211" s="144"/>
      <c r="CFZ211" s="124"/>
      <c r="CGA211" s="145"/>
      <c r="CGB211" s="145"/>
      <c r="CGC211" s="146"/>
      <c r="CGD211" s="142"/>
      <c r="CGE211" s="143"/>
      <c r="CGF211" s="144"/>
      <c r="CGG211" s="124"/>
      <c r="CGH211" s="145"/>
      <c r="CGI211" s="145"/>
      <c r="CGJ211" s="146"/>
      <c r="CGK211" s="142"/>
      <c r="CGL211" s="143"/>
      <c r="CGM211" s="144"/>
      <c r="CGN211" s="124"/>
      <c r="CGO211" s="145"/>
      <c r="CGP211" s="145"/>
      <c r="CGQ211" s="146"/>
      <c r="CGR211" s="142"/>
      <c r="CGS211" s="143"/>
      <c r="CGT211" s="144"/>
      <c r="CGU211" s="124"/>
      <c r="CGV211" s="145"/>
      <c r="CGW211" s="145"/>
      <c r="CGX211" s="146"/>
      <c r="CGY211" s="142"/>
      <c r="CGZ211" s="143"/>
      <c r="CHA211" s="144"/>
      <c r="CHB211" s="124"/>
      <c r="CHC211" s="145"/>
      <c r="CHD211" s="145"/>
      <c r="CHE211" s="146"/>
      <c r="CHF211" s="142"/>
      <c r="CHG211" s="143"/>
      <c r="CHH211" s="144"/>
      <c r="CHI211" s="124"/>
      <c r="CHJ211" s="145"/>
      <c r="CHK211" s="145"/>
      <c r="CHL211" s="146"/>
      <c r="CHM211" s="142"/>
      <c r="CHN211" s="143"/>
      <c r="CHO211" s="144"/>
      <c r="CHP211" s="124"/>
      <c r="CHQ211" s="145"/>
      <c r="CHR211" s="145"/>
      <c r="CHS211" s="146"/>
      <c r="CHT211" s="142"/>
      <c r="CHU211" s="143"/>
      <c r="CHV211" s="144"/>
      <c r="CHW211" s="124"/>
      <c r="CHX211" s="145"/>
      <c r="CHY211" s="145"/>
      <c r="CHZ211" s="146"/>
      <c r="CIA211" s="142"/>
      <c r="CIB211" s="143"/>
      <c r="CIC211" s="144"/>
      <c r="CID211" s="124"/>
      <c r="CIE211" s="145"/>
      <c r="CIF211" s="145"/>
      <c r="CIG211" s="146"/>
      <c r="CIH211" s="142"/>
      <c r="CII211" s="143"/>
      <c r="CIJ211" s="144"/>
      <c r="CIK211" s="124"/>
      <c r="CIL211" s="145"/>
      <c r="CIM211" s="145"/>
      <c r="CIN211" s="146"/>
      <c r="CIO211" s="142"/>
      <c r="CIP211" s="143"/>
      <c r="CIQ211" s="144"/>
      <c r="CIR211" s="124"/>
      <c r="CIS211" s="145"/>
      <c r="CIT211" s="145"/>
      <c r="CIU211" s="146"/>
      <c r="CIV211" s="142"/>
      <c r="CIW211" s="143"/>
      <c r="CIX211" s="144"/>
      <c r="CIY211" s="124"/>
      <c r="CIZ211" s="145"/>
      <c r="CJA211" s="145"/>
      <c r="CJB211" s="146"/>
      <c r="CJC211" s="142"/>
      <c r="CJD211" s="143"/>
      <c r="CJE211" s="144"/>
      <c r="CJF211" s="124"/>
      <c r="CJG211" s="145"/>
      <c r="CJH211" s="145"/>
      <c r="CJI211" s="146"/>
      <c r="CJJ211" s="142"/>
      <c r="CJK211" s="143"/>
      <c r="CJL211" s="144"/>
      <c r="CJM211" s="124"/>
      <c r="CJN211" s="145"/>
      <c r="CJO211" s="145"/>
      <c r="CJP211" s="146"/>
      <c r="CJQ211" s="142"/>
      <c r="CJR211" s="143"/>
      <c r="CJS211" s="144"/>
      <c r="CJT211" s="124"/>
      <c r="CJU211" s="145"/>
      <c r="CJV211" s="145"/>
      <c r="CJW211" s="146"/>
      <c r="CJX211" s="142"/>
      <c r="CJY211" s="143"/>
      <c r="CJZ211" s="144"/>
      <c r="CKA211" s="124"/>
      <c r="CKB211" s="145"/>
      <c r="CKC211" s="145"/>
      <c r="CKD211" s="146"/>
      <c r="CKE211" s="142"/>
      <c r="CKF211" s="143"/>
      <c r="CKG211" s="144"/>
      <c r="CKH211" s="124"/>
      <c r="CKI211" s="145"/>
      <c r="CKJ211" s="145"/>
      <c r="CKK211" s="146"/>
      <c r="CKL211" s="142"/>
      <c r="CKM211" s="143"/>
      <c r="CKN211" s="144"/>
      <c r="CKO211" s="124"/>
      <c r="CKP211" s="145"/>
      <c r="CKQ211" s="145"/>
      <c r="CKR211" s="146"/>
      <c r="CKS211" s="142"/>
      <c r="CKT211" s="143"/>
      <c r="CKU211" s="144"/>
      <c r="CKV211" s="124"/>
      <c r="CKW211" s="145"/>
      <c r="CKX211" s="145"/>
      <c r="CKY211" s="146"/>
      <c r="CKZ211" s="142"/>
      <c r="CLA211" s="143"/>
      <c r="CLB211" s="144"/>
      <c r="CLC211" s="124"/>
      <c r="CLD211" s="145"/>
      <c r="CLE211" s="145"/>
      <c r="CLF211" s="146"/>
      <c r="CLG211" s="142"/>
      <c r="CLH211" s="143"/>
      <c r="CLI211" s="144"/>
      <c r="CLJ211" s="124"/>
      <c r="CLK211" s="145"/>
      <c r="CLL211" s="145"/>
      <c r="CLM211" s="146"/>
      <c r="CLN211" s="142"/>
      <c r="CLO211" s="143"/>
      <c r="CLP211" s="144"/>
      <c r="CLQ211" s="124"/>
      <c r="CLR211" s="145"/>
      <c r="CLS211" s="145"/>
      <c r="CLT211" s="146"/>
      <c r="CLU211" s="142"/>
      <c r="CLV211" s="143"/>
      <c r="CLW211" s="144"/>
      <c r="CLX211" s="124"/>
      <c r="CLY211" s="145"/>
      <c r="CLZ211" s="145"/>
      <c r="CMA211" s="146"/>
      <c r="CMB211" s="142"/>
      <c r="CMC211" s="143"/>
      <c r="CMD211" s="144"/>
      <c r="CME211" s="124"/>
      <c r="CMF211" s="145"/>
      <c r="CMG211" s="145"/>
      <c r="CMH211" s="146"/>
      <c r="CMI211" s="142"/>
      <c r="CMJ211" s="143"/>
      <c r="CMK211" s="144"/>
      <c r="CML211" s="124"/>
      <c r="CMM211" s="145"/>
      <c r="CMN211" s="145"/>
      <c r="CMO211" s="146"/>
      <c r="CMP211" s="142"/>
      <c r="CMQ211" s="143"/>
      <c r="CMR211" s="144"/>
      <c r="CMS211" s="124"/>
      <c r="CMT211" s="145"/>
      <c r="CMU211" s="145"/>
      <c r="CMV211" s="146"/>
      <c r="CMW211" s="142"/>
      <c r="CMX211" s="143"/>
      <c r="CMY211" s="144"/>
      <c r="CMZ211" s="124"/>
      <c r="CNA211" s="145"/>
      <c r="CNB211" s="145"/>
      <c r="CNC211" s="146"/>
      <c r="CND211" s="142"/>
      <c r="CNE211" s="143"/>
      <c r="CNF211" s="144"/>
      <c r="CNG211" s="124"/>
      <c r="CNH211" s="145"/>
      <c r="CNI211" s="145"/>
      <c r="CNJ211" s="146"/>
      <c r="CNK211" s="142"/>
      <c r="CNL211" s="143"/>
      <c r="CNM211" s="144"/>
      <c r="CNN211" s="124"/>
      <c r="CNO211" s="145"/>
      <c r="CNP211" s="145"/>
      <c r="CNQ211" s="146"/>
      <c r="CNR211" s="142"/>
      <c r="CNS211" s="143"/>
      <c r="CNT211" s="144"/>
      <c r="CNU211" s="124"/>
      <c r="CNV211" s="145"/>
      <c r="CNW211" s="145"/>
      <c r="CNX211" s="146"/>
      <c r="CNY211" s="142"/>
      <c r="CNZ211" s="143"/>
      <c r="COA211" s="144"/>
      <c r="COB211" s="124"/>
      <c r="COC211" s="145"/>
      <c r="COD211" s="145"/>
      <c r="COE211" s="146"/>
      <c r="COF211" s="142"/>
      <c r="COG211" s="143"/>
      <c r="COH211" s="144"/>
      <c r="COI211" s="124"/>
      <c r="COJ211" s="145"/>
      <c r="COK211" s="145"/>
      <c r="COL211" s="146"/>
      <c r="COM211" s="142"/>
      <c r="CON211" s="143"/>
      <c r="COO211" s="144"/>
      <c r="COP211" s="124"/>
      <c r="COQ211" s="145"/>
      <c r="COR211" s="145"/>
      <c r="COS211" s="146"/>
      <c r="COT211" s="142"/>
      <c r="COU211" s="143"/>
      <c r="COV211" s="144"/>
      <c r="COW211" s="124"/>
      <c r="COX211" s="145"/>
      <c r="COY211" s="145"/>
      <c r="COZ211" s="146"/>
      <c r="CPA211" s="142"/>
      <c r="CPB211" s="143"/>
      <c r="CPC211" s="144"/>
      <c r="CPD211" s="124"/>
      <c r="CPE211" s="145"/>
      <c r="CPF211" s="145"/>
      <c r="CPG211" s="146"/>
      <c r="CPH211" s="142"/>
      <c r="CPI211" s="143"/>
      <c r="CPJ211" s="144"/>
      <c r="CPK211" s="124"/>
      <c r="CPL211" s="145"/>
      <c r="CPM211" s="145"/>
      <c r="CPN211" s="146"/>
      <c r="CPO211" s="142"/>
      <c r="CPP211" s="143"/>
      <c r="CPQ211" s="144"/>
      <c r="CPR211" s="124"/>
      <c r="CPS211" s="145"/>
      <c r="CPT211" s="145"/>
      <c r="CPU211" s="146"/>
      <c r="CPV211" s="142"/>
      <c r="CPW211" s="143"/>
      <c r="CPX211" s="144"/>
      <c r="CPY211" s="124"/>
      <c r="CPZ211" s="145"/>
      <c r="CQA211" s="145"/>
      <c r="CQB211" s="146"/>
      <c r="CQC211" s="142"/>
      <c r="CQD211" s="143"/>
      <c r="CQE211" s="144"/>
      <c r="CQF211" s="124"/>
      <c r="CQG211" s="145"/>
      <c r="CQH211" s="145"/>
      <c r="CQI211" s="146"/>
      <c r="CQJ211" s="142"/>
      <c r="CQK211" s="143"/>
      <c r="CQL211" s="144"/>
      <c r="CQM211" s="124"/>
      <c r="CQN211" s="145"/>
      <c r="CQO211" s="145"/>
      <c r="CQP211" s="146"/>
      <c r="CQQ211" s="142"/>
      <c r="CQR211" s="143"/>
      <c r="CQS211" s="144"/>
      <c r="CQT211" s="124"/>
      <c r="CQU211" s="145"/>
      <c r="CQV211" s="145"/>
      <c r="CQW211" s="146"/>
      <c r="CQX211" s="142"/>
      <c r="CQY211" s="143"/>
      <c r="CQZ211" s="144"/>
      <c r="CRA211" s="124"/>
      <c r="CRB211" s="145"/>
      <c r="CRC211" s="145"/>
      <c r="CRD211" s="146"/>
      <c r="CRE211" s="142"/>
      <c r="CRF211" s="143"/>
      <c r="CRG211" s="144"/>
      <c r="CRH211" s="124"/>
      <c r="CRI211" s="145"/>
      <c r="CRJ211" s="145"/>
      <c r="CRK211" s="146"/>
      <c r="CRL211" s="142"/>
      <c r="CRM211" s="143"/>
      <c r="CRN211" s="144"/>
      <c r="CRO211" s="124"/>
      <c r="CRP211" s="145"/>
      <c r="CRQ211" s="145"/>
      <c r="CRR211" s="146"/>
      <c r="CRS211" s="142"/>
      <c r="CRT211" s="143"/>
      <c r="CRU211" s="144"/>
      <c r="CRV211" s="124"/>
      <c r="CRW211" s="145"/>
      <c r="CRX211" s="145"/>
      <c r="CRY211" s="146"/>
      <c r="CRZ211" s="142"/>
      <c r="CSA211" s="143"/>
      <c r="CSB211" s="144"/>
      <c r="CSC211" s="124"/>
      <c r="CSD211" s="145"/>
      <c r="CSE211" s="145"/>
      <c r="CSF211" s="146"/>
      <c r="CSG211" s="142"/>
      <c r="CSH211" s="143"/>
      <c r="CSI211" s="144"/>
      <c r="CSJ211" s="124"/>
      <c r="CSK211" s="145"/>
      <c r="CSL211" s="145"/>
      <c r="CSM211" s="146"/>
      <c r="CSN211" s="142"/>
      <c r="CSO211" s="143"/>
      <c r="CSP211" s="144"/>
      <c r="CSQ211" s="124"/>
      <c r="CSR211" s="145"/>
      <c r="CSS211" s="145"/>
      <c r="CST211" s="146"/>
      <c r="CSU211" s="142"/>
      <c r="CSV211" s="143"/>
      <c r="CSW211" s="144"/>
      <c r="CSX211" s="124"/>
      <c r="CSY211" s="145"/>
      <c r="CSZ211" s="145"/>
      <c r="CTA211" s="146"/>
      <c r="CTB211" s="142"/>
      <c r="CTC211" s="143"/>
      <c r="CTD211" s="144"/>
      <c r="CTE211" s="124"/>
      <c r="CTF211" s="145"/>
      <c r="CTG211" s="145"/>
      <c r="CTH211" s="146"/>
      <c r="CTI211" s="142"/>
      <c r="CTJ211" s="143"/>
      <c r="CTK211" s="144"/>
      <c r="CTL211" s="124"/>
      <c r="CTM211" s="145"/>
      <c r="CTN211" s="145"/>
      <c r="CTO211" s="146"/>
      <c r="CTP211" s="142"/>
      <c r="CTQ211" s="143"/>
      <c r="CTR211" s="144"/>
      <c r="CTS211" s="124"/>
      <c r="CTT211" s="145"/>
      <c r="CTU211" s="145"/>
      <c r="CTV211" s="146"/>
      <c r="CTW211" s="142"/>
      <c r="CTX211" s="143"/>
      <c r="CTY211" s="144"/>
      <c r="CTZ211" s="124"/>
      <c r="CUA211" s="145"/>
      <c r="CUB211" s="145"/>
      <c r="CUC211" s="146"/>
      <c r="CUD211" s="142"/>
      <c r="CUE211" s="143"/>
      <c r="CUF211" s="144"/>
      <c r="CUG211" s="124"/>
      <c r="CUH211" s="145"/>
      <c r="CUI211" s="145"/>
      <c r="CUJ211" s="146"/>
      <c r="CUK211" s="142"/>
      <c r="CUL211" s="143"/>
      <c r="CUM211" s="144"/>
      <c r="CUN211" s="124"/>
      <c r="CUO211" s="145"/>
      <c r="CUP211" s="145"/>
      <c r="CUQ211" s="146"/>
      <c r="CUR211" s="142"/>
      <c r="CUS211" s="143"/>
      <c r="CUT211" s="144"/>
      <c r="CUU211" s="124"/>
      <c r="CUV211" s="145"/>
      <c r="CUW211" s="145"/>
      <c r="CUX211" s="146"/>
      <c r="CUY211" s="142"/>
      <c r="CUZ211" s="143"/>
      <c r="CVA211" s="144"/>
      <c r="CVB211" s="124"/>
      <c r="CVC211" s="145"/>
      <c r="CVD211" s="145"/>
      <c r="CVE211" s="146"/>
      <c r="CVF211" s="142"/>
      <c r="CVG211" s="143"/>
      <c r="CVH211" s="144"/>
      <c r="CVI211" s="124"/>
      <c r="CVJ211" s="145"/>
      <c r="CVK211" s="145"/>
      <c r="CVL211" s="146"/>
      <c r="CVM211" s="142"/>
      <c r="CVN211" s="143"/>
      <c r="CVO211" s="144"/>
      <c r="CVP211" s="124"/>
      <c r="CVQ211" s="145"/>
      <c r="CVR211" s="145"/>
      <c r="CVS211" s="146"/>
      <c r="CVT211" s="142"/>
      <c r="CVU211" s="143"/>
      <c r="CVV211" s="144"/>
      <c r="CVW211" s="124"/>
      <c r="CVX211" s="145"/>
      <c r="CVY211" s="145"/>
      <c r="CVZ211" s="146"/>
      <c r="CWA211" s="142"/>
      <c r="CWB211" s="143"/>
      <c r="CWC211" s="144"/>
      <c r="CWD211" s="124"/>
      <c r="CWE211" s="145"/>
      <c r="CWF211" s="145"/>
      <c r="CWG211" s="146"/>
      <c r="CWH211" s="142"/>
      <c r="CWI211" s="143"/>
      <c r="CWJ211" s="144"/>
      <c r="CWK211" s="124"/>
      <c r="CWL211" s="145"/>
      <c r="CWM211" s="145"/>
      <c r="CWN211" s="146"/>
      <c r="CWO211" s="142"/>
      <c r="CWP211" s="143"/>
      <c r="CWQ211" s="144"/>
      <c r="CWR211" s="124"/>
      <c r="CWS211" s="145"/>
      <c r="CWT211" s="145"/>
      <c r="CWU211" s="146"/>
      <c r="CWV211" s="142"/>
      <c r="CWW211" s="143"/>
      <c r="CWX211" s="144"/>
      <c r="CWY211" s="124"/>
      <c r="CWZ211" s="145"/>
      <c r="CXA211" s="145"/>
      <c r="CXB211" s="146"/>
      <c r="CXC211" s="142"/>
      <c r="CXD211" s="143"/>
      <c r="CXE211" s="144"/>
      <c r="CXF211" s="124"/>
      <c r="CXG211" s="145"/>
      <c r="CXH211" s="145"/>
      <c r="CXI211" s="146"/>
      <c r="CXJ211" s="142"/>
      <c r="CXK211" s="143"/>
      <c r="CXL211" s="144"/>
      <c r="CXM211" s="124"/>
      <c r="CXN211" s="145"/>
      <c r="CXO211" s="145"/>
      <c r="CXP211" s="146"/>
      <c r="CXQ211" s="142"/>
      <c r="CXR211" s="143"/>
      <c r="CXS211" s="144"/>
      <c r="CXT211" s="124"/>
      <c r="CXU211" s="145"/>
      <c r="CXV211" s="145"/>
      <c r="CXW211" s="146"/>
      <c r="CXX211" s="142"/>
      <c r="CXY211" s="143"/>
      <c r="CXZ211" s="144"/>
      <c r="CYA211" s="124"/>
      <c r="CYB211" s="145"/>
      <c r="CYC211" s="145"/>
      <c r="CYD211" s="146"/>
      <c r="CYE211" s="142"/>
      <c r="CYF211" s="143"/>
      <c r="CYG211" s="144"/>
      <c r="CYH211" s="124"/>
      <c r="CYI211" s="145"/>
      <c r="CYJ211" s="145"/>
      <c r="CYK211" s="146"/>
      <c r="CYL211" s="142"/>
      <c r="CYM211" s="143"/>
      <c r="CYN211" s="144"/>
      <c r="CYO211" s="124"/>
      <c r="CYP211" s="145"/>
      <c r="CYQ211" s="145"/>
      <c r="CYR211" s="146"/>
      <c r="CYS211" s="142"/>
      <c r="CYT211" s="143"/>
      <c r="CYU211" s="144"/>
      <c r="CYV211" s="124"/>
      <c r="CYW211" s="145"/>
      <c r="CYX211" s="145"/>
      <c r="CYY211" s="146"/>
      <c r="CYZ211" s="142"/>
      <c r="CZA211" s="143"/>
      <c r="CZB211" s="144"/>
      <c r="CZC211" s="124"/>
      <c r="CZD211" s="145"/>
      <c r="CZE211" s="145"/>
      <c r="CZF211" s="146"/>
      <c r="CZG211" s="142"/>
      <c r="CZH211" s="143"/>
      <c r="CZI211" s="144"/>
      <c r="CZJ211" s="124"/>
      <c r="CZK211" s="145"/>
      <c r="CZL211" s="145"/>
      <c r="CZM211" s="146"/>
      <c r="CZN211" s="142"/>
      <c r="CZO211" s="143"/>
      <c r="CZP211" s="144"/>
      <c r="CZQ211" s="124"/>
      <c r="CZR211" s="145"/>
      <c r="CZS211" s="145"/>
      <c r="CZT211" s="146"/>
      <c r="CZU211" s="142"/>
      <c r="CZV211" s="143"/>
      <c r="CZW211" s="144"/>
      <c r="CZX211" s="124"/>
      <c r="CZY211" s="145"/>
      <c r="CZZ211" s="145"/>
      <c r="DAA211" s="146"/>
      <c r="DAB211" s="142"/>
      <c r="DAC211" s="143"/>
      <c r="DAD211" s="144"/>
      <c r="DAE211" s="124"/>
      <c r="DAF211" s="145"/>
      <c r="DAG211" s="145"/>
      <c r="DAH211" s="146"/>
      <c r="DAI211" s="142"/>
      <c r="DAJ211" s="143"/>
      <c r="DAK211" s="144"/>
      <c r="DAL211" s="124"/>
      <c r="DAM211" s="145"/>
      <c r="DAN211" s="145"/>
      <c r="DAO211" s="146"/>
      <c r="DAP211" s="142"/>
      <c r="DAQ211" s="143"/>
      <c r="DAR211" s="144"/>
      <c r="DAS211" s="124"/>
      <c r="DAT211" s="145"/>
      <c r="DAU211" s="145"/>
      <c r="DAV211" s="146"/>
      <c r="DAW211" s="142"/>
      <c r="DAX211" s="143"/>
      <c r="DAY211" s="144"/>
      <c r="DAZ211" s="124"/>
      <c r="DBA211" s="145"/>
      <c r="DBB211" s="145"/>
      <c r="DBC211" s="146"/>
      <c r="DBD211" s="142"/>
      <c r="DBE211" s="143"/>
      <c r="DBF211" s="144"/>
      <c r="DBG211" s="124"/>
      <c r="DBH211" s="145"/>
      <c r="DBI211" s="145"/>
      <c r="DBJ211" s="146"/>
      <c r="DBK211" s="142"/>
      <c r="DBL211" s="143"/>
      <c r="DBM211" s="144"/>
      <c r="DBN211" s="124"/>
      <c r="DBO211" s="145"/>
      <c r="DBP211" s="145"/>
      <c r="DBQ211" s="146"/>
      <c r="DBR211" s="142"/>
      <c r="DBS211" s="143"/>
      <c r="DBT211" s="144"/>
      <c r="DBU211" s="124"/>
      <c r="DBV211" s="145"/>
      <c r="DBW211" s="145"/>
      <c r="DBX211" s="146"/>
      <c r="DBY211" s="142"/>
      <c r="DBZ211" s="143"/>
      <c r="DCA211" s="144"/>
      <c r="DCB211" s="124"/>
      <c r="DCC211" s="145"/>
      <c r="DCD211" s="145"/>
      <c r="DCE211" s="146"/>
      <c r="DCF211" s="142"/>
      <c r="DCG211" s="143"/>
      <c r="DCH211" s="144"/>
      <c r="DCI211" s="124"/>
      <c r="DCJ211" s="145"/>
      <c r="DCK211" s="145"/>
      <c r="DCL211" s="146"/>
      <c r="DCM211" s="142"/>
      <c r="DCN211" s="143"/>
      <c r="DCO211" s="144"/>
      <c r="DCP211" s="124"/>
      <c r="DCQ211" s="145"/>
      <c r="DCR211" s="145"/>
      <c r="DCS211" s="146"/>
      <c r="DCT211" s="142"/>
      <c r="DCU211" s="143"/>
      <c r="DCV211" s="144"/>
      <c r="DCW211" s="124"/>
      <c r="DCX211" s="145"/>
      <c r="DCY211" s="145"/>
      <c r="DCZ211" s="146"/>
      <c r="DDA211" s="142"/>
      <c r="DDB211" s="143"/>
      <c r="DDC211" s="144"/>
      <c r="DDD211" s="124"/>
      <c r="DDE211" s="145"/>
      <c r="DDF211" s="145"/>
      <c r="DDG211" s="146"/>
      <c r="DDH211" s="142"/>
      <c r="DDI211" s="143"/>
      <c r="DDJ211" s="144"/>
      <c r="DDK211" s="124"/>
      <c r="DDL211" s="145"/>
      <c r="DDM211" s="145"/>
      <c r="DDN211" s="146"/>
      <c r="DDO211" s="142"/>
      <c r="DDP211" s="143"/>
      <c r="DDQ211" s="144"/>
      <c r="DDR211" s="124"/>
      <c r="DDS211" s="145"/>
      <c r="DDT211" s="145"/>
      <c r="DDU211" s="146"/>
      <c r="DDV211" s="142"/>
      <c r="DDW211" s="143"/>
      <c r="DDX211" s="144"/>
      <c r="DDY211" s="124"/>
      <c r="DDZ211" s="145"/>
      <c r="DEA211" s="145"/>
      <c r="DEB211" s="146"/>
      <c r="DEC211" s="142"/>
      <c r="DED211" s="143"/>
      <c r="DEE211" s="144"/>
      <c r="DEF211" s="124"/>
      <c r="DEG211" s="145"/>
      <c r="DEH211" s="145"/>
      <c r="DEI211" s="146"/>
      <c r="DEJ211" s="142"/>
      <c r="DEK211" s="143"/>
      <c r="DEL211" s="144"/>
      <c r="DEM211" s="124"/>
      <c r="DEN211" s="145"/>
      <c r="DEO211" s="145"/>
      <c r="DEP211" s="146"/>
      <c r="DEQ211" s="142"/>
      <c r="DER211" s="143"/>
      <c r="DES211" s="144"/>
      <c r="DET211" s="124"/>
      <c r="DEU211" s="145"/>
      <c r="DEV211" s="145"/>
      <c r="DEW211" s="146"/>
      <c r="DEX211" s="142"/>
      <c r="DEY211" s="143"/>
      <c r="DEZ211" s="144"/>
      <c r="DFA211" s="124"/>
      <c r="DFB211" s="145"/>
      <c r="DFC211" s="145"/>
      <c r="DFD211" s="146"/>
      <c r="DFE211" s="142"/>
      <c r="DFF211" s="143"/>
      <c r="DFG211" s="144"/>
      <c r="DFH211" s="124"/>
      <c r="DFI211" s="145"/>
      <c r="DFJ211" s="145"/>
      <c r="DFK211" s="146"/>
      <c r="DFL211" s="142"/>
      <c r="DFM211" s="143"/>
      <c r="DFN211" s="144"/>
      <c r="DFO211" s="124"/>
      <c r="DFP211" s="145"/>
      <c r="DFQ211" s="145"/>
      <c r="DFR211" s="146"/>
      <c r="DFS211" s="142"/>
      <c r="DFT211" s="143"/>
      <c r="DFU211" s="144"/>
      <c r="DFV211" s="124"/>
      <c r="DFW211" s="145"/>
      <c r="DFX211" s="145"/>
      <c r="DFY211" s="146"/>
      <c r="DFZ211" s="142"/>
      <c r="DGA211" s="143"/>
      <c r="DGB211" s="144"/>
      <c r="DGC211" s="124"/>
      <c r="DGD211" s="145"/>
      <c r="DGE211" s="145"/>
      <c r="DGF211" s="146"/>
      <c r="DGG211" s="142"/>
      <c r="DGH211" s="143"/>
      <c r="DGI211" s="144"/>
      <c r="DGJ211" s="124"/>
      <c r="DGK211" s="145"/>
      <c r="DGL211" s="145"/>
      <c r="DGM211" s="146"/>
      <c r="DGN211" s="142"/>
      <c r="DGO211" s="143"/>
      <c r="DGP211" s="144"/>
      <c r="DGQ211" s="124"/>
      <c r="DGR211" s="145"/>
      <c r="DGS211" s="145"/>
      <c r="DGT211" s="146"/>
      <c r="DGU211" s="142"/>
      <c r="DGV211" s="143"/>
      <c r="DGW211" s="144"/>
      <c r="DGX211" s="124"/>
      <c r="DGY211" s="145"/>
      <c r="DGZ211" s="145"/>
      <c r="DHA211" s="146"/>
      <c r="DHB211" s="142"/>
      <c r="DHC211" s="143"/>
      <c r="DHD211" s="144"/>
      <c r="DHE211" s="124"/>
      <c r="DHF211" s="145"/>
      <c r="DHG211" s="145"/>
      <c r="DHH211" s="146"/>
      <c r="DHI211" s="142"/>
      <c r="DHJ211" s="143"/>
      <c r="DHK211" s="144"/>
      <c r="DHL211" s="124"/>
      <c r="DHM211" s="145"/>
      <c r="DHN211" s="145"/>
      <c r="DHO211" s="146"/>
      <c r="DHP211" s="142"/>
      <c r="DHQ211" s="143"/>
      <c r="DHR211" s="144"/>
      <c r="DHS211" s="124"/>
      <c r="DHT211" s="145"/>
      <c r="DHU211" s="145"/>
      <c r="DHV211" s="146"/>
      <c r="DHW211" s="142"/>
      <c r="DHX211" s="143"/>
      <c r="DHY211" s="144"/>
      <c r="DHZ211" s="124"/>
      <c r="DIA211" s="145"/>
      <c r="DIB211" s="145"/>
      <c r="DIC211" s="146"/>
      <c r="DID211" s="142"/>
      <c r="DIE211" s="143"/>
      <c r="DIF211" s="144"/>
      <c r="DIG211" s="124"/>
      <c r="DIH211" s="145"/>
      <c r="DII211" s="145"/>
      <c r="DIJ211" s="146"/>
      <c r="DIK211" s="142"/>
      <c r="DIL211" s="143"/>
      <c r="DIM211" s="144"/>
      <c r="DIN211" s="124"/>
      <c r="DIO211" s="145"/>
      <c r="DIP211" s="145"/>
      <c r="DIQ211" s="146"/>
      <c r="DIR211" s="142"/>
      <c r="DIS211" s="143"/>
      <c r="DIT211" s="144"/>
      <c r="DIU211" s="124"/>
      <c r="DIV211" s="145"/>
      <c r="DIW211" s="145"/>
      <c r="DIX211" s="146"/>
      <c r="DIY211" s="142"/>
      <c r="DIZ211" s="143"/>
      <c r="DJA211" s="144"/>
      <c r="DJB211" s="124"/>
      <c r="DJC211" s="145"/>
      <c r="DJD211" s="145"/>
      <c r="DJE211" s="146"/>
      <c r="DJF211" s="142"/>
      <c r="DJG211" s="143"/>
      <c r="DJH211" s="144"/>
      <c r="DJI211" s="124"/>
      <c r="DJJ211" s="145"/>
      <c r="DJK211" s="145"/>
      <c r="DJL211" s="146"/>
      <c r="DJM211" s="142"/>
      <c r="DJN211" s="143"/>
      <c r="DJO211" s="144"/>
      <c r="DJP211" s="124"/>
      <c r="DJQ211" s="145"/>
      <c r="DJR211" s="145"/>
      <c r="DJS211" s="146"/>
      <c r="DJT211" s="142"/>
      <c r="DJU211" s="143"/>
      <c r="DJV211" s="144"/>
      <c r="DJW211" s="124"/>
      <c r="DJX211" s="145"/>
      <c r="DJY211" s="145"/>
      <c r="DJZ211" s="146"/>
      <c r="DKA211" s="142"/>
      <c r="DKB211" s="143"/>
      <c r="DKC211" s="144"/>
      <c r="DKD211" s="124"/>
      <c r="DKE211" s="145"/>
      <c r="DKF211" s="145"/>
      <c r="DKG211" s="146"/>
      <c r="DKH211" s="142"/>
      <c r="DKI211" s="143"/>
      <c r="DKJ211" s="144"/>
      <c r="DKK211" s="124"/>
      <c r="DKL211" s="145"/>
      <c r="DKM211" s="145"/>
      <c r="DKN211" s="146"/>
      <c r="DKO211" s="142"/>
      <c r="DKP211" s="143"/>
      <c r="DKQ211" s="144"/>
      <c r="DKR211" s="124"/>
      <c r="DKS211" s="145"/>
      <c r="DKT211" s="145"/>
      <c r="DKU211" s="146"/>
      <c r="DKV211" s="142"/>
      <c r="DKW211" s="143"/>
      <c r="DKX211" s="144"/>
      <c r="DKY211" s="124"/>
      <c r="DKZ211" s="145"/>
      <c r="DLA211" s="145"/>
      <c r="DLB211" s="146"/>
      <c r="DLC211" s="142"/>
      <c r="DLD211" s="143"/>
      <c r="DLE211" s="144"/>
      <c r="DLF211" s="124"/>
      <c r="DLG211" s="145"/>
      <c r="DLH211" s="145"/>
      <c r="DLI211" s="146"/>
      <c r="DLJ211" s="142"/>
      <c r="DLK211" s="143"/>
      <c r="DLL211" s="144"/>
      <c r="DLM211" s="124"/>
      <c r="DLN211" s="145"/>
      <c r="DLO211" s="145"/>
      <c r="DLP211" s="146"/>
      <c r="DLQ211" s="142"/>
      <c r="DLR211" s="143"/>
      <c r="DLS211" s="144"/>
      <c r="DLT211" s="124"/>
      <c r="DLU211" s="145"/>
      <c r="DLV211" s="145"/>
      <c r="DLW211" s="146"/>
      <c r="DLX211" s="142"/>
      <c r="DLY211" s="143"/>
      <c r="DLZ211" s="144"/>
      <c r="DMA211" s="124"/>
      <c r="DMB211" s="145"/>
      <c r="DMC211" s="145"/>
      <c r="DMD211" s="146"/>
      <c r="DME211" s="142"/>
      <c r="DMF211" s="143"/>
      <c r="DMG211" s="144"/>
      <c r="DMH211" s="124"/>
      <c r="DMI211" s="145"/>
      <c r="DMJ211" s="145"/>
      <c r="DMK211" s="146"/>
      <c r="DML211" s="142"/>
      <c r="DMM211" s="143"/>
      <c r="DMN211" s="144"/>
      <c r="DMO211" s="124"/>
      <c r="DMP211" s="145"/>
      <c r="DMQ211" s="145"/>
      <c r="DMR211" s="146"/>
      <c r="DMS211" s="142"/>
      <c r="DMT211" s="143"/>
      <c r="DMU211" s="144"/>
      <c r="DMV211" s="124"/>
      <c r="DMW211" s="145"/>
      <c r="DMX211" s="145"/>
      <c r="DMY211" s="146"/>
      <c r="DMZ211" s="142"/>
      <c r="DNA211" s="143"/>
      <c r="DNB211" s="144"/>
      <c r="DNC211" s="124"/>
      <c r="DND211" s="145"/>
      <c r="DNE211" s="145"/>
      <c r="DNF211" s="146"/>
      <c r="DNG211" s="142"/>
      <c r="DNH211" s="143"/>
      <c r="DNI211" s="144"/>
      <c r="DNJ211" s="124"/>
      <c r="DNK211" s="145"/>
      <c r="DNL211" s="145"/>
      <c r="DNM211" s="146"/>
      <c r="DNN211" s="142"/>
      <c r="DNO211" s="143"/>
      <c r="DNP211" s="144"/>
      <c r="DNQ211" s="124"/>
      <c r="DNR211" s="145"/>
      <c r="DNS211" s="145"/>
      <c r="DNT211" s="146"/>
      <c r="DNU211" s="142"/>
      <c r="DNV211" s="143"/>
      <c r="DNW211" s="144"/>
      <c r="DNX211" s="124"/>
      <c r="DNY211" s="145"/>
      <c r="DNZ211" s="145"/>
      <c r="DOA211" s="146"/>
      <c r="DOB211" s="142"/>
      <c r="DOC211" s="143"/>
      <c r="DOD211" s="144"/>
      <c r="DOE211" s="124"/>
      <c r="DOF211" s="145"/>
      <c r="DOG211" s="145"/>
      <c r="DOH211" s="146"/>
      <c r="DOI211" s="142"/>
      <c r="DOJ211" s="143"/>
      <c r="DOK211" s="144"/>
      <c r="DOL211" s="124"/>
      <c r="DOM211" s="145"/>
      <c r="DON211" s="145"/>
      <c r="DOO211" s="146"/>
      <c r="DOP211" s="142"/>
      <c r="DOQ211" s="143"/>
      <c r="DOR211" s="144"/>
      <c r="DOS211" s="124"/>
      <c r="DOT211" s="145"/>
      <c r="DOU211" s="145"/>
      <c r="DOV211" s="146"/>
      <c r="DOW211" s="142"/>
      <c r="DOX211" s="143"/>
      <c r="DOY211" s="144"/>
      <c r="DOZ211" s="124"/>
      <c r="DPA211" s="145"/>
      <c r="DPB211" s="145"/>
      <c r="DPC211" s="146"/>
      <c r="DPD211" s="142"/>
      <c r="DPE211" s="143"/>
      <c r="DPF211" s="144"/>
      <c r="DPG211" s="124"/>
      <c r="DPH211" s="145"/>
      <c r="DPI211" s="145"/>
      <c r="DPJ211" s="146"/>
      <c r="DPK211" s="142"/>
      <c r="DPL211" s="143"/>
      <c r="DPM211" s="144"/>
      <c r="DPN211" s="124"/>
      <c r="DPO211" s="145"/>
      <c r="DPP211" s="145"/>
      <c r="DPQ211" s="146"/>
      <c r="DPR211" s="142"/>
      <c r="DPS211" s="143"/>
      <c r="DPT211" s="144"/>
      <c r="DPU211" s="124"/>
      <c r="DPV211" s="145"/>
      <c r="DPW211" s="145"/>
      <c r="DPX211" s="146"/>
      <c r="DPY211" s="142"/>
      <c r="DPZ211" s="143"/>
      <c r="DQA211" s="144"/>
      <c r="DQB211" s="124"/>
      <c r="DQC211" s="145"/>
      <c r="DQD211" s="145"/>
      <c r="DQE211" s="146"/>
      <c r="DQF211" s="142"/>
      <c r="DQG211" s="143"/>
      <c r="DQH211" s="144"/>
      <c r="DQI211" s="124"/>
      <c r="DQJ211" s="145"/>
      <c r="DQK211" s="145"/>
      <c r="DQL211" s="146"/>
      <c r="DQM211" s="142"/>
      <c r="DQN211" s="143"/>
      <c r="DQO211" s="144"/>
      <c r="DQP211" s="124"/>
      <c r="DQQ211" s="145"/>
      <c r="DQR211" s="145"/>
      <c r="DQS211" s="146"/>
      <c r="DQT211" s="142"/>
      <c r="DQU211" s="143"/>
      <c r="DQV211" s="144"/>
      <c r="DQW211" s="124"/>
      <c r="DQX211" s="145"/>
      <c r="DQY211" s="145"/>
      <c r="DQZ211" s="146"/>
      <c r="DRA211" s="142"/>
      <c r="DRB211" s="143"/>
      <c r="DRC211" s="144"/>
      <c r="DRD211" s="124"/>
      <c r="DRE211" s="145"/>
      <c r="DRF211" s="145"/>
      <c r="DRG211" s="146"/>
      <c r="DRH211" s="142"/>
      <c r="DRI211" s="143"/>
      <c r="DRJ211" s="144"/>
      <c r="DRK211" s="124"/>
      <c r="DRL211" s="145"/>
      <c r="DRM211" s="145"/>
      <c r="DRN211" s="146"/>
      <c r="DRO211" s="142"/>
      <c r="DRP211" s="143"/>
      <c r="DRQ211" s="144"/>
      <c r="DRR211" s="124"/>
      <c r="DRS211" s="145"/>
      <c r="DRT211" s="145"/>
      <c r="DRU211" s="146"/>
      <c r="DRV211" s="142"/>
      <c r="DRW211" s="143"/>
      <c r="DRX211" s="144"/>
      <c r="DRY211" s="124"/>
      <c r="DRZ211" s="145"/>
      <c r="DSA211" s="145"/>
      <c r="DSB211" s="146"/>
      <c r="DSC211" s="142"/>
      <c r="DSD211" s="143"/>
      <c r="DSE211" s="144"/>
      <c r="DSF211" s="124"/>
      <c r="DSG211" s="145"/>
      <c r="DSH211" s="145"/>
      <c r="DSI211" s="146"/>
      <c r="DSJ211" s="142"/>
      <c r="DSK211" s="143"/>
      <c r="DSL211" s="144"/>
      <c r="DSM211" s="124"/>
      <c r="DSN211" s="145"/>
      <c r="DSO211" s="145"/>
      <c r="DSP211" s="146"/>
      <c r="DSQ211" s="142"/>
      <c r="DSR211" s="143"/>
      <c r="DSS211" s="144"/>
      <c r="DST211" s="124"/>
      <c r="DSU211" s="145"/>
      <c r="DSV211" s="145"/>
      <c r="DSW211" s="146"/>
      <c r="DSX211" s="142"/>
      <c r="DSY211" s="143"/>
      <c r="DSZ211" s="144"/>
      <c r="DTA211" s="124"/>
      <c r="DTB211" s="145"/>
      <c r="DTC211" s="145"/>
      <c r="DTD211" s="146"/>
      <c r="DTE211" s="142"/>
      <c r="DTF211" s="143"/>
      <c r="DTG211" s="144"/>
      <c r="DTH211" s="124"/>
      <c r="DTI211" s="145"/>
      <c r="DTJ211" s="145"/>
      <c r="DTK211" s="146"/>
      <c r="DTL211" s="142"/>
      <c r="DTM211" s="143"/>
      <c r="DTN211" s="144"/>
      <c r="DTO211" s="124"/>
      <c r="DTP211" s="145"/>
      <c r="DTQ211" s="145"/>
      <c r="DTR211" s="146"/>
      <c r="DTS211" s="142"/>
      <c r="DTT211" s="143"/>
      <c r="DTU211" s="144"/>
      <c r="DTV211" s="124"/>
      <c r="DTW211" s="145"/>
      <c r="DTX211" s="145"/>
      <c r="DTY211" s="146"/>
      <c r="DTZ211" s="142"/>
      <c r="DUA211" s="143"/>
      <c r="DUB211" s="144"/>
      <c r="DUC211" s="124"/>
      <c r="DUD211" s="145"/>
      <c r="DUE211" s="145"/>
      <c r="DUF211" s="146"/>
      <c r="DUG211" s="142"/>
      <c r="DUH211" s="143"/>
      <c r="DUI211" s="144"/>
      <c r="DUJ211" s="124"/>
      <c r="DUK211" s="145"/>
      <c r="DUL211" s="145"/>
      <c r="DUM211" s="146"/>
      <c r="DUN211" s="142"/>
      <c r="DUO211" s="143"/>
      <c r="DUP211" s="144"/>
      <c r="DUQ211" s="124"/>
      <c r="DUR211" s="145"/>
      <c r="DUS211" s="145"/>
      <c r="DUT211" s="146"/>
      <c r="DUU211" s="142"/>
      <c r="DUV211" s="143"/>
      <c r="DUW211" s="144"/>
      <c r="DUX211" s="124"/>
      <c r="DUY211" s="145"/>
      <c r="DUZ211" s="145"/>
      <c r="DVA211" s="146"/>
      <c r="DVB211" s="142"/>
      <c r="DVC211" s="143"/>
      <c r="DVD211" s="144"/>
      <c r="DVE211" s="124"/>
      <c r="DVF211" s="145"/>
      <c r="DVG211" s="145"/>
      <c r="DVH211" s="146"/>
      <c r="DVI211" s="142"/>
      <c r="DVJ211" s="143"/>
      <c r="DVK211" s="144"/>
      <c r="DVL211" s="124"/>
      <c r="DVM211" s="145"/>
      <c r="DVN211" s="145"/>
      <c r="DVO211" s="146"/>
      <c r="DVP211" s="142"/>
      <c r="DVQ211" s="143"/>
      <c r="DVR211" s="144"/>
      <c r="DVS211" s="124"/>
      <c r="DVT211" s="145"/>
      <c r="DVU211" s="145"/>
      <c r="DVV211" s="146"/>
      <c r="DVW211" s="142"/>
      <c r="DVX211" s="143"/>
      <c r="DVY211" s="144"/>
      <c r="DVZ211" s="124"/>
      <c r="DWA211" s="145"/>
      <c r="DWB211" s="145"/>
      <c r="DWC211" s="146"/>
      <c r="DWD211" s="142"/>
      <c r="DWE211" s="143"/>
      <c r="DWF211" s="144"/>
      <c r="DWG211" s="124"/>
      <c r="DWH211" s="145"/>
      <c r="DWI211" s="145"/>
      <c r="DWJ211" s="146"/>
      <c r="DWK211" s="142"/>
      <c r="DWL211" s="143"/>
      <c r="DWM211" s="144"/>
      <c r="DWN211" s="124"/>
      <c r="DWO211" s="145"/>
      <c r="DWP211" s="145"/>
      <c r="DWQ211" s="146"/>
      <c r="DWR211" s="142"/>
      <c r="DWS211" s="143"/>
      <c r="DWT211" s="144"/>
      <c r="DWU211" s="124"/>
      <c r="DWV211" s="145"/>
      <c r="DWW211" s="145"/>
      <c r="DWX211" s="146"/>
      <c r="DWY211" s="142"/>
      <c r="DWZ211" s="143"/>
      <c r="DXA211" s="144"/>
      <c r="DXB211" s="124"/>
      <c r="DXC211" s="145"/>
      <c r="DXD211" s="145"/>
      <c r="DXE211" s="146"/>
      <c r="DXF211" s="142"/>
      <c r="DXG211" s="143"/>
      <c r="DXH211" s="144"/>
      <c r="DXI211" s="124"/>
      <c r="DXJ211" s="145"/>
      <c r="DXK211" s="145"/>
      <c r="DXL211" s="146"/>
      <c r="DXM211" s="142"/>
      <c r="DXN211" s="143"/>
      <c r="DXO211" s="144"/>
      <c r="DXP211" s="124"/>
      <c r="DXQ211" s="145"/>
      <c r="DXR211" s="145"/>
      <c r="DXS211" s="146"/>
      <c r="DXT211" s="142"/>
      <c r="DXU211" s="143"/>
      <c r="DXV211" s="144"/>
      <c r="DXW211" s="124"/>
      <c r="DXX211" s="145"/>
      <c r="DXY211" s="145"/>
      <c r="DXZ211" s="146"/>
      <c r="DYA211" s="142"/>
      <c r="DYB211" s="143"/>
      <c r="DYC211" s="144"/>
      <c r="DYD211" s="124"/>
      <c r="DYE211" s="145"/>
      <c r="DYF211" s="145"/>
      <c r="DYG211" s="146"/>
      <c r="DYH211" s="142"/>
      <c r="DYI211" s="143"/>
      <c r="DYJ211" s="144"/>
      <c r="DYK211" s="124"/>
      <c r="DYL211" s="145"/>
      <c r="DYM211" s="145"/>
      <c r="DYN211" s="146"/>
      <c r="DYO211" s="142"/>
      <c r="DYP211" s="143"/>
      <c r="DYQ211" s="144"/>
      <c r="DYR211" s="124"/>
      <c r="DYS211" s="145"/>
      <c r="DYT211" s="145"/>
      <c r="DYU211" s="146"/>
      <c r="DYV211" s="142"/>
      <c r="DYW211" s="143"/>
      <c r="DYX211" s="144"/>
      <c r="DYY211" s="124"/>
      <c r="DYZ211" s="145"/>
      <c r="DZA211" s="145"/>
      <c r="DZB211" s="146"/>
      <c r="DZC211" s="142"/>
      <c r="DZD211" s="143"/>
      <c r="DZE211" s="144"/>
      <c r="DZF211" s="124"/>
      <c r="DZG211" s="145"/>
      <c r="DZH211" s="145"/>
      <c r="DZI211" s="146"/>
      <c r="DZJ211" s="142"/>
      <c r="DZK211" s="143"/>
      <c r="DZL211" s="144"/>
      <c r="DZM211" s="124"/>
      <c r="DZN211" s="145"/>
      <c r="DZO211" s="145"/>
      <c r="DZP211" s="146"/>
      <c r="DZQ211" s="142"/>
      <c r="DZR211" s="143"/>
      <c r="DZS211" s="144"/>
      <c r="DZT211" s="124"/>
      <c r="DZU211" s="145"/>
      <c r="DZV211" s="145"/>
      <c r="DZW211" s="146"/>
      <c r="DZX211" s="142"/>
      <c r="DZY211" s="143"/>
      <c r="DZZ211" s="144"/>
      <c r="EAA211" s="124"/>
      <c r="EAB211" s="145"/>
      <c r="EAC211" s="145"/>
      <c r="EAD211" s="146"/>
      <c r="EAE211" s="142"/>
      <c r="EAF211" s="143"/>
      <c r="EAG211" s="144"/>
      <c r="EAH211" s="124"/>
      <c r="EAI211" s="145"/>
      <c r="EAJ211" s="145"/>
      <c r="EAK211" s="146"/>
      <c r="EAL211" s="142"/>
      <c r="EAM211" s="143"/>
      <c r="EAN211" s="144"/>
      <c r="EAO211" s="124"/>
      <c r="EAP211" s="145"/>
      <c r="EAQ211" s="145"/>
      <c r="EAR211" s="146"/>
      <c r="EAS211" s="142"/>
      <c r="EAT211" s="143"/>
      <c r="EAU211" s="144"/>
      <c r="EAV211" s="124"/>
      <c r="EAW211" s="145"/>
      <c r="EAX211" s="145"/>
      <c r="EAY211" s="146"/>
      <c r="EAZ211" s="142"/>
      <c r="EBA211" s="143"/>
      <c r="EBB211" s="144"/>
      <c r="EBC211" s="124"/>
      <c r="EBD211" s="145"/>
      <c r="EBE211" s="145"/>
      <c r="EBF211" s="146"/>
      <c r="EBG211" s="142"/>
      <c r="EBH211" s="143"/>
      <c r="EBI211" s="144"/>
      <c r="EBJ211" s="124"/>
      <c r="EBK211" s="145"/>
      <c r="EBL211" s="145"/>
      <c r="EBM211" s="146"/>
      <c r="EBN211" s="142"/>
      <c r="EBO211" s="143"/>
      <c r="EBP211" s="144"/>
      <c r="EBQ211" s="124"/>
      <c r="EBR211" s="145"/>
      <c r="EBS211" s="145"/>
      <c r="EBT211" s="146"/>
      <c r="EBU211" s="142"/>
      <c r="EBV211" s="143"/>
      <c r="EBW211" s="144"/>
      <c r="EBX211" s="124"/>
      <c r="EBY211" s="145"/>
      <c r="EBZ211" s="145"/>
      <c r="ECA211" s="146"/>
      <c r="ECB211" s="142"/>
      <c r="ECC211" s="143"/>
      <c r="ECD211" s="144"/>
      <c r="ECE211" s="124"/>
      <c r="ECF211" s="145"/>
      <c r="ECG211" s="145"/>
      <c r="ECH211" s="146"/>
      <c r="ECI211" s="142"/>
      <c r="ECJ211" s="143"/>
      <c r="ECK211" s="144"/>
      <c r="ECL211" s="124"/>
      <c r="ECM211" s="145"/>
      <c r="ECN211" s="145"/>
      <c r="ECO211" s="146"/>
      <c r="ECP211" s="142"/>
      <c r="ECQ211" s="143"/>
      <c r="ECR211" s="144"/>
      <c r="ECS211" s="124"/>
      <c r="ECT211" s="145"/>
      <c r="ECU211" s="145"/>
      <c r="ECV211" s="146"/>
      <c r="ECW211" s="142"/>
      <c r="ECX211" s="143"/>
      <c r="ECY211" s="144"/>
      <c r="ECZ211" s="124"/>
      <c r="EDA211" s="145"/>
      <c r="EDB211" s="145"/>
      <c r="EDC211" s="146"/>
      <c r="EDD211" s="142"/>
      <c r="EDE211" s="143"/>
      <c r="EDF211" s="144"/>
      <c r="EDG211" s="124"/>
      <c r="EDH211" s="145"/>
      <c r="EDI211" s="145"/>
      <c r="EDJ211" s="146"/>
      <c r="EDK211" s="142"/>
      <c r="EDL211" s="143"/>
      <c r="EDM211" s="144"/>
      <c r="EDN211" s="124"/>
      <c r="EDO211" s="145"/>
      <c r="EDP211" s="145"/>
      <c r="EDQ211" s="146"/>
      <c r="EDR211" s="142"/>
      <c r="EDS211" s="143"/>
      <c r="EDT211" s="144"/>
      <c r="EDU211" s="124"/>
      <c r="EDV211" s="145"/>
      <c r="EDW211" s="145"/>
      <c r="EDX211" s="146"/>
      <c r="EDY211" s="142"/>
      <c r="EDZ211" s="143"/>
      <c r="EEA211" s="144"/>
      <c r="EEB211" s="124"/>
      <c r="EEC211" s="145"/>
      <c r="EED211" s="145"/>
      <c r="EEE211" s="146"/>
      <c r="EEF211" s="142"/>
      <c r="EEG211" s="143"/>
      <c r="EEH211" s="144"/>
      <c r="EEI211" s="124"/>
      <c r="EEJ211" s="145"/>
      <c r="EEK211" s="145"/>
      <c r="EEL211" s="146"/>
      <c r="EEM211" s="142"/>
      <c r="EEN211" s="143"/>
      <c r="EEO211" s="144"/>
      <c r="EEP211" s="124"/>
      <c r="EEQ211" s="145"/>
      <c r="EER211" s="145"/>
      <c r="EES211" s="146"/>
      <c r="EET211" s="142"/>
      <c r="EEU211" s="143"/>
      <c r="EEV211" s="144"/>
      <c r="EEW211" s="124"/>
      <c r="EEX211" s="145"/>
      <c r="EEY211" s="145"/>
      <c r="EEZ211" s="146"/>
      <c r="EFA211" s="142"/>
      <c r="EFB211" s="143"/>
      <c r="EFC211" s="144"/>
      <c r="EFD211" s="124"/>
      <c r="EFE211" s="145"/>
      <c r="EFF211" s="145"/>
      <c r="EFG211" s="146"/>
      <c r="EFH211" s="142"/>
      <c r="EFI211" s="143"/>
      <c r="EFJ211" s="144"/>
      <c r="EFK211" s="124"/>
      <c r="EFL211" s="145"/>
      <c r="EFM211" s="145"/>
      <c r="EFN211" s="146"/>
      <c r="EFO211" s="142"/>
      <c r="EFP211" s="143"/>
      <c r="EFQ211" s="144"/>
      <c r="EFR211" s="124"/>
      <c r="EFS211" s="145"/>
      <c r="EFT211" s="145"/>
      <c r="EFU211" s="146"/>
      <c r="EFV211" s="142"/>
      <c r="EFW211" s="143"/>
      <c r="EFX211" s="144"/>
      <c r="EFY211" s="124"/>
      <c r="EFZ211" s="145"/>
      <c r="EGA211" s="145"/>
      <c r="EGB211" s="146"/>
      <c r="EGC211" s="142"/>
      <c r="EGD211" s="143"/>
      <c r="EGE211" s="144"/>
      <c r="EGF211" s="124"/>
      <c r="EGG211" s="145"/>
      <c r="EGH211" s="145"/>
      <c r="EGI211" s="146"/>
      <c r="EGJ211" s="142"/>
      <c r="EGK211" s="143"/>
      <c r="EGL211" s="144"/>
      <c r="EGM211" s="124"/>
      <c r="EGN211" s="145"/>
      <c r="EGO211" s="145"/>
      <c r="EGP211" s="146"/>
      <c r="EGQ211" s="142"/>
      <c r="EGR211" s="143"/>
      <c r="EGS211" s="144"/>
      <c r="EGT211" s="124"/>
      <c r="EGU211" s="145"/>
      <c r="EGV211" s="145"/>
      <c r="EGW211" s="146"/>
      <c r="EGX211" s="142"/>
      <c r="EGY211" s="143"/>
      <c r="EGZ211" s="144"/>
      <c r="EHA211" s="124"/>
      <c r="EHB211" s="145"/>
      <c r="EHC211" s="145"/>
      <c r="EHD211" s="146"/>
      <c r="EHE211" s="142"/>
      <c r="EHF211" s="143"/>
      <c r="EHG211" s="144"/>
      <c r="EHH211" s="124"/>
      <c r="EHI211" s="145"/>
      <c r="EHJ211" s="145"/>
      <c r="EHK211" s="146"/>
      <c r="EHL211" s="142"/>
      <c r="EHM211" s="143"/>
      <c r="EHN211" s="144"/>
      <c r="EHO211" s="124"/>
      <c r="EHP211" s="145"/>
      <c r="EHQ211" s="145"/>
      <c r="EHR211" s="146"/>
      <c r="EHS211" s="142"/>
      <c r="EHT211" s="143"/>
      <c r="EHU211" s="144"/>
      <c r="EHV211" s="124"/>
      <c r="EHW211" s="145"/>
      <c r="EHX211" s="145"/>
      <c r="EHY211" s="146"/>
      <c r="EHZ211" s="142"/>
      <c r="EIA211" s="143"/>
      <c r="EIB211" s="144"/>
      <c r="EIC211" s="124"/>
      <c r="EID211" s="145"/>
      <c r="EIE211" s="145"/>
      <c r="EIF211" s="146"/>
      <c r="EIG211" s="142"/>
      <c r="EIH211" s="143"/>
      <c r="EII211" s="144"/>
      <c r="EIJ211" s="124"/>
      <c r="EIK211" s="145"/>
      <c r="EIL211" s="145"/>
      <c r="EIM211" s="146"/>
      <c r="EIN211" s="142"/>
      <c r="EIO211" s="143"/>
      <c r="EIP211" s="144"/>
      <c r="EIQ211" s="124"/>
      <c r="EIR211" s="145"/>
      <c r="EIS211" s="145"/>
      <c r="EIT211" s="146"/>
      <c r="EIU211" s="142"/>
      <c r="EIV211" s="143"/>
      <c r="EIW211" s="144"/>
      <c r="EIX211" s="124"/>
      <c r="EIY211" s="145"/>
      <c r="EIZ211" s="145"/>
      <c r="EJA211" s="146"/>
      <c r="EJB211" s="142"/>
      <c r="EJC211" s="143"/>
      <c r="EJD211" s="144"/>
      <c r="EJE211" s="124"/>
      <c r="EJF211" s="145"/>
      <c r="EJG211" s="145"/>
      <c r="EJH211" s="146"/>
      <c r="EJI211" s="142"/>
      <c r="EJJ211" s="143"/>
      <c r="EJK211" s="144"/>
      <c r="EJL211" s="124"/>
      <c r="EJM211" s="145"/>
      <c r="EJN211" s="145"/>
      <c r="EJO211" s="146"/>
      <c r="EJP211" s="142"/>
      <c r="EJQ211" s="143"/>
      <c r="EJR211" s="144"/>
      <c r="EJS211" s="124"/>
      <c r="EJT211" s="145"/>
      <c r="EJU211" s="145"/>
      <c r="EJV211" s="146"/>
      <c r="EJW211" s="142"/>
      <c r="EJX211" s="143"/>
      <c r="EJY211" s="144"/>
      <c r="EJZ211" s="124"/>
      <c r="EKA211" s="145"/>
      <c r="EKB211" s="145"/>
      <c r="EKC211" s="146"/>
      <c r="EKD211" s="142"/>
      <c r="EKE211" s="143"/>
      <c r="EKF211" s="144"/>
      <c r="EKG211" s="124"/>
      <c r="EKH211" s="145"/>
      <c r="EKI211" s="145"/>
      <c r="EKJ211" s="146"/>
      <c r="EKK211" s="142"/>
      <c r="EKL211" s="143"/>
      <c r="EKM211" s="144"/>
      <c r="EKN211" s="124"/>
      <c r="EKO211" s="145"/>
      <c r="EKP211" s="145"/>
      <c r="EKQ211" s="146"/>
      <c r="EKR211" s="142"/>
      <c r="EKS211" s="143"/>
      <c r="EKT211" s="144"/>
      <c r="EKU211" s="124"/>
      <c r="EKV211" s="145"/>
      <c r="EKW211" s="145"/>
      <c r="EKX211" s="146"/>
      <c r="EKY211" s="142"/>
      <c r="EKZ211" s="143"/>
      <c r="ELA211" s="144"/>
      <c r="ELB211" s="124"/>
      <c r="ELC211" s="145"/>
      <c r="ELD211" s="145"/>
      <c r="ELE211" s="146"/>
      <c r="ELF211" s="142"/>
      <c r="ELG211" s="143"/>
      <c r="ELH211" s="144"/>
      <c r="ELI211" s="124"/>
      <c r="ELJ211" s="145"/>
      <c r="ELK211" s="145"/>
      <c r="ELL211" s="146"/>
      <c r="ELM211" s="142"/>
      <c r="ELN211" s="143"/>
      <c r="ELO211" s="144"/>
      <c r="ELP211" s="124"/>
      <c r="ELQ211" s="145"/>
      <c r="ELR211" s="145"/>
      <c r="ELS211" s="146"/>
      <c r="ELT211" s="142"/>
      <c r="ELU211" s="143"/>
      <c r="ELV211" s="144"/>
      <c r="ELW211" s="124"/>
      <c r="ELX211" s="145"/>
      <c r="ELY211" s="145"/>
      <c r="ELZ211" s="146"/>
      <c r="EMA211" s="142"/>
      <c r="EMB211" s="143"/>
      <c r="EMC211" s="144"/>
      <c r="EMD211" s="124"/>
      <c r="EME211" s="145"/>
      <c r="EMF211" s="145"/>
      <c r="EMG211" s="146"/>
      <c r="EMH211" s="142"/>
      <c r="EMI211" s="143"/>
      <c r="EMJ211" s="144"/>
      <c r="EMK211" s="124"/>
      <c r="EML211" s="145"/>
      <c r="EMM211" s="145"/>
      <c r="EMN211" s="146"/>
      <c r="EMO211" s="142"/>
      <c r="EMP211" s="143"/>
      <c r="EMQ211" s="144"/>
      <c r="EMR211" s="124"/>
      <c r="EMS211" s="145"/>
      <c r="EMT211" s="145"/>
      <c r="EMU211" s="146"/>
      <c r="EMV211" s="142"/>
      <c r="EMW211" s="143"/>
      <c r="EMX211" s="144"/>
      <c r="EMY211" s="124"/>
      <c r="EMZ211" s="145"/>
      <c r="ENA211" s="145"/>
      <c r="ENB211" s="146"/>
      <c r="ENC211" s="142"/>
      <c r="END211" s="143"/>
      <c r="ENE211" s="144"/>
      <c r="ENF211" s="124"/>
      <c r="ENG211" s="145"/>
      <c r="ENH211" s="145"/>
      <c r="ENI211" s="146"/>
      <c r="ENJ211" s="142"/>
      <c r="ENK211" s="143"/>
      <c r="ENL211" s="144"/>
      <c r="ENM211" s="124"/>
      <c r="ENN211" s="145"/>
      <c r="ENO211" s="145"/>
      <c r="ENP211" s="146"/>
      <c r="ENQ211" s="142"/>
      <c r="ENR211" s="143"/>
      <c r="ENS211" s="144"/>
      <c r="ENT211" s="124"/>
      <c r="ENU211" s="145"/>
      <c r="ENV211" s="145"/>
      <c r="ENW211" s="146"/>
      <c r="ENX211" s="142"/>
      <c r="ENY211" s="143"/>
      <c r="ENZ211" s="144"/>
      <c r="EOA211" s="124"/>
      <c r="EOB211" s="145"/>
      <c r="EOC211" s="145"/>
      <c r="EOD211" s="146"/>
      <c r="EOE211" s="142"/>
      <c r="EOF211" s="143"/>
      <c r="EOG211" s="144"/>
      <c r="EOH211" s="124"/>
      <c r="EOI211" s="145"/>
      <c r="EOJ211" s="145"/>
      <c r="EOK211" s="146"/>
      <c r="EOL211" s="142"/>
      <c r="EOM211" s="143"/>
      <c r="EON211" s="144"/>
      <c r="EOO211" s="124"/>
      <c r="EOP211" s="145"/>
      <c r="EOQ211" s="145"/>
      <c r="EOR211" s="146"/>
      <c r="EOS211" s="142"/>
      <c r="EOT211" s="143"/>
      <c r="EOU211" s="144"/>
      <c r="EOV211" s="124"/>
      <c r="EOW211" s="145"/>
      <c r="EOX211" s="145"/>
      <c r="EOY211" s="146"/>
      <c r="EOZ211" s="142"/>
      <c r="EPA211" s="143"/>
      <c r="EPB211" s="144"/>
      <c r="EPC211" s="124"/>
      <c r="EPD211" s="145"/>
      <c r="EPE211" s="145"/>
      <c r="EPF211" s="146"/>
      <c r="EPG211" s="142"/>
      <c r="EPH211" s="143"/>
      <c r="EPI211" s="144"/>
      <c r="EPJ211" s="124"/>
      <c r="EPK211" s="145"/>
      <c r="EPL211" s="145"/>
      <c r="EPM211" s="146"/>
      <c r="EPN211" s="142"/>
      <c r="EPO211" s="143"/>
      <c r="EPP211" s="144"/>
      <c r="EPQ211" s="124"/>
      <c r="EPR211" s="145"/>
      <c r="EPS211" s="145"/>
      <c r="EPT211" s="146"/>
      <c r="EPU211" s="142"/>
      <c r="EPV211" s="143"/>
      <c r="EPW211" s="144"/>
      <c r="EPX211" s="124"/>
      <c r="EPY211" s="145"/>
      <c r="EPZ211" s="145"/>
      <c r="EQA211" s="146"/>
      <c r="EQB211" s="142"/>
      <c r="EQC211" s="143"/>
      <c r="EQD211" s="144"/>
      <c r="EQE211" s="124"/>
      <c r="EQF211" s="145"/>
      <c r="EQG211" s="145"/>
      <c r="EQH211" s="146"/>
      <c r="EQI211" s="142"/>
      <c r="EQJ211" s="143"/>
      <c r="EQK211" s="144"/>
      <c r="EQL211" s="124"/>
      <c r="EQM211" s="145"/>
      <c r="EQN211" s="145"/>
      <c r="EQO211" s="146"/>
      <c r="EQP211" s="142"/>
      <c r="EQQ211" s="143"/>
      <c r="EQR211" s="144"/>
      <c r="EQS211" s="124"/>
      <c r="EQT211" s="145"/>
      <c r="EQU211" s="145"/>
      <c r="EQV211" s="146"/>
      <c r="EQW211" s="142"/>
      <c r="EQX211" s="143"/>
      <c r="EQY211" s="144"/>
      <c r="EQZ211" s="124"/>
      <c r="ERA211" s="145"/>
      <c r="ERB211" s="145"/>
      <c r="ERC211" s="146"/>
      <c r="ERD211" s="142"/>
      <c r="ERE211" s="143"/>
      <c r="ERF211" s="144"/>
      <c r="ERG211" s="124"/>
      <c r="ERH211" s="145"/>
      <c r="ERI211" s="145"/>
      <c r="ERJ211" s="146"/>
      <c r="ERK211" s="142"/>
      <c r="ERL211" s="143"/>
      <c r="ERM211" s="144"/>
      <c r="ERN211" s="124"/>
      <c r="ERO211" s="145"/>
      <c r="ERP211" s="145"/>
      <c r="ERQ211" s="146"/>
      <c r="ERR211" s="142"/>
      <c r="ERS211" s="143"/>
      <c r="ERT211" s="144"/>
      <c r="ERU211" s="124"/>
      <c r="ERV211" s="145"/>
      <c r="ERW211" s="145"/>
      <c r="ERX211" s="146"/>
      <c r="ERY211" s="142"/>
      <c r="ERZ211" s="143"/>
      <c r="ESA211" s="144"/>
      <c r="ESB211" s="124"/>
      <c r="ESC211" s="145"/>
      <c r="ESD211" s="145"/>
      <c r="ESE211" s="146"/>
      <c r="ESF211" s="142"/>
      <c r="ESG211" s="143"/>
      <c r="ESH211" s="144"/>
      <c r="ESI211" s="124"/>
      <c r="ESJ211" s="145"/>
      <c r="ESK211" s="145"/>
      <c r="ESL211" s="146"/>
      <c r="ESM211" s="142"/>
      <c r="ESN211" s="143"/>
      <c r="ESO211" s="144"/>
      <c r="ESP211" s="124"/>
      <c r="ESQ211" s="145"/>
      <c r="ESR211" s="145"/>
      <c r="ESS211" s="146"/>
      <c r="EST211" s="142"/>
      <c r="ESU211" s="143"/>
      <c r="ESV211" s="144"/>
      <c r="ESW211" s="124"/>
      <c r="ESX211" s="145"/>
      <c r="ESY211" s="145"/>
      <c r="ESZ211" s="146"/>
      <c r="ETA211" s="142"/>
      <c r="ETB211" s="143"/>
      <c r="ETC211" s="144"/>
      <c r="ETD211" s="124"/>
      <c r="ETE211" s="145"/>
      <c r="ETF211" s="145"/>
      <c r="ETG211" s="146"/>
      <c r="ETH211" s="142"/>
      <c r="ETI211" s="143"/>
      <c r="ETJ211" s="144"/>
      <c r="ETK211" s="124"/>
      <c r="ETL211" s="145"/>
      <c r="ETM211" s="145"/>
      <c r="ETN211" s="146"/>
      <c r="ETO211" s="142"/>
      <c r="ETP211" s="143"/>
      <c r="ETQ211" s="144"/>
      <c r="ETR211" s="124"/>
      <c r="ETS211" s="145"/>
      <c r="ETT211" s="145"/>
      <c r="ETU211" s="146"/>
      <c r="ETV211" s="142"/>
      <c r="ETW211" s="143"/>
      <c r="ETX211" s="144"/>
      <c r="ETY211" s="124"/>
      <c r="ETZ211" s="145"/>
      <c r="EUA211" s="145"/>
      <c r="EUB211" s="146"/>
      <c r="EUC211" s="142"/>
      <c r="EUD211" s="143"/>
      <c r="EUE211" s="144"/>
      <c r="EUF211" s="124"/>
      <c r="EUG211" s="145"/>
      <c r="EUH211" s="145"/>
      <c r="EUI211" s="146"/>
      <c r="EUJ211" s="142"/>
      <c r="EUK211" s="143"/>
      <c r="EUL211" s="144"/>
      <c r="EUM211" s="124"/>
      <c r="EUN211" s="145"/>
      <c r="EUO211" s="145"/>
      <c r="EUP211" s="146"/>
      <c r="EUQ211" s="142"/>
      <c r="EUR211" s="143"/>
      <c r="EUS211" s="144"/>
      <c r="EUT211" s="124"/>
      <c r="EUU211" s="145"/>
      <c r="EUV211" s="145"/>
      <c r="EUW211" s="146"/>
      <c r="EUX211" s="142"/>
      <c r="EUY211" s="143"/>
      <c r="EUZ211" s="144"/>
      <c r="EVA211" s="124"/>
      <c r="EVB211" s="145"/>
      <c r="EVC211" s="145"/>
      <c r="EVD211" s="146"/>
      <c r="EVE211" s="142"/>
      <c r="EVF211" s="143"/>
      <c r="EVG211" s="144"/>
      <c r="EVH211" s="124"/>
      <c r="EVI211" s="145"/>
      <c r="EVJ211" s="145"/>
      <c r="EVK211" s="146"/>
      <c r="EVL211" s="142"/>
      <c r="EVM211" s="143"/>
      <c r="EVN211" s="144"/>
      <c r="EVO211" s="124"/>
      <c r="EVP211" s="145"/>
      <c r="EVQ211" s="145"/>
      <c r="EVR211" s="146"/>
      <c r="EVS211" s="142"/>
      <c r="EVT211" s="143"/>
      <c r="EVU211" s="144"/>
      <c r="EVV211" s="124"/>
      <c r="EVW211" s="145"/>
      <c r="EVX211" s="145"/>
      <c r="EVY211" s="146"/>
      <c r="EVZ211" s="142"/>
      <c r="EWA211" s="143"/>
      <c r="EWB211" s="144"/>
      <c r="EWC211" s="124"/>
      <c r="EWD211" s="145"/>
      <c r="EWE211" s="145"/>
      <c r="EWF211" s="146"/>
      <c r="EWG211" s="142"/>
      <c r="EWH211" s="143"/>
      <c r="EWI211" s="144"/>
      <c r="EWJ211" s="124"/>
      <c r="EWK211" s="145"/>
      <c r="EWL211" s="145"/>
      <c r="EWM211" s="146"/>
      <c r="EWN211" s="142"/>
      <c r="EWO211" s="143"/>
      <c r="EWP211" s="144"/>
      <c r="EWQ211" s="124"/>
      <c r="EWR211" s="145"/>
      <c r="EWS211" s="145"/>
      <c r="EWT211" s="146"/>
      <c r="EWU211" s="142"/>
      <c r="EWV211" s="143"/>
      <c r="EWW211" s="144"/>
      <c r="EWX211" s="124"/>
      <c r="EWY211" s="145"/>
      <c r="EWZ211" s="145"/>
      <c r="EXA211" s="146"/>
      <c r="EXB211" s="142"/>
      <c r="EXC211" s="143"/>
      <c r="EXD211" s="144"/>
      <c r="EXE211" s="124"/>
      <c r="EXF211" s="145"/>
      <c r="EXG211" s="145"/>
      <c r="EXH211" s="146"/>
      <c r="EXI211" s="142"/>
      <c r="EXJ211" s="143"/>
      <c r="EXK211" s="144"/>
      <c r="EXL211" s="124"/>
      <c r="EXM211" s="145"/>
      <c r="EXN211" s="145"/>
      <c r="EXO211" s="146"/>
      <c r="EXP211" s="142"/>
      <c r="EXQ211" s="143"/>
      <c r="EXR211" s="144"/>
      <c r="EXS211" s="124"/>
      <c r="EXT211" s="145"/>
      <c r="EXU211" s="145"/>
      <c r="EXV211" s="146"/>
      <c r="EXW211" s="142"/>
      <c r="EXX211" s="143"/>
      <c r="EXY211" s="144"/>
      <c r="EXZ211" s="124"/>
      <c r="EYA211" s="145"/>
      <c r="EYB211" s="145"/>
      <c r="EYC211" s="146"/>
      <c r="EYD211" s="142"/>
      <c r="EYE211" s="143"/>
      <c r="EYF211" s="144"/>
      <c r="EYG211" s="124"/>
      <c r="EYH211" s="145"/>
      <c r="EYI211" s="145"/>
      <c r="EYJ211" s="146"/>
      <c r="EYK211" s="142"/>
      <c r="EYL211" s="143"/>
      <c r="EYM211" s="144"/>
      <c r="EYN211" s="124"/>
      <c r="EYO211" s="145"/>
      <c r="EYP211" s="145"/>
      <c r="EYQ211" s="146"/>
      <c r="EYR211" s="142"/>
      <c r="EYS211" s="143"/>
      <c r="EYT211" s="144"/>
      <c r="EYU211" s="124"/>
      <c r="EYV211" s="145"/>
      <c r="EYW211" s="145"/>
      <c r="EYX211" s="146"/>
      <c r="EYY211" s="142"/>
      <c r="EYZ211" s="143"/>
      <c r="EZA211" s="144"/>
      <c r="EZB211" s="124"/>
      <c r="EZC211" s="145"/>
      <c r="EZD211" s="145"/>
      <c r="EZE211" s="146"/>
      <c r="EZF211" s="142"/>
      <c r="EZG211" s="143"/>
      <c r="EZH211" s="144"/>
      <c r="EZI211" s="124"/>
      <c r="EZJ211" s="145"/>
      <c r="EZK211" s="145"/>
      <c r="EZL211" s="146"/>
      <c r="EZM211" s="142"/>
      <c r="EZN211" s="143"/>
      <c r="EZO211" s="144"/>
      <c r="EZP211" s="124"/>
      <c r="EZQ211" s="145"/>
      <c r="EZR211" s="145"/>
      <c r="EZS211" s="146"/>
      <c r="EZT211" s="142"/>
      <c r="EZU211" s="143"/>
      <c r="EZV211" s="144"/>
      <c r="EZW211" s="124"/>
      <c r="EZX211" s="145"/>
      <c r="EZY211" s="145"/>
      <c r="EZZ211" s="146"/>
      <c r="FAA211" s="142"/>
      <c r="FAB211" s="143"/>
      <c r="FAC211" s="144"/>
      <c r="FAD211" s="124"/>
      <c r="FAE211" s="145"/>
      <c r="FAF211" s="145"/>
      <c r="FAG211" s="146"/>
      <c r="FAH211" s="142"/>
      <c r="FAI211" s="143"/>
      <c r="FAJ211" s="144"/>
      <c r="FAK211" s="124"/>
      <c r="FAL211" s="145"/>
      <c r="FAM211" s="145"/>
      <c r="FAN211" s="146"/>
      <c r="FAO211" s="142"/>
      <c r="FAP211" s="143"/>
      <c r="FAQ211" s="144"/>
      <c r="FAR211" s="124"/>
      <c r="FAS211" s="145"/>
      <c r="FAT211" s="145"/>
      <c r="FAU211" s="146"/>
      <c r="FAV211" s="142"/>
      <c r="FAW211" s="143"/>
      <c r="FAX211" s="144"/>
      <c r="FAY211" s="124"/>
      <c r="FAZ211" s="145"/>
      <c r="FBA211" s="145"/>
      <c r="FBB211" s="146"/>
      <c r="FBC211" s="142"/>
      <c r="FBD211" s="143"/>
      <c r="FBE211" s="144"/>
      <c r="FBF211" s="124"/>
      <c r="FBG211" s="145"/>
      <c r="FBH211" s="145"/>
      <c r="FBI211" s="146"/>
      <c r="FBJ211" s="142"/>
      <c r="FBK211" s="143"/>
      <c r="FBL211" s="144"/>
      <c r="FBM211" s="124"/>
      <c r="FBN211" s="145"/>
      <c r="FBO211" s="145"/>
      <c r="FBP211" s="146"/>
      <c r="FBQ211" s="142"/>
      <c r="FBR211" s="143"/>
      <c r="FBS211" s="144"/>
      <c r="FBT211" s="124"/>
      <c r="FBU211" s="145"/>
      <c r="FBV211" s="145"/>
      <c r="FBW211" s="146"/>
      <c r="FBX211" s="142"/>
      <c r="FBY211" s="143"/>
      <c r="FBZ211" s="144"/>
      <c r="FCA211" s="124"/>
      <c r="FCB211" s="145"/>
      <c r="FCC211" s="145"/>
      <c r="FCD211" s="146"/>
      <c r="FCE211" s="142"/>
      <c r="FCF211" s="143"/>
      <c r="FCG211" s="144"/>
      <c r="FCH211" s="124"/>
      <c r="FCI211" s="145"/>
      <c r="FCJ211" s="145"/>
      <c r="FCK211" s="146"/>
      <c r="FCL211" s="142"/>
      <c r="FCM211" s="143"/>
      <c r="FCN211" s="144"/>
      <c r="FCO211" s="124"/>
      <c r="FCP211" s="145"/>
      <c r="FCQ211" s="145"/>
      <c r="FCR211" s="146"/>
      <c r="FCS211" s="142"/>
      <c r="FCT211" s="143"/>
      <c r="FCU211" s="144"/>
      <c r="FCV211" s="124"/>
      <c r="FCW211" s="145"/>
      <c r="FCX211" s="145"/>
      <c r="FCY211" s="146"/>
      <c r="FCZ211" s="142"/>
      <c r="FDA211" s="143"/>
      <c r="FDB211" s="144"/>
      <c r="FDC211" s="124"/>
      <c r="FDD211" s="145"/>
      <c r="FDE211" s="145"/>
      <c r="FDF211" s="146"/>
      <c r="FDG211" s="142"/>
      <c r="FDH211" s="143"/>
      <c r="FDI211" s="144"/>
      <c r="FDJ211" s="124"/>
      <c r="FDK211" s="145"/>
      <c r="FDL211" s="145"/>
      <c r="FDM211" s="146"/>
      <c r="FDN211" s="142"/>
      <c r="FDO211" s="143"/>
      <c r="FDP211" s="144"/>
      <c r="FDQ211" s="124"/>
      <c r="FDR211" s="145"/>
      <c r="FDS211" s="145"/>
      <c r="FDT211" s="146"/>
      <c r="FDU211" s="142"/>
      <c r="FDV211" s="143"/>
      <c r="FDW211" s="144"/>
      <c r="FDX211" s="124"/>
      <c r="FDY211" s="145"/>
      <c r="FDZ211" s="145"/>
      <c r="FEA211" s="146"/>
      <c r="FEB211" s="142"/>
      <c r="FEC211" s="143"/>
      <c r="FED211" s="144"/>
      <c r="FEE211" s="124"/>
      <c r="FEF211" s="145"/>
      <c r="FEG211" s="145"/>
      <c r="FEH211" s="146"/>
      <c r="FEI211" s="142"/>
      <c r="FEJ211" s="143"/>
      <c r="FEK211" s="144"/>
      <c r="FEL211" s="124"/>
      <c r="FEM211" s="145"/>
      <c r="FEN211" s="145"/>
      <c r="FEO211" s="146"/>
      <c r="FEP211" s="142"/>
      <c r="FEQ211" s="143"/>
      <c r="FER211" s="144"/>
      <c r="FES211" s="124"/>
      <c r="FET211" s="145"/>
      <c r="FEU211" s="145"/>
      <c r="FEV211" s="146"/>
      <c r="FEW211" s="142"/>
      <c r="FEX211" s="143"/>
      <c r="FEY211" s="144"/>
      <c r="FEZ211" s="124"/>
      <c r="FFA211" s="145"/>
      <c r="FFB211" s="145"/>
      <c r="FFC211" s="146"/>
      <c r="FFD211" s="142"/>
      <c r="FFE211" s="143"/>
      <c r="FFF211" s="144"/>
      <c r="FFG211" s="124"/>
      <c r="FFH211" s="145"/>
      <c r="FFI211" s="145"/>
      <c r="FFJ211" s="146"/>
      <c r="FFK211" s="142"/>
      <c r="FFL211" s="143"/>
      <c r="FFM211" s="144"/>
      <c r="FFN211" s="124"/>
      <c r="FFO211" s="145"/>
      <c r="FFP211" s="145"/>
      <c r="FFQ211" s="146"/>
      <c r="FFR211" s="142"/>
      <c r="FFS211" s="143"/>
      <c r="FFT211" s="144"/>
      <c r="FFU211" s="124"/>
      <c r="FFV211" s="145"/>
      <c r="FFW211" s="145"/>
      <c r="FFX211" s="146"/>
      <c r="FFY211" s="142"/>
      <c r="FFZ211" s="143"/>
      <c r="FGA211" s="144"/>
      <c r="FGB211" s="124"/>
      <c r="FGC211" s="145"/>
      <c r="FGD211" s="145"/>
      <c r="FGE211" s="146"/>
      <c r="FGF211" s="142"/>
      <c r="FGG211" s="143"/>
      <c r="FGH211" s="144"/>
      <c r="FGI211" s="124"/>
      <c r="FGJ211" s="145"/>
      <c r="FGK211" s="145"/>
      <c r="FGL211" s="146"/>
      <c r="FGM211" s="142"/>
      <c r="FGN211" s="143"/>
      <c r="FGO211" s="144"/>
      <c r="FGP211" s="124"/>
      <c r="FGQ211" s="145"/>
      <c r="FGR211" s="145"/>
      <c r="FGS211" s="146"/>
      <c r="FGT211" s="142"/>
      <c r="FGU211" s="143"/>
      <c r="FGV211" s="144"/>
      <c r="FGW211" s="124"/>
      <c r="FGX211" s="145"/>
      <c r="FGY211" s="145"/>
      <c r="FGZ211" s="146"/>
      <c r="FHA211" s="142"/>
      <c r="FHB211" s="143"/>
      <c r="FHC211" s="144"/>
      <c r="FHD211" s="124"/>
      <c r="FHE211" s="145"/>
      <c r="FHF211" s="145"/>
      <c r="FHG211" s="146"/>
      <c r="FHH211" s="142"/>
      <c r="FHI211" s="143"/>
      <c r="FHJ211" s="144"/>
      <c r="FHK211" s="124"/>
      <c r="FHL211" s="145"/>
      <c r="FHM211" s="145"/>
      <c r="FHN211" s="146"/>
      <c r="FHO211" s="142"/>
      <c r="FHP211" s="143"/>
      <c r="FHQ211" s="144"/>
      <c r="FHR211" s="124"/>
      <c r="FHS211" s="145"/>
      <c r="FHT211" s="145"/>
      <c r="FHU211" s="146"/>
      <c r="FHV211" s="142"/>
      <c r="FHW211" s="143"/>
      <c r="FHX211" s="144"/>
      <c r="FHY211" s="124"/>
      <c r="FHZ211" s="145"/>
      <c r="FIA211" s="145"/>
      <c r="FIB211" s="146"/>
      <c r="FIC211" s="142"/>
      <c r="FID211" s="143"/>
      <c r="FIE211" s="144"/>
      <c r="FIF211" s="124"/>
      <c r="FIG211" s="145"/>
      <c r="FIH211" s="145"/>
      <c r="FII211" s="146"/>
      <c r="FIJ211" s="142"/>
      <c r="FIK211" s="143"/>
      <c r="FIL211" s="144"/>
      <c r="FIM211" s="124"/>
      <c r="FIN211" s="145"/>
      <c r="FIO211" s="145"/>
      <c r="FIP211" s="146"/>
      <c r="FIQ211" s="142"/>
      <c r="FIR211" s="143"/>
      <c r="FIS211" s="144"/>
      <c r="FIT211" s="124"/>
      <c r="FIU211" s="145"/>
      <c r="FIV211" s="145"/>
      <c r="FIW211" s="146"/>
      <c r="FIX211" s="142"/>
      <c r="FIY211" s="143"/>
      <c r="FIZ211" s="144"/>
      <c r="FJA211" s="124"/>
      <c r="FJB211" s="145"/>
      <c r="FJC211" s="145"/>
      <c r="FJD211" s="146"/>
      <c r="FJE211" s="142"/>
      <c r="FJF211" s="143"/>
      <c r="FJG211" s="144"/>
      <c r="FJH211" s="124"/>
      <c r="FJI211" s="145"/>
      <c r="FJJ211" s="145"/>
      <c r="FJK211" s="146"/>
      <c r="FJL211" s="142"/>
      <c r="FJM211" s="143"/>
      <c r="FJN211" s="144"/>
      <c r="FJO211" s="124"/>
      <c r="FJP211" s="145"/>
      <c r="FJQ211" s="145"/>
      <c r="FJR211" s="146"/>
      <c r="FJS211" s="142"/>
      <c r="FJT211" s="143"/>
      <c r="FJU211" s="144"/>
      <c r="FJV211" s="124"/>
      <c r="FJW211" s="145"/>
      <c r="FJX211" s="145"/>
      <c r="FJY211" s="146"/>
      <c r="FJZ211" s="142"/>
      <c r="FKA211" s="143"/>
      <c r="FKB211" s="144"/>
      <c r="FKC211" s="124"/>
      <c r="FKD211" s="145"/>
      <c r="FKE211" s="145"/>
      <c r="FKF211" s="146"/>
      <c r="FKG211" s="142"/>
      <c r="FKH211" s="143"/>
      <c r="FKI211" s="144"/>
      <c r="FKJ211" s="124"/>
      <c r="FKK211" s="145"/>
      <c r="FKL211" s="145"/>
      <c r="FKM211" s="146"/>
      <c r="FKN211" s="142"/>
      <c r="FKO211" s="143"/>
      <c r="FKP211" s="144"/>
      <c r="FKQ211" s="124"/>
      <c r="FKR211" s="145"/>
      <c r="FKS211" s="145"/>
      <c r="FKT211" s="146"/>
      <c r="FKU211" s="142"/>
      <c r="FKV211" s="143"/>
      <c r="FKW211" s="144"/>
      <c r="FKX211" s="124"/>
      <c r="FKY211" s="145"/>
      <c r="FKZ211" s="145"/>
      <c r="FLA211" s="146"/>
      <c r="FLB211" s="142"/>
      <c r="FLC211" s="143"/>
      <c r="FLD211" s="144"/>
      <c r="FLE211" s="124"/>
      <c r="FLF211" s="145"/>
      <c r="FLG211" s="145"/>
      <c r="FLH211" s="146"/>
      <c r="FLI211" s="142"/>
      <c r="FLJ211" s="143"/>
      <c r="FLK211" s="144"/>
      <c r="FLL211" s="124"/>
      <c r="FLM211" s="145"/>
      <c r="FLN211" s="145"/>
      <c r="FLO211" s="146"/>
      <c r="FLP211" s="142"/>
      <c r="FLQ211" s="143"/>
      <c r="FLR211" s="144"/>
      <c r="FLS211" s="124"/>
      <c r="FLT211" s="145"/>
      <c r="FLU211" s="145"/>
      <c r="FLV211" s="146"/>
      <c r="FLW211" s="142"/>
      <c r="FLX211" s="143"/>
      <c r="FLY211" s="144"/>
      <c r="FLZ211" s="124"/>
      <c r="FMA211" s="145"/>
      <c r="FMB211" s="145"/>
      <c r="FMC211" s="146"/>
      <c r="FMD211" s="142"/>
      <c r="FME211" s="143"/>
      <c r="FMF211" s="144"/>
      <c r="FMG211" s="124"/>
      <c r="FMH211" s="145"/>
      <c r="FMI211" s="145"/>
      <c r="FMJ211" s="146"/>
      <c r="FMK211" s="142"/>
      <c r="FML211" s="143"/>
      <c r="FMM211" s="144"/>
      <c r="FMN211" s="124"/>
      <c r="FMO211" s="145"/>
      <c r="FMP211" s="145"/>
      <c r="FMQ211" s="146"/>
      <c r="FMR211" s="142"/>
      <c r="FMS211" s="143"/>
      <c r="FMT211" s="144"/>
      <c r="FMU211" s="124"/>
      <c r="FMV211" s="145"/>
      <c r="FMW211" s="145"/>
      <c r="FMX211" s="146"/>
      <c r="FMY211" s="142"/>
      <c r="FMZ211" s="143"/>
      <c r="FNA211" s="144"/>
      <c r="FNB211" s="124"/>
      <c r="FNC211" s="145"/>
      <c r="FND211" s="145"/>
      <c r="FNE211" s="146"/>
      <c r="FNF211" s="142"/>
      <c r="FNG211" s="143"/>
      <c r="FNH211" s="144"/>
      <c r="FNI211" s="124"/>
      <c r="FNJ211" s="145"/>
      <c r="FNK211" s="145"/>
      <c r="FNL211" s="146"/>
      <c r="FNM211" s="142"/>
      <c r="FNN211" s="143"/>
      <c r="FNO211" s="144"/>
      <c r="FNP211" s="124"/>
      <c r="FNQ211" s="145"/>
      <c r="FNR211" s="145"/>
      <c r="FNS211" s="146"/>
      <c r="FNT211" s="142"/>
      <c r="FNU211" s="143"/>
      <c r="FNV211" s="144"/>
      <c r="FNW211" s="124"/>
      <c r="FNX211" s="145"/>
      <c r="FNY211" s="145"/>
      <c r="FNZ211" s="146"/>
      <c r="FOA211" s="142"/>
      <c r="FOB211" s="143"/>
      <c r="FOC211" s="144"/>
      <c r="FOD211" s="124"/>
      <c r="FOE211" s="145"/>
      <c r="FOF211" s="145"/>
      <c r="FOG211" s="146"/>
      <c r="FOH211" s="142"/>
      <c r="FOI211" s="143"/>
      <c r="FOJ211" s="144"/>
      <c r="FOK211" s="124"/>
      <c r="FOL211" s="145"/>
      <c r="FOM211" s="145"/>
      <c r="FON211" s="146"/>
      <c r="FOO211" s="142"/>
      <c r="FOP211" s="143"/>
      <c r="FOQ211" s="144"/>
      <c r="FOR211" s="124"/>
      <c r="FOS211" s="145"/>
      <c r="FOT211" s="145"/>
      <c r="FOU211" s="146"/>
      <c r="FOV211" s="142"/>
      <c r="FOW211" s="143"/>
      <c r="FOX211" s="144"/>
      <c r="FOY211" s="124"/>
      <c r="FOZ211" s="145"/>
      <c r="FPA211" s="145"/>
      <c r="FPB211" s="146"/>
      <c r="FPC211" s="142"/>
      <c r="FPD211" s="143"/>
      <c r="FPE211" s="144"/>
      <c r="FPF211" s="124"/>
      <c r="FPG211" s="145"/>
      <c r="FPH211" s="145"/>
      <c r="FPI211" s="146"/>
      <c r="FPJ211" s="142"/>
      <c r="FPK211" s="143"/>
      <c r="FPL211" s="144"/>
      <c r="FPM211" s="124"/>
      <c r="FPN211" s="145"/>
      <c r="FPO211" s="145"/>
      <c r="FPP211" s="146"/>
      <c r="FPQ211" s="142"/>
      <c r="FPR211" s="143"/>
      <c r="FPS211" s="144"/>
      <c r="FPT211" s="124"/>
      <c r="FPU211" s="145"/>
      <c r="FPV211" s="145"/>
      <c r="FPW211" s="146"/>
      <c r="FPX211" s="142"/>
      <c r="FPY211" s="143"/>
      <c r="FPZ211" s="144"/>
      <c r="FQA211" s="124"/>
      <c r="FQB211" s="145"/>
      <c r="FQC211" s="145"/>
      <c r="FQD211" s="146"/>
      <c r="FQE211" s="142"/>
      <c r="FQF211" s="143"/>
      <c r="FQG211" s="144"/>
      <c r="FQH211" s="124"/>
      <c r="FQI211" s="145"/>
      <c r="FQJ211" s="145"/>
      <c r="FQK211" s="146"/>
      <c r="FQL211" s="142"/>
      <c r="FQM211" s="143"/>
      <c r="FQN211" s="144"/>
      <c r="FQO211" s="124"/>
      <c r="FQP211" s="145"/>
      <c r="FQQ211" s="145"/>
      <c r="FQR211" s="146"/>
      <c r="FQS211" s="142"/>
      <c r="FQT211" s="143"/>
      <c r="FQU211" s="144"/>
      <c r="FQV211" s="124"/>
      <c r="FQW211" s="145"/>
      <c r="FQX211" s="145"/>
      <c r="FQY211" s="146"/>
      <c r="FQZ211" s="142"/>
      <c r="FRA211" s="143"/>
      <c r="FRB211" s="144"/>
      <c r="FRC211" s="124"/>
      <c r="FRD211" s="145"/>
      <c r="FRE211" s="145"/>
      <c r="FRF211" s="146"/>
      <c r="FRG211" s="142"/>
      <c r="FRH211" s="143"/>
      <c r="FRI211" s="144"/>
      <c r="FRJ211" s="124"/>
      <c r="FRK211" s="145"/>
      <c r="FRL211" s="145"/>
      <c r="FRM211" s="146"/>
      <c r="FRN211" s="142"/>
      <c r="FRO211" s="143"/>
      <c r="FRP211" s="144"/>
      <c r="FRQ211" s="124"/>
      <c r="FRR211" s="145"/>
      <c r="FRS211" s="145"/>
      <c r="FRT211" s="146"/>
      <c r="FRU211" s="142"/>
      <c r="FRV211" s="143"/>
      <c r="FRW211" s="144"/>
      <c r="FRX211" s="124"/>
      <c r="FRY211" s="145"/>
      <c r="FRZ211" s="145"/>
      <c r="FSA211" s="146"/>
      <c r="FSB211" s="142"/>
      <c r="FSC211" s="143"/>
      <c r="FSD211" s="144"/>
      <c r="FSE211" s="124"/>
      <c r="FSF211" s="145"/>
      <c r="FSG211" s="145"/>
      <c r="FSH211" s="146"/>
      <c r="FSI211" s="142"/>
      <c r="FSJ211" s="143"/>
      <c r="FSK211" s="144"/>
      <c r="FSL211" s="124"/>
      <c r="FSM211" s="145"/>
      <c r="FSN211" s="145"/>
      <c r="FSO211" s="146"/>
      <c r="FSP211" s="142"/>
      <c r="FSQ211" s="143"/>
      <c r="FSR211" s="144"/>
      <c r="FSS211" s="124"/>
      <c r="FST211" s="145"/>
      <c r="FSU211" s="145"/>
      <c r="FSV211" s="146"/>
      <c r="FSW211" s="142"/>
      <c r="FSX211" s="143"/>
      <c r="FSY211" s="144"/>
      <c r="FSZ211" s="124"/>
      <c r="FTA211" s="145"/>
      <c r="FTB211" s="145"/>
      <c r="FTC211" s="146"/>
      <c r="FTD211" s="142"/>
      <c r="FTE211" s="143"/>
      <c r="FTF211" s="144"/>
      <c r="FTG211" s="124"/>
      <c r="FTH211" s="145"/>
      <c r="FTI211" s="145"/>
      <c r="FTJ211" s="146"/>
      <c r="FTK211" s="142"/>
      <c r="FTL211" s="143"/>
      <c r="FTM211" s="144"/>
      <c r="FTN211" s="124"/>
      <c r="FTO211" s="145"/>
      <c r="FTP211" s="145"/>
      <c r="FTQ211" s="146"/>
      <c r="FTR211" s="142"/>
      <c r="FTS211" s="143"/>
      <c r="FTT211" s="144"/>
      <c r="FTU211" s="124"/>
      <c r="FTV211" s="145"/>
      <c r="FTW211" s="145"/>
      <c r="FTX211" s="146"/>
      <c r="FTY211" s="142"/>
      <c r="FTZ211" s="143"/>
      <c r="FUA211" s="144"/>
      <c r="FUB211" s="124"/>
      <c r="FUC211" s="145"/>
      <c r="FUD211" s="145"/>
      <c r="FUE211" s="146"/>
      <c r="FUF211" s="142"/>
      <c r="FUG211" s="143"/>
      <c r="FUH211" s="144"/>
      <c r="FUI211" s="124"/>
      <c r="FUJ211" s="145"/>
      <c r="FUK211" s="145"/>
      <c r="FUL211" s="146"/>
      <c r="FUM211" s="142"/>
      <c r="FUN211" s="143"/>
      <c r="FUO211" s="144"/>
      <c r="FUP211" s="124"/>
      <c r="FUQ211" s="145"/>
      <c r="FUR211" s="145"/>
      <c r="FUS211" s="146"/>
      <c r="FUT211" s="142"/>
      <c r="FUU211" s="143"/>
      <c r="FUV211" s="144"/>
      <c r="FUW211" s="124"/>
      <c r="FUX211" s="145"/>
      <c r="FUY211" s="145"/>
      <c r="FUZ211" s="146"/>
      <c r="FVA211" s="142"/>
      <c r="FVB211" s="143"/>
      <c r="FVC211" s="144"/>
      <c r="FVD211" s="124"/>
      <c r="FVE211" s="145"/>
      <c r="FVF211" s="145"/>
      <c r="FVG211" s="146"/>
      <c r="FVH211" s="142"/>
      <c r="FVI211" s="143"/>
      <c r="FVJ211" s="144"/>
      <c r="FVK211" s="124"/>
      <c r="FVL211" s="145"/>
      <c r="FVM211" s="145"/>
      <c r="FVN211" s="146"/>
      <c r="FVO211" s="142"/>
      <c r="FVP211" s="143"/>
      <c r="FVQ211" s="144"/>
      <c r="FVR211" s="124"/>
      <c r="FVS211" s="145"/>
      <c r="FVT211" s="145"/>
      <c r="FVU211" s="146"/>
      <c r="FVV211" s="142"/>
      <c r="FVW211" s="143"/>
      <c r="FVX211" s="144"/>
      <c r="FVY211" s="124"/>
      <c r="FVZ211" s="145"/>
      <c r="FWA211" s="145"/>
      <c r="FWB211" s="146"/>
      <c r="FWC211" s="142"/>
      <c r="FWD211" s="143"/>
      <c r="FWE211" s="144"/>
      <c r="FWF211" s="124"/>
      <c r="FWG211" s="145"/>
      <c r="FWH211" s="145"/>
      <c r="FWI211" s="146"/>
      <c r="FWJ211" s="142"/>
      <c r="FWK211" s="143"/>
      <c r="FWL211" s="144"/>
      <c r="FWM211" s="124"/>
      <c r="FWN211" s="145"/>
      <c r="FWO211" s="145"/>
      <c r="FWP211" s="146"/>
      <c r="FWQ211" s="142"/>
      <c r="FWR211" s="143"/>
      <c r="FWS211" s="144"/>
      <c r="FWT211" s="124"/>
      <c r="FWU211" s="145"/>
      <c r="FWV211" s="145"/>
      <c r="FWW211" s="146"/>
      <c r="FWX211" s="142"/>
      <c r="FWY211" s="143"/>
      <c r="FWZ211" s="144"/>
      <c r="FXA211" s="124"/>
      <c r="FXB211" s="145"/>
      <c r="FXC211" s="145"/>
      <c r="FXD211" s="146"/>
      <c r="FXE211" s="142"/>
      <c r="FXF211" s="143"/>
      <c r="FXG211" s="144"/>
      <c r="FXH211" s="124"/>
      <c r="FXI211" s="145"/>
      <c r="FXJ211" s="145"/>
      <c r="FXK211" s="146"/>
      <c r="FXL211" s="142"/>
      <c r="FXM211" s="143"/>
      <c r="FXN211" s="144"/>
      <c r="FXO211" s="124"/>
      <c r="FXP211" s="145"/>
      <c r="FXQ211" s="145"/>
      <c r="FXR211" s="146"/>
      <c r="FXS211" s="142"/>
      <c r="FXT211" s="143"/>
      <c r="FXU211" s="144"/>
      <c r="FXV211" s="124"/>
      <c r="FXW211" s="145"/>
      <c r="FXX211" s="145"/>
      <c r="FXY211" s="146"/>
      <c r="FXZ211" s="142"/>
      <c r="FYA211" s="143"/>
      <c r="FYB211" s="144"/>
      <c r="FYC211" s="124"/>
      <c r="FYD211" s="145"/>
      <c r="FYE211" s="145"/>
      <c r="FYF211" s="146"/>
      <c r="FYG211" s="142"/>
      <c r="FYH211" s="143"/>
      <c r="FYI211" s="144"/>
      <c r="FYJ211" s="124"/>
      <c r="FYK211" s="145"/>
      <c r="FYL211" s="145"/>
      <c r="FYM211" s="146"/>
      <c r="FYN211" s="142"/>
      <c r="FYO211" s="143"/>
      <c r="FYP211" s="144"/>
      <c r="FYQ211" s="124"/>
      <c r="FYR211" s="145"/>
      <c r="FYS211" s="145"/>
      <c r="FYT211" s="146"/>
      <c r="FYU211" s="142"/>
      <c r="FYV211" s="143"/>
      <c r="FYW211" s="144"/>
      <c r="FYX211" s="124"/>
      <c r="FYY211" s="145"/>
      <c r="FYZ211" s="145"/>
      <c r="FZA211" s="146"/>
      <c r="FZB211" s="142"/>
      <c r="FZC211" s="143"/>
      <c r="FZD211" s="144"/>
      <c r="FZE211" s="124"/>
      <c r="FZF211" s="145"/>
      <c r="FZG211" s="145"/>
      <c r="FZH211" s="146"/>
      <c r="FZI211" s="142"/>
      <c r="FZJ211" s="143"/>
      <c r="FZK211" s="144"/>
      <c r="FZL211" s="124"/>
      <c r="FZM211" s="145"/>
      <c r="FZN211" s="145"/>
      <c r="FZO211" s="146"/>
      <c r="FZP211" s="142"/>
      <c r="FZQ211" s="143"/>
      <c r="FZR211" s="144"/>
      <c r="FZS211" s="124"/>
      <c r="FZT211" s="145"/>
      <c r="FZU211" s="145"/>
      <c r="FZV211" s="146"/>
      <c r="FZW211" s="142"/>
      <c r="FZX211" s="143"/>
      <c r="FZY211" s="144"/>
      <c r="FZZ211" s="124"/>
      <c r="GAA211" s="145"/>
      <c r="GAB211" s="145"/>
      <c r="GAC211" s="146"/>
      <c r="GAD211" s="142"/>
      <c r="GAE211" s="143"/>
      <c r="GAF211" s="144"/>
      <c r="GAG211" s="124"/>
      <c r="GAH211" s="145"/>
      <c r="GAI211" s="145"/>
      <c r="GAJ211" s="146"/>
      <c r="GAK211" s="142"/>
      <c r="GAL211" s="143"/>
      <c r="GAM211" s="144"/>
      <c r="GAN211" s="124"/>
      <c r="GAO211" s="145"/>
      <c r="GAP211" s="145"/>
      <c r="GAQ211" s="146"/>
      <c r="GAR211" s="142"/>
      <c r="GAS211" s="143"/>
      <c r="GAT211" s="144"/>
      <c r="GAU211" s="124"/>
      <c r="GAV211" s="145"/>
      <c r="GAW211" s="145"/>
      <c r="GAX211" s="146"/>
      <c r="GAY211" s="142"/>
      <c r="GAZ211" s="143"/>
      <c r="GBA211" s="144"/>
      <c r="GBB211" s="124"/>
      <c r="GBC211" s="145"/>
      <c r="GBD211" s="145"/>
      <c r="GBE211" s="146"/>
      <c r="GBF211" s="142"/>
      <c r="GBG211" s="143"/>
      <c r="GBH211" s="144"/>
      <c r="GBI211" s="124"/>
      <c r="GBJ211" s="145"/>
      <c r="GBK211" s="145"/>
      <c r="GBL211" s="146"/>
      <c r="GBM211" s="142"/>
      <c r="GBN211" s="143"/>
      <c r="GBO211" s="144"/>
      <c r="GBP211" s="124"/>
      <c r="GBQ211" s="145"/>
      <c r="GBR211" s="145"/>
      <c r="GBS211" s="146"/>
      <c r="GBT211" s="142"/>
      <c r="GBU211" s="143"/>
      <c r="GBV211" s="144"/>
      <c r="GBW211" s="124"/>
      <c r="GBX211" s="145"/>
      <c r="GBY211" s="145"/>
      <c r="GBZ211" s="146"/>
      <c r="GCA211" s="142"/>
      <c r="GCB211" s="143"/>
      <c r="GCC211" s="144"/>
      <c r="GCD211" s="124"/>
      <c r="GCE211" s="145"/>
      <c r="GCF211" s="145"/>
      <c r="GCG211" s="146"/>
      <c r="GCH211" s="142"/>
      <c r="GCI211" s="143"/>
      <c r="GCJ211" s="144"/>
      <c r="GCK211" s="124"/>
      <c r="GCL211" s="145"/>
      <c r="GCM211" s="145"/>
      <c r="GCN211" s="146"/>
      <c r="GCO211" s="142"/>
      <c r="GCP211" s="143"/>
      <c r="GCQ211" s="144"/>
      <c r="GCR211" s="124"/>
      <c r="GCS211" s="145"/>
      <c r="GCT211" s="145"/>
      <c r="GCU211" s="146"/>
      <c r="GCV211" s="142"/>
      <c r="GCW211" s="143"/>
      <c r="GCX211" s="144"/>
      <c r="GCY211" s="124"/>
      <c r="GCZ211" s="145"/>
      <c r="GDA211" s="145"/>
      <c r="GDB211" s="146"/>
      <c r="GDC211" s="142"/>
      <c r="GDD211" s="143"/>
      <c r="GDE211" s="144"/>
      <c r="GDF211" s="124"/>
      <c r="GDG211" s="145"/>
      <c r="GDH211" s="145"/>
      <c r="GDI211" s="146"/>
      <c r="GDJ211" s="142"/>
      <c r="GDK211" s="143"/>
      <c r="GDL211" s="144"/>
      <c r="GDM211" s="124"/>
      <c r="GDN211" s="145"/>
      <c r="GDO211" s="145"/>
      <c r="GDP211" s="146"/>
      <c r="GDQ211" s="142"/>
      <c r="GDR211" s="143"/>
      <c r="GDS211" s="144"/>
      <c r="GDT211" s="124"/>
      <c r="GDU211" s="145"/>
      <c r="GDV211" s="145"/>
      <c r="GDW211" s="146"/>
      <c r="GDX211" s="142"/>
      <c r="GDY211" s="143"/>
      <c r="GDZ211" s="144"/>
      <c r="GEA211" s="124"/>
      <c r="GEB211" s="145"/>
      <c r="GEC211" s="145"/>
      <c r="GED211" s="146"/>
      <c r="GEE211" s="142"/>
      <c r="GEF211" s="143"/>
      <c r="GEG211" s="144"/>
      <c r="GEH211" s="124"/>
      <c r="GEI211" s="145"/>
      <c r="GEJ211" s="145"/>
      <c r="GEK211" s="146"/>
      <c r="GEL211" s="142"/>
      <c r="GEM211" s="143"/>
      <c r="GEN211" s="144"/>
      <c r="GEO211" s="124"/>
      <c r="GEP211" s="145"/>
      <c r="GEQ211" s="145"/>
      <c r="GER211" s="146"/>
      <c r="GES211" s="142"/>
      <c r="GET211" s="143"/>
      <c r="GEU211" s="144"/>
      <c r="GEV211" s="124"/>
      <c r="GEW211" s="145"/>
      <c r="GEX211" s="145"/>
      <c r="GEY211" s="146"/>
      <c r="GEZ211" s="142"/>
      <c r="GFA211" s="143"/>
      <c r="GFB211" s="144"/>
      <c r="GFC211" s="124"/>
      <c r="GFD211" s="145"/>
      <c r="GFE211" s="145"/>
      <c r="GFF211" s="146"/>
      <c r="GFG211" s="142"/>
      <c r="GFH211" s="143"/>
      <c r="GFI211" s="144"/>
      <c r="GFJ211" s="124"/>
      <c r="GFK211" s="145"/>
      <c r="GFL211" s="145"/>
      <c r="GFM211" s="146"/>
      <c r="GFN211" s="142"/>
      <c r="GFO211" s="143"/>
      <c r="GFP211" s="144"/>
      <c r="GFQ211" s="124"/>
      <c r="GFR211" s="145"/>
      <c r="GFS211" s="145"/>
      <c r="GFT211" s="146"/>
      <c r="GFU211" s="142"/>
      <c r="GFV211" s="143"/>
      <c r="GFW211" s="144"/>
      <c r="GFX211" s="124"/>
      <c r="GFY211" s="145"/>
      <c r="GFZ211" s="145"/>
      <c r="GGA211" s="146"/>
      <c r="GGB211" s="142"/>
      <c r="GGC211" s="143"/>
      <c r="GGD211" s="144"/>
      <c r="GGE211" s="124"/>
      <c r="GGF211" s="145"/>
      <c r="GGG211" s="145"/>
      <c r="GGH211" s="146"/>
      <c r="GGI211" s="142"/>
      <c r="GGJ211" s="143"/>
      <c r="GGK211" s="144"/>
      <c r="GGL211" s="124"/>
      <c r="GGM211" s="145"/>
      <c r="GGN211" s="145"/>
      <c r="GGO211" s="146"/>
      <c r="GGP211" s="142"/>
      <c r="GGQ211" s="143"/>
      <c r="GGR211" s="144"/>
      <c r="GGS211" s="124"/>
      <c r="GGT211" s="145"/>
      <c r="GGU211" s="145"/>
      <c r="GGV211" s="146"/>
      <c r="GGW211" s="142"/>
      <c r="GGX211" s="143"/>
      <c r="GGY211" s="144"/>
      <c r="GGZ211" s="124"/>
      <c r="GHA211" s="145"/>
      <c r="GHB211" s="145"/>
      <c r="GHC211" s="146"/>
      <c r="GHD211" s="142"/>
      <c r="GHE211" s="143"/>
      <c r="GHF211" s="144"/>
      <c r="GHG211" s="124"/>
      <c r="GHH211" s="145"/>
      <c r="GHI211" s="145"/>
      <c r="GHJ211" s="146"/>
      <c r="GHK211" s="142"/>
      <c r="GHL211" s="143"/>
      <c r="GHM211" s="144"/>
      <c r="GHN211" s="124"/>
      <c r="GHO211" s="145"/>
      <c r="GHP211" s="145"/>
      <c r="GHQ211" s="146"/>
      <c r="GHR211" s="142"/>
      <c r="GHS211" s="143"/>
      <c r="GHT211" s="144"/>
      <c r="GHU211" s="124"/>
      <c r="GHV211" s="145"/>
      <c r="GHW211" s="145"/>
      <c r="GHX211" s="146"/>
      <c r="GHY211" s="142"/>
      <c r="GHZ211" s="143"/>
      <c r="GIA211" s="144"/>
      <c r="GIB211" s="124"/>
      <c r="GIC211" s="145"/>
      <c r="GID211" s="145"/>
      <c r="GIE211" s="146"/>
      <c r="GIF211" s="142"/>
      <c r="GIG211" s="143"/>
      <c r="GIH211" s="144"/>
      <c r="GII211" s="124"/>
      <c r="GIJ211" s="145"/>
      <c r="GIK211" s="145"/>
      <c r="GIL211" s="146"/>
      <c r="GIM211" s="142"/>
      <c r="GIN211" s="143"/>
      <c r="GIO211" s="144"/>
      <c r="GIP211" s="124"/>
      <c r="GIQ211" s="145"/>
      <c r="GIR211" s="145"/>
      <c r="GIS211" s="146"/>
      <c r="GIT211" s="142"/>
      <c r="GIU211" s="143"/>
      <c r="GIV211" s="144"/>
      <c r="GIW211" s="124"/>
      <c r="GIX211" s="145"/>
      <c r="GIY211" s="145"/>
      <c r="GIZ211" s="146"/>
      <c r="GJA211" s="142"/>
      <c r="GJB211" s="143"/>
      <c r="GJC211" s="144"/>
      <c r="GJD211" s="124"/>
      <c r="GJE211" s="145"/>
      <c r="GJF211" s="145"/>
      <c r="GJG211" s="146"/>
      <c r="GJH211" s="142"/>
      <c r="GJI211" s="143"/>
      <c r="GJJ211" s="144"/>
      <c r="GJK211" s="124"/>
      <c r="GJL211" s="145"/>
      <c r="GJM211" s="145"/>
      <c r="GJN211" s="146"/>
      <c r="GJO211" s="142"/>
      <c r="GJP211" s="143"/>
      <c r="GJQ211" s="144"/>
      <c r="GJR211" s="124"/>
      <c r="GJS211" s="145"/>
      <c r="GJT211" s="145"/>
      <c r="GJU211" s="146"/>
      <c r="GJV211" s="142"/>
      <c r="GJW211" s="143"/>
      <c r="GJX211" s="144"/>
      <c r="GJY211" s="124"/>
      <c r="GJZ211" s="145"/>
      <c r="GKA211" s="145"/>
      <c r="GKB211" s="146"/>
      <c r="GKC211" s="142"/>
      <c r="GKD211" s="143"/>
      <c r="GKE211" s="144"/>
      <c r="GKF211" s="124"/>
      <c r="GKG211" s="145"/>
      <c r="GKH211" s="145"/>
      <c r="GKI211" s="146"/>
      <c r="GKJ211" s="142"/>
      <c r="GKK211" s="143"/>
      <c r="GKL211" s="144"/>
      <c r="GKM211" s="124"/>
      <c r="GKN211" s="145"/>
      <c r="GKO211" s="145"/>
      <c r="GKP211" s="146"/>
      <c r="GKQ211" s="142"/>
      <c r="GKR211" s="143"/>
      <c r="GKS211" s="144"/>
      <c r="GKT211" s="124"/>
      <c r="GKU211" s="145"/>
      <c r="GKV211" s="145"/>
      <c r="GKW211" s="146"/>
      <c r="GKX211" s="142"/>
      <c r="GKY211" s="143"/>
      <c r="GKZ211" s="144"/>
      <c r="GLA211" s="124"/>
      <c r="GLB211" s="145"/>
      <c r="GLC211" s="145"/>
      <c r="GLD211" s="146"/>
      <c r="GLE211" s="142"/>
      <c r="GLF211" s="143"/>
      <c r="GLG211" s="144"/>
      <c r="GLH211" s="124"/>
      <c r="GLI211" s="145"/>
      <c r="GLJ211" s="145"/>
      <c r="GLK211" s="146"/>
      <c r="GLL211" s="142"/>
      <c r="GLM211" s="143"/>
      <c r="GLN211" s="144"/>
      <c r="GLO211" s="124"/>
      <c r="GLP211" s="145"/>
      <c r="GLQ211" s="145"/>
      <c r="GLR211" s="146"/>
      <c r="GLS211" s="142"/>
      <c r="GLT211" s="143"/>
      <c r="GLU211" s="144"/>
      <c r="GLV211" s="124"/>
      <c r="GLW211" s="145"/>
      <c r="GLX211" s="145"/>
      <c r="GLY211" s="146"/>
      <c r="GLZ211" s="142"/>
      <c r="GMA211" s="143"/>
      <c r="GMB211" s="144"/>
      <c r="GMC211" s="124"/>
      <c r="GMD211" s="145"/>
      <c r="GME211" s="145"/>
      <c r="GMF211" s="146"/>
      <c r="GMG211" s="142"/>
      <c r="GMH211" s="143"/>
      <c r="GMI211" s="144"/>
      <c r="GMJ211" s="124"/>
      <c r="GMK211" s="145"/>
      <c r="GML211" s="145"/>
      <c r="GMM211" s="146"/>
      <c r="GMN211" s="142"/>
      <c r="GMO211" s="143"/>
      <c r="GMP211" s="144"/>
      <c r="GMQ211" s="124"/>
      <c r="GMR211" s="145"/>
      <c r="GMS211" s="145"/>
      <c r="GMT211" s="146"/>
      <c r="GMU211" s="142"/>
      <c r="GMV211" s="143"/>
      <c r="GMW211" s="144"/>
      <c r="GMX211" s="124"/>
      <c r="GMY211" s="145"/>
      <c r="GMZ211" s="145"/>
      <c r="GNA211" s="146"/>
      <c r="GNB211" s="142"/>
      <c r="GNC211" s="143"/>
      <c r="GND211" s="144"/>
      <c r="GNE211" s="124"/>
      <c r="GNF211" s="145"/>
      <c r="GNG211" s="145"/>
      <c r="GNH211" s="146"/>
      <c r="GNI211" s="142"/>
      <c r="GNJ211" s="143"/>
      <c r="GNK211" s="144"/>
      <c r="GNL211" s="124"/>
      <c r="GNM211" s="145"/>
      <c r="GNN211" s="145"/>
      <c r="GNO211" s="146"/>
      <c r="GNP211" s="142"/>
      <c r="GNQ211" s="143"/>
      <c r="GNR211" s="144"/>
      <c r="GNS211" s="124"/>
      <c r="GNT211" s="145"/>
      <c r="GNU211" s="145"/>
      <c r="GNV211" s="146"/>
      <c r="GNW211" s="142"/>
      <c r="GNX211" s="143"/>
      <c r="GNY211" s="144"/>
      <c r="GNZ211" s="124"/>
      <c r="GOA211" s="145"/>
      <c r="GOB211" s="145"/>
      <c r="GOC211" s="146"/>
      <c r="GOD211" s="142"/>
      <c r="GOE211" s="143"/>
      <c r="GOF211" s="144"/>
      <c r="GOG211" s="124"/>
      <c r="GOH211" s="145"/>
      <c r="GOI211" s="145"/>
      <c r="GOJ211" s="146"/>
      <c r="GOK211" s="142"/>
      <c r="GOL211" s="143"/>
      <c r="GOM211" s="144"/>
      <c r="GON211" s="124"/>
      <c r="GOO211" s="145"/>
      <c r="GOP211" s="145"/>
      <c r="GOQ211" s="146"/>
      <c r="GOR211" s="142"/>
      <c r="GOS211" s="143"/>
      <c r="GOT211" s="144"/>
      <c r="GOU211" s="124"/>
      <c r="GOV211" s="145"/>
      <c r="GOW211" s="145"/>
      <c r="GOX211" s="146"/>
      <c r="GOY211" s="142"/>
      <c r="GOZ211" s="143"/>
      <c r="GPA211" s="144"/>
      <c r="GPB211" s="124"/>
      <c r="GPC211" s="145"/>
      <c r="GPD211" s="145"/>
      <c r="GPE211" s="146"/>
      <c r="GPF211" s="142"/>
      <c r="GPG211" s="143"/>
      <c r="GPH211" s="144"/>
      <c r="GPI211" s="124"/>
      <c r="GPJ211" s="145"/>
      <c r="GPK211" s="145"/>
      <c r="GPL211" s="146"/>
      <c r="GPM211" s="142"/>
      <c r="GPN211" s="143"/>
      <c r="GPO211" s="144"/>
      <c r="GPP211" s="124"/>
      <c r="GPQ211" s="145"/>
      <c r="GPR211" s="145"/>
      <c r="GPS211" s="146"/>
      <c r="GPT211" s="142"/>
      <c r="GPU211" s="143"/>
      <c r="GPV211" s="144"/>
      <c r="GPW211" s="124"/>
      <c r="GPX211" s="145"/>
      <c r="GPY211" s="145"/>
      <c r="GPZ211" s="146"/>
      <c r="GQA211" s="142"/>
      <c r="GQB211" s="143"/>
      <c r="GQC211" s="144"/>
      <c r="GQD211" s="124"/>
      <c r="GQE211" s="145"/>
      <c r="GQF211" s="145"/>
      <c r="GQG211" s="146"/>
      <c r="GQH211" s="142"/>
      <c r="GQI211" s="143"/>
      <c r="GQJ211" s="144"/>
      <c r="GQK211" s="124"/>
      <c r="GQL211" s="145"/>
      <c r="GQM211" s="145"/>
      <c r="GQN211" s="146"/>
      <c r="GQO211" s="142"/>
      <c r="GQP211" s="143"/>
      <c r="GQQ211" s="144"/>
      <c r="GQR211" s="124"/>
      <c r="GQS211" s="145"/>
      <c r="GQT211" s="145"/>
      <c r="GQU211" s="146"/>
      <c r="GQV211" s="142"/>
      <c r="GQW211" s="143"/>
      <c r="GQX211" s="144"/>
      <c r="GQY211" s="124"/>
      <c r="GQZ211" s="145"/>
      <c r="GRA211" s="145"/>
      <c r="GRB211" s="146"/>
      <c r="GRC211" s="142"/>
      <c r="GRD211" s="143"/>
      <c r="GRE211" s="144"/>
      <c r="GRF211" s="124"/>
      <c r="GRG211" s="145"/>
      <c r="GRH211" s="145"/>
      <c r="GRI211" s="146"/>
      <c r="GRJ211" s="142"/>
      <c r="GRK211" s="143"/>
      <c r="GRL211" s="144"/>
      <c r="GRM211" s="124"/>
      <c r="GRN211" s="145"/>
      <c r="GRO211" s="145"/>
      <c r="GRP211" s="146"/>
      <c r="GRQ211" s="142"/>
      <c r="GRR211" s="143"/>
      <c r="GRS211" s="144"/>
      <c r="GRT211" s="124"/>
      <c r="GRU211" s="145"/>
      <c r="GRV211" s="145"/>
      <c r="GRW211" s="146"/>
      <c r="GRX211" s="142"/>
      <c r="GRY211" s="143"/>
      <c r="GRZ211" s="144"/>
      <c r="GSA211" s="124"/>
      <c r="GSB211" s="145"/>
      <c r="GSC211" s="145"/>
      <c r="GSD211" s="146"/>
      <c r="GSE211" s="142"/>
      <c r="GSF211" s="143"/>
      <c r="GSG211" s="144"/>
      <c r="GSH211" s="124"/>
      <c r="GSI211" s="145"/>
      <c r="GSJ211" s="145"/>
      <c r="GSK211" s="146"/>
      <c r="GSL211" s="142"/>
      <c r="GSM211" s="143"/>
      <c r="GSN211" s="144"/>
      <c r="GSO211" s="124"/>
      <c r="GSP211" s="145"/>
      <c r="GSQ211" s="145"/>
      <c r="GSR211" s="146"/>
      <c r="GSS211" s="142"/>
      <c r="GST211" s="143"/>
      <c r="GSU211" s="144"/>
      <c r="GSV211" s="124"/>
      <c r="GSW211" s="145"/>
      <c r="GSX211" s="145"/>
      <c r="GSY211" s="146"/>
      <c r="GSZ211" s="142"/>
      <c r="GTA211" s="143"/>
      <c r="GTB211" s="144"/>
      <c r="GTC211" s="124"/>
      <c r="GTD211" s="145"/>
      <c r="GTE211" s="145"/>
      <c r="GTF211" s="146"/>
      <c r="GTG211" s="142"/>
      <c r="GTH211" s="143"/>
      <c r="GTI211" s="144"/>
      <c r="GTJ211" s="124"/>
      <c r="GTK211" s="145"/>
      <c r="GTL211" s="145"/>
      <c r="GTM211" s="146"/>
      <c r="GTN211" s="142"/>
      <c r="GTO211" s="143"/>
      <c r="GTP211" s="144"/>
      <c r="GTQ211" s="124"/>
      <c r="GTR211" s="145"/>
      <c r="GTS211" s="145"/>
      <c r="GTT211" s="146"/>
      <c r="GTU211" s="142"/>
      <c r="GTV211" s="143"/>
      <c r="GTW211" s="144"/>
      <c r="GTX211" s="124"/>
      <c r="GTY211" s="145"/>
      <c r="GTZ211" s="145"/>
      <c r="GUA211" s="146"/>
      <c r="GUB211" s="142"/>
      <c r="GUC211" s="143"/>
      <c r="GUD211" s="144"/>
      <c r="GUE211" s="124"/>
      <c r="GUF211" s="145"/>
      <c r="GUG211" s="145"/>
      <c r="GUH211" s="146"/>
      <c r="GUI211" s="142"/>
      <c r="GUJ211" s="143"/>
      <c r="GUK211" s="144"/>
      <c r="GUL211" s="124"/>
      <c r="GUM211" s="145"/>
      <c r="GUN211" s="145"/>
      <c r="GUO211" s="146"/>
      <c r="GUP211" s="142"/>
      <c r="GUQ211" s="143"/>
      <c r="GUR211" s="144"/>
      <c r="GUS211" s="124"/>
      <c r="GUT211" s="145"/>
      <c r="GUU211" s="145"/>
      <c r="GUV211" s="146"/>
      <c r="GUW211" s="142"/>
      <c r="GUX211" s="143"/>
      <c r="GUY211" s="144"/>
      <c r="GUZ211" s="124"/>
      <c r="GVA211" s="145"/>
      <c r="GVB211" s="145"/>
      <c r="GVC211" s="146"/>
      <c r="GVD211" s="142"/>
      <c r="GVE211" s="143"/>
      <c r="GVF211" s="144"/>
      <c r="GVG211" s="124"/>
      <c r="GVH211" s="145"/>
      <c r="GVI211" s="145"/>
      <c r="GVJ211" s="146"/>
      <c r="GVK211" s="142"/>
      <c r="GVL211" s="143"/>
      <c r="GVM211" s="144"/>
      <c r="GVN211" s="124"/>
      <c r="GVO211" s="145"/>
      <c r="GVP211" s="145"/>
      <c r="GVQ211" s="146"/>
      <c r="GVR211" s="142"/>
      <c r="GVS211" s="143"/>
      <c r="GVT211" s="144"/>
      <c r="GVU211" s="124"/>
      <c r="GVV211" s="145"/>
      <c r="GVW211" s="145"/>
      <c r="GVX211" s="146"/>
      <c r="GVY211" s="142"/>
      <c r="GVZ211" s="143"/>
      <c r="GWA211" s="144"/>
      <c r="GWB211" s="124"/>
      <c r="GWC211" s="145"/>
      <c r="GWD211" s="145"/>
      <c r="GWE211" s="146"/>
      <c r="GWF211" s="142"/>
      <c r="GWG211" s="143"/>
      <c r="GWH211" s="144"/>
      <c r="GWI211" s="124"/>
      <c r="GWJ211" s="145"/>
      <c r="GWK211" s="145"/>
      <c r="GWL211" s="146"/>
      <c r="GWM211" s="142"/>
      <c r="GWN211" s="143"/>
      <c r="GWO211" s="144"/>
      <c r="GWP211" s="124"/>
      <c r="GWQ211" s="145"/>
      <c r="GWR211" s="145"/>
      <c r="GWS211" s="146"/>
      <c r="GWT211" s="142"/>
      <c r="GWU211" s="143"/>
      <c r="GWV211" s="144"/>
      <c r="GWW211" s="124"/>
      <c r="GWX211" s="145"/>
      <c r="GWY211" s="145"/>
      <c r="GWZ211" s="146"/>
      <c r="GXA211" s="142"/>
      <c r="GXB211" s="143"/>
      <c r="GXC211" s="144"/>
      <c r="GXD211" s="124"/>
      <c r="GXE211" s="145"/>
      <c r="GXF211" s="145"/>
      <c r="GXG211" s="146"/>
      <c r="GXH211" s="142"/>
      <c r="GXI211" s="143"/>
      <c r="GXJ211" s="144"/>
      <c r="GXK211" s="124"/>
      <c r="GXL211" s="145"/>
      <c r="GXM211" s="145"/>
      <c r="GXN211" s="146"/>
      <c r="GXO211" s="142"/>
      <c r="GXP211" s="143"/>
      <c r="GXQ211" s="144"/>
      <c r="GXR211" s="124"/>
      <c r="GXS211" s="145"/>
      <c r="GXT211" s="145"/>
      <c r="GXU211" s="146"/>
      <c r="GXV211" s="142"/>
      <c r="GXW211" s="143"/>
      <c r="GXX211" s="144"/>
      <c r="GXY211" s="124"/>
      <c r="GXZ211" s="145"/>
      <c r="GYA211" s="145"/>
      <c r="GYB211" s="146"/>
      <c r="GYC211" s="142"/>
      <c r="GYD211" s="143"/>
      <c r="GYE211" s="144"/>
      <c r="GYF211" s="124"/>
      <c r="GYG211" s="145"/>
      <c r="GYH211" s="145"/>
      <c r="GYI211" s="146"/>
      <c r="GYJ211" s="142"/>
      <c r="GYK211" s="143"/>
      <c r="GYL211" s="144"/>
      <c r="GYM211" s="124"/>
      <c r="GYN211" s="145"/>
      <c r="GYO211" s="145"/>
      <c r="GYP211" s="146"/>
      <c r="GYQ211" s="142"/>
      <c r="GYR211" s="143"/>
      <c r="GYS211" s="144"/>
      <c r="GYT211" s="124"/>
      <c r="GYU211" s="145"/>
      <c r="GYV211" s="145"/>
      <c r="GYW211" s="146"/>
      <c r="GYX211" s="142"/>
      <c r="GYY211" s="143"/>
      <c r="GYZ211" s="144"/>
      <c r="GZA211" s="124"/>
      <c r="GZB211" s="145"/>
      <c r="GZC211" s="145"/>
      <c r="GZD211" s="146"/>
      <c r="GZE211" s="142"/>
      <c r="GZF211" s="143"/>
      <c r="GZG211" s="144"/>
      <c r="GZH211" s="124"/>
      <c r="GZI211" s="145"/>
      <c r="GZJ211" s="145"/>
      <c r="GZK211" s="146"/>
      <c r="GZL211" s="142"/>
      <c r="GZM211" s="143"/>
      <c r="GZN211" s="144"/>
      <c r="GZO211" s="124"/>
      <c r="GZP211" s="145"/>
      <c r="GZQ211" s="145"/>
      <c r="GZR211" s="146"/>
      <c r="GZS211" s="142"/>
      <c r="GZT211" s="143"/>
      <c r="GZU211" s="144"/>
      <c r="GZV211" s="124"/>
      <c r="GZW211" s="145"/>
      <c r="GZX211" s="145"/>
      <c r="GZY211" s="146"/>
      <c r="GZZ211" s="142"/>
      <c r="HAA211" s="143"/>
      <c r="HAB211" s="144"/>
      <c r="HAC211" s="124"/>
      <c r="HAD211" s="145"/>
      <c r="HAE211" s="145"/>
      <c r="HAF211" s="146"/>
      <c r="HAG211" s="142"/>
      <c r="HAH211" s="143"/>
      <c r="HAI211" s="144"/>
      <c r="HAJ211" s="124"/>
      <c r="HAK211" s="145"/>
      <c r="HAL211" s="145"/>
      <c r="HAM211" s="146"/>
      <c r="HAN211" s="142"/>
      <c r="HAO211" s="143"/>
      <c r="HAP211" s="144"/>
      <c r="HAQ211" s="124"/>
      <c r="HAR211" s="145"/>
      <c r="HAS211" s="145"/>
      <c r="HAT211" s="146"/>
      <c r="HAU211" s="142"/>
      <c r="HAV211" s="143"/>
      <c r="HAW211" s="144"/>
      <c r="HAX211" s="124"/>
      <c r="HAY211" s="145"/>
      <c r="HAZ211" s="145"/>
      <c r="HBA211" s="146"/>
      <c r="HBB211" s="142"/>
      <c r="HBC211" s="143"/>
      <c r="HBD211" s="144"/>
      <c r="HBE211" s="124"/>
      <c r="HBF211" s="145"/>
      <c r="HBG211" s="145"/>
      <c r="HBH211" s="146"/>
      <c r="HBI211" s="142"/>
      <c r="HBJ211" s="143"/>
      <c r="HBK211" s="144"/>
      <c r="HBL211" s="124"/>
      <c r="HBM211" s="145"/>
      <c r="HBN211" s="145"/>
      <c r="HBO211" s="146"/>
      <c r="HBP211" s="142"/>
      <c r="HBQ211" s="143"/>
      <c r="HBR211" s="144"/>
      <c r="HBS211" s="124"/>
      <c r="HBT211" s="145"/>
      <c r="HBU211" s="145"/>
      <c r="HBV211" s="146"/>
      <c r="HBW211" s="142"/>
      <c r="HBX211" s="143"/>
      <c r="HBY211" s="144"/>
      <c r="HBZ211" s="124"/>
      <c r="HCA211" s="145"/>
      <c r="HCB211" s="145"/>
      <c r="HCC211" s="146"/>
      <c r="HCD211" s="142"/>
      <c r="HCE211" s="143"/>
      <c r="HCF211" s="144"/>
      <c r="HCG211" s="124"/>
      <c r="HCH211" s="145"/>
      <c r="HCI211" s="145"/>
      <c r="HCJ211" s="146"/>
      <c r="HCK211" s="142"/>
      <c r="HCL211" s="143"/>
      <c r="HCM211" s="144"/>
      <c r="HCN211" s="124"/>
      <c r="HCO211" s="145"/>
      <c r="HCP211" s="145"/>
      <c r="HCQ211" s="146"/>
      <c r="HCR211" s="142"/>
      <c r="HCS211" s="143"/>
      <c r="HCT211" s="144"/>
      <c r="HCU211" s="124"/>
      <c r="HCV211" s="145"/>
      <c r="HCW211" s="145"/>
      <c r="HCX211" s="146"/>
      <c r="HCY211" s="142"/>
      <c r="HCZ211" s="143"/>
      <c r="HDA211" s="144"/>
      <c r="HDB211" s="124"/>
      <c r="HDC211" s="145"/>
      <c r="HDD211" s="145"/>
      <c r="HDE211" s="146"/>
      <c r="HDF211" s="142"/>
      <c r="HDG211" s="143"/>
      <c r="HDH211" s="144"/>
      <c r="HDI211" s="124"/>
      <c r="HDJ211" s="145"/>
      <c r="HDK211" s="145"/>
      <c r="HDL211" s="146"/>
      <c r="HDM211" s="142"/>
      <c r="HDN211" s="143"/>
      <c r="HDO211" s="144"/>
      <c r="HDP211" s="124"/>
      <c r="HDQ211" s="145"/>
      <c r="HDR211" s="145"/>
      <c r="HDS211" s="146"/>
      <c r="HDT211" s="142"/>
      <c r="HDU211" s="143"/>
      <c r="HDV211" s="144"/>
      <c r="HDW211" s="124"/>
      <c r="HDX211" s="145"/>
      <c r="HDY211" s="145"/>
      <c r="HDZ211" s="146"/>
      <c r="HEA211" s="142"/>
      <c r="HEB211" s="143"/>
      <c r="HEC211" s="144"/>
      <c r="HED211" s="124"/>
      <c r="HEE211" s="145"/>
      <c r="HEF211" s="145"/>
      <c r="HEG211" s="146"/>
      <c r="HEH211" s="142"/>
      <c r="HEI211" s="143"/>
      <c r="HEJ211" s="144"/>
      <c r="HEK211" s="124"/>
      <c r="HEL211" s="145"/>
      <c r="HEM211" s="145"/>
      <c r="HEN211" s="146"/>
      <c r="HEO211" s="142"/>
      <c r="HEP211" s="143"/>
      <c r="HEQ211" s="144"/>
      <c r="HER211" s="124"/>
      <c r="HES211" s="145"/>
      <c r="HET211" s="145"/>
      <c r="HEU211" s="146"/>
      <c r="HEV211" s="142"/>
      <c r="HEW211" s="143"/>
      <c r="HEX211" s="144"/>
      <c r="HEY211" s="124"/>
      <c r="HEZ211" s="145"/>
      <c r="HFA211" s="145"/>
      <c r="HFB211" s="146"/>
      <c r="HFC211" s="142"/>
      <c r="HFD211" s="143"/>
      <c r="HFE211" s="144"/>
      <c r="HFF211" s="124"/>
      <c r="HFG211" s="145"/>
      <c r="HFH211" s="145"/>
      <c r="HFI211" s="146"/>
      <c r="HFJ211" s="142"/>
      <c r="HFK211" s="143"/>
      <c r="HFL211" s="144"/>
      <c r="HFM211" s="124"/>
      <c r="HFN211" s="145"/>
      <c r="HFO211" s="145"/>
      <c r="HFP211" s="146"/>
      <c r="HFQ211" s="142"/>
      <c r="HFR211" s="143"/>
      <c r="HFS211" s="144"/>
      <c r="HFT211" s="124"/>
      <c r="HFU211" s="145"/>
      <c r="HFV211" s="145"/>
      <c r="HFW211" s="146"/>
      <c r="HFX211" s="142"/>
      <c r="HFY211" s="143"/>
      <c r="HFZ211" s="144"/>
      <c r="HGA211" s="124"/>
      <c r="HGB211" s="145"/>
      <c r="HGC211" s="145"/>
      <c r="HGD211" s="146"/>
      <c r="HGE211" s="142"/>
      <c r="HGF211" s="143"/>
      <c r="HGG211" s="144"/>
      <c r="HGH211" s="124"/>
      <c r="HGI211" s="145"/>
      <c r="HGJ211" s="145"/>
      <c r="HGK211" s="146"/>
      <c r="HGL211" s="142"/>
      <c r="HGM211" s="143"/>
      <c r="HGN211" s="144"/>
      <c r="HGO211" s="124"/>
      <c r="HGP211" s="145"/>
      <c r="HGQ211" s="145"/>
      <c r="HGR211" s="146"/>
      <c r="HGS211" s="142"/>
      <c r="HGT211" s="143"/>
      <c r="HGU211" s="144"/>
      <c r="HGV211" s="124"/>
      <c r="HGW211" s="145"/>
      <c r="HGX211" s="145"/>
      <c r="HGY211" s="146"/>
      <c r="HGZ211" s="142"/>
      <c r="HHA211" s="143"/>
      <c r="HHB211" s="144"/>
      <c r="HHC211" s="124"/>
      <c r="HHD211" s="145"/>
      <c r="HHE211" s="145"/>
      <c r="HHF211" s="146"/>
      <c r="HHG211" s="142"/>
      <c r="HHH211" s="143"/>
      <c r="HHI211" s="144"/>
      <c r="HHJ211" s="124"/>
      <c r="HHK211" s="145"/>
      <c r="HHL211" s="145"/>
      <c r="HHM211" s="146"/>
      <c r="HHN211" s="142"/>
      <c r="HHO211" s="143"/>
      <c r="HHP211" s="144"/>
      <c r="HHQ211" s="124"/>
      <c r="HHR211" s="145"/>
      <c r="HHS211" s="145"/>
      <c r="HHT211" s="146"/>
      <c r="HHU211" s="142"/>
      <c r="HHV211" s="143"/>
      <c r="HHW211" s="144"/>
      <c r="HHX211" s="124"/>
      <c r="HHY211" s="145"/>
      <c r="HHZ211" s="145"/>
      <c r="HIA211" s="146"/>
      <c r="HIB211" s="142"/>
      <c r="HIC211" s="143"/>
      <c r="HID211" s="144"/>
      <c r="HIE211" s="124"/>
      <c r="HIF211" s="145"/>
      <c r="HIG211" s="145"/>
      <c r="HIH211" s="146"/>
      <c r="HII211" s="142"/>
      <c r="HIJ211" s="143"/>
      <c r="HIK211" s="144"/>
      <c r="HIL211" s="124"/>
      <c r="HIM211" s="145"/>
      <c r="HIN211" s="145"/>
      <c r="HIO211" s="146"/>
      <c r="HIP211" s="142"/>
      <c r="HIQ211" s="143"/>
      <c r="HIR211" s="144"/>
      <c r="HIS211" s="124"/>
      <c r="HIT211" s="145"/>
      <c r="HIU211" s="145"/>
      <c r="HIV211" s="146"/>
      <c r="HIW211" s="142"/>
      <c r="HIX211" s="143"/>
      <c r="HIY211" s="144"/>
      <c r="HIZ211" s="124"/>
      <c r="HJA211" s="145"/>
      <c r="HJB211" s="145"/>
      <c r="HJC211" s="146"/>
      <c r="HJD211" s="142"/>
      <c r="HJE211" s="143"/>
      <c r="HJF211" s="144"/>
      <c r="HJG211" s="124"/>
      <c r="HJH211" s="145"/>
      <c r="HJI211" s="145"/>
      <c r="HJJ211" s="146"/>
      <c r="HJK211" s="142"/>
      <c r="HJL211" s="143"/>
      <c r="HJM211" s="144"/>
      <c r="HJN211" s="124"/>
      <c r="HJO211" s="145"/>
      <c r="HJP211" s="145"/>
      <c r="HJQ211" s="146"/>
      <c r="HJR211" s="142"/>
      <c r="HJS211" s="143"/>
      <c r="HJT211" s="144"/>
      <c r="HJU211" s="124"/>
      <c r="HJV211" s="145"/>
      <c r="HJW211" s="145"/>
      <c r="HJX211" s="146"/>
      <c r="HJY211" s="142"/>
      <c r="HJZ211" s="143"/>
      <c r="HKA211" s="144"/>
      <c r="HKB211" s="124"/>
      <c r="HKC211" s="145"/>
      <c r="HKD211" s="145"/>
      <c r="HKE211" s="146"/>
      <c r="HKF211" s="142"/>
      <c r="HKG211" s="143"/>
      <c r="HKH211" s="144"/>
      <c r="HKI211" s="124"/>
      <c r="HKJ211" s="145"/>
      <c r="HKK211" s="145"/>
      <c r="HKL211" s="146"/>
      <c r="HKM211" s="142"/>
      <c r="HKN211" s="143"/>
      <c r="HKO211" s="144"/>
      <c r="HKP211" s="124"/>
      <c r="HKQ211" s="145"/>
      <c r="HKR211" s="145"/>
      <c r="HKS211" s="146"/>
      <c r="HKT211" s="142"/>
      <c r="HKU211" s="143"/>
      <c r="HKV211" s="144"/>
      <c r="HKW211" s="124"/>
      <c r="HKX211" s="145"/>
      <c r="HKY211" s="145"/>
      <c r="HKZ211" s="146"/>
      <c r="HLA211" s="142"/>
      <c r="HLB211" s="143"/>
      <c r="HLC211" s="144"/>
      <c r="HLD211" s="124"/>
      <c r="HLE211" s="145"/>
      <c r="HLF211" s="145"/>
      <c r="HLG211" s="146"/>
      <c r="HLH211" s="142"/>
      <c r="HLI211" s="143"/>
      <c r="HLJ211" s="144"/>
      <c r="HLK211" s="124"/>
      <c r="HLL211" s="145"/>
      <c r="HLM211" s="145"/>
      <c r="HLN211" s="146"/>
      <c r="HLO211" s="142"/>
      <c r="HLP211" s="143"/>
      <c r="HLQ211" s="144"/>
      <c r="HLR211" s="124"/>
      <c r="HLS211" s="145"/>
      <c r="HLT211" s="145"/>
      <c r="HLU211" s="146"/>
      <c r="HLV211" s="142"/>
      <c r="HLW211" s="143"/>
      <c r="HLX211" s="144"/>
      <c r="HLY211" s="124"/>
      <c r="HLZ211" s="145"/>
      <c r="HMA211" s="145"/>
      <c r="HMB211" s="146"/>
      <c r="HMC211" s="142"/>
      <c r="HMD211" s="143"/>
      <c r="HME211" s="144"/>
      <c r="HMF211" s="124"/>
      <c r="HMG211" s="145"/>
      <c r="HMH211" s="145"/>
      <c r="HMI211" s="146"/>
      <c r="HMJ211" s="142"/>
      <c r="HMK211" s="143"/>
      <c r="HML211" s="144"/>
      <c r="HMM211" s="124"/>
      <c r="HMN211" s="145"/>
      <c r="HMO211" s="145"/>
      <c r="HMP211" s="146"/>
      <c r="HMQ211" s="142"/>
      <c r="HMR211" s="143"/>
      <c r="HMS211" s="144"/>
      <c r="HMT211" s="124"/>
      <c r="HMU211" s="145"/>
      <c r="HMV211" s="145"/>
      <c r="HMW211" s="146"/>
      <c r="HMX211" s="142"/>
      <c r="HMY211" s="143"/>
      <c r="HMZ211" s="144"/>
      <c r="HNA211" s="124"/>
      <c r="HNB211" s="145"/>
      <c r="HNC211" s="145"/>
      <c r="HND211" s="146"/>
      <c r="HNE211" s="142"/>
      <c r="HNF211" s="143"/>
      <c r="HNG211" s="144"/>
      <c r="HNH211" s="124"/>
      <c r="HNI211" s="145"/>
      <c r="HNJ211" s="145"/>
      <c r="HNK211" s="146"/>
      <c r="HNL211" s="142"/>
      <c r="HNM211" s="143"/>
      <c r="HNN211" s="144"/>
      <c r="HNO211" s="124"/>
      <c r="HNP211" s="145"/>
      <c r="HNQ211" s="145"/>
      <c r="HNR211" s="146"/>
      <c r="HNS211" s="142"/>
      <c r="HNT211" s="143"/>
      <c r="HNU211" s="144"/>
      <c r="HNV211" s="124"/>
      <c r="HNW211" s="145"/>
      <c r="HNX211" s="145"/>
      <c r="HNY211" s="146"/>
      <c r="HNZ211" s="142"/>
      <c r="HOA211" s="143"/>
      <c r="HOB211" s="144"/>
      <c r="HOC211" s="124"/>
      <c r="HOD211" s="145"/>
      <c r="HOE211" s="145"/>
      <c r="HOF211" s="146"/>
      <c r="HOG211" s="142"/>
      <c r="HOH211" s="143"/>
      <c r="HOI211" s="144"/>
      <c r="HOJ211" s="124"/>
      <c r="HOK211" s="145"/>
      <c r="HOL211" s="145"/>
      <c r="HOM211" s="146"/>
      <c r="HON211" s="142"/>
      <c r="HOO211" s="143"/>
      <c r="HOP211" s="144"/>
      <c r="HOQ211" s="124"/>
      <c r="HOR211" s="145"/>
      <c r="HOS211" s="145"/>
      <c r="HOT211" s="146"/>
      <c r="HOU211" s="142"/>
      <c r="HOV211" s="143"/>
      <c r="HOW211" s="144"/>
      <c r="HOX211" s="124"/>
      <c r="HOY211" s="145"/>
      <c r="HOZ211" s="145"/>
      <c r="HPA211" s="146"/>
      <c r="HPB211" s="142"/>
      <c r="HPC211" s="143"/>
      <c r="HPD211" s="144"/>
      <c r="HPE211" s="124"/>
      <c r="HPF211" s="145"/>
      <c r="HPG211" s="145"/>
      <c r="HPH211" s="146"/>
      <c r="HPI211" s="142"/>
      <c r="HPJ211" s="143"/>
      <c r="HPK211" s="144"/>
      <c r="HPL211" s="124"/>
      <c r="HPM211" s="145"/>
      <c r="HPN211" s="145"/>
      <c r="HPO211" s="146"/>
      <c r="HPP211" s="142"/>
      <c r="HPQ211" s="143"/>
      <c r="HPR211" s="144"/>
      <c r="HPS211" s="124"/>
      <c r="HPT211" s="145"/>
      <c r="HPU211" s="145"/>
      <c r="HPV211" s="146"/>
      <c r="HPW211" s="142"/>
      <c r="HPX211" s="143"/>
      <c r="HPY211" s="144"/>
      <c r="HPZ211" s="124"/>
      <c r="HQA211" s="145"/>
      <c r="HQB211" s="145"/>
      <c r="HQC211" s="146"/>
      <c r="HQD211" s="142"/>
      <c r="HQE211" s="143"/>
      <c r="HQF211" s="144"/>
      <c r="HQG211" s="124"/>
      <c r="HQH211" s="145"/>
      <c r="HQI211" s="145"/>
      <c r="HQJ211" s="146"/>
      <c r="HQK211" s="142"/>
      <c r="HQL211" s="143"/>
      <c r="HQM211" s="144"/>
      <c r="HQN211" s="124"/>
      <c r="HQO211" s="145"/>
      <c r="HQP211" s="145"/>
      <c r="HQQ211" s="146"/>
      <c r="HQR211" s="142"/>
      <c r="HQS211" s="143"/>
      <c r="HQT211" s="144"/>
      <c r="HQU211" s="124"/>
      <c r="HQV211" s="145"/>
      <c r="HQW211" s="145"/>
      <c r="HQX211" s="146"/>
      <c r="HQY211" s="142"/>
      <c r="HQZ211" s="143"/>
      <c r="HRA211" s="144"/>
      <c r="HRB211" s="124"/>
      <c r="HRC211" s="145"/>
      <c r="HRD211" s="145"/>
      <c r="HRE211" s="146"/>
      <c r="HRF211" s="142"/>
      <c r="HRG211" s="143"/>
      <c r="HRH211" s="144"/>
      <c r="HRI211" s="124"/>
      <c r="HRJ211" s="145"/>
      <c r="HRK211" s="145"/>
      <c r="HRL211" s="146"/>
      <c r="HRM211" s="142"/>
      <c r="HRN211" s="143"/>
      <c r="HRO211" s="144"/>
      <c r="HRP211" s="124"/>
      <c r="HRQ211" s="145"/>
      <c r="HRR211" s="145"/>
      <c r="HRS211" s="146"/>
      <c r="HRT211" s="142"/>
      <c r="HRU211" s="143"/>
      <c r="HRV211" s="144"/>
      <c r="HRW211" s="124"/>
      <c r="HRX211" s="145"/>
      <c r="HRY211" s="145"/>
      <c r="HRZ211" s="146"/>
      <c r="HSA211" s="142"/>
      <c r="HSB211" s="143"/>
      <c r="HSC211" s="144"/>
      <c r="HSD211" s="124"/>
      <c r="HSE211" s="145"/>
      <c r="HSF211" s="145"/>
      <c r="HSG211" s="146"/>
      <c r="HSH211" s="142"/>
      <c r="HSI211" s="143"/>
      <c r="HSJ211" s="144"/>
      <c r="HSK211" s="124"/>
      <c r="HSL211" s="145"/>
      <c r="HSM211" s="145"/>
      <c r="HSN211" s="146"/>
      <c r="HSO211" s="142"/>
      <c r="HSP211" s="143"/>
      <c r="HSQ211" s="144"/>
      <c r="HSR211" s="124"/>
      <c r="HSS211" s="145"/>
      <c r="HST211" s="145"/>
      <c r="HSU211" s="146"/>
      <c r="HSV211" s="142"/>
      <c r="HSW211" s="143"/>
      <c r="HSX211" s="144"/>
      <c r="HSY211" s="124"/>
      <c r="HSZ211" s="145"/>
      <c r="HTA211" s="145"/>
      <c r="HTB211" s="146"/>
      <c r="HTC211" s="142"/>
      <c r="HTD211" s="143"/>
      <c r="HTE211" s="144"/>
      <c r="HTF211" s="124"/>
      <c r="HTG211" s="145"/>
      <c r="HTH211" s="145"/>
      <c r="HTI211" s="146"/>
      <c r="HTJ211" s="142"/>
      <c r="HTK211" s="143"/>
      <c r="HTL211" s="144"/>
      <c r="HTM211" s="124"/>
      <c r="HTN211" s="145"/>
      <c r="HTO211" s="145"/>
      <c r="HTP211" s="146"/>
      <c r="HTQ211" s="142"/>
      <c r="HTR211" s="143"/>
      <c r="HTS211" s="144"/>
      <c r="HTT211" s="124"/>
      <c r="HTU211" s="145"/>
      <c r="HTV211" s="145"/>
      <c r="HTW211" s="146"/>
      <c r="HTX211" s="142"/>
      <c r="HTY211" s="143"/>
      <c r="HTZ211" s="144"/>
      <c r="HUA211" s="124"/>
      <c r="HUB211" s="145"/>
      <c r="HUC211" s="145"/>
      <c r="HUD211" s="146"/>
      <c r="HUE211" s="142"/>
      <c r="HUF211" s="143"/>
      <c r="HUG211" s="144"/>
      <c r="HUH211" s="124"/>
      <c r="HUI211" s="145"/>
      <c r="HUJ211" s="145"/>
      <c r="HUK211" s="146"/>
      <c r="HUL211" s="142"/>
      <c r="HUM211" s="143"/>
      <c r="HUN211" s="144"/>
      <c r="HUO211" s="124"/>
      <c r="HUP211" s="145"/>
      <c r="HUQ211" s="145"/>
      <c r="HUR211" s="146"/>
      <c r="HUS211" s="142"/>
      <c r="HUT211" s="143"/>
      <c r="HUU211" s="144"/>
      <c r="HUV211" s="124"/>
      <c r="HUW211" s="145"/>
      <c r="HUX211" s="145"/>
      <c r="HUY211" s="146"/>
      <c r="HUZ211" s="142"/>
      <c r="HVA211" s="143"/>
      <c r="HVB211" s="144"/>
      <c r="HVC211" s="124"/>
      <c r="HVD211" s="145"/>
      <c r="HVE211" s="145"/>
      <c r="HVF211" s="146"/>
      <c r="HVG211" s="142"/>
      <c r="HVH211" s="143"/>
      <c r="HVI211" s="144"/>
      <c r="HVJ211" s="124"/>
      <c r="HVK211" s="145"/>
      <c r="HVL211" s="145"/>
      <c r="HVM211" s="146"/>
      <c r="HVN211" s="142"/>
      <c r="HVO211" s="143"/>
      <c r="HVP211" s="144"/>
      <c r="HVQ211" s="124"/>
      <c r="HVR211" s="145"/>
      <c r="HVS211" s="145"/>
      <c r="HVT211" s="146"/>
      <c r="HVU211" s="142"/>
      <c r="HVV211" s="143"/>
      <c r="HVW211" s="144"/>
      <c r="HVX211" s="124"/>
      <c r="HVY211" s="145"/>
      <c r="HVZ211" s="145"/>
      <c r="HWA211" s="146"/>
      <c r="HWB211" s="142"/>
      <c r="HWC211" s="143"/>
      <c r="HWD211" s="144"/>
      <c r="HWE211" s="124"/>
      <c r="HWF211" s="145"/>
      <c r="HWG211" s="145"/>
      <c r="HWH211" s="146"/>
      <c r="HWI211" s="142"/>
      <c r="HWJ211" s="143"/>
      <c r="HWK211" s="144"/>
      <c r="HWL211" s="124"/>
      <c r="HWM211" s="145"/>
      <c r="HWN211" s="145"/>
      <c r="HWO211" s="146"/>
      <c r="HWP211" s="142"/>
      <c r="HWQ211" s="143"/>
      <c r="HWR211" s="144"/>
      <c r="HWS211" s="124"/>
      <c r="HWT211" s="145"/>
      <c r="HWU211" s="145"/>
      <c r="HWV211" s="146"/>
      <c r="HWW211" s="142"/>
      <c r="HWX211" s="143"/>
      <c r="HWY211" s="144"/>
      <c r="HWZ211" s="124"/>
      <c r="HXA211" s="145"/>
      <c r="HXB211" s="145"/>
      <c r="HXC211" s="146"/>
      <c r="HXD211" s="142"/>
      <c r="HXE211" s="143"/>
      <c r="HXF211" s="144"/>
      <c r="HXG211" s="124"/>
      <c r="HXH211" s="145"/>
      <c r="HXI211" s="145"/>
      <c r="HXJ211" s="146"/>
      <c r="HXK211" s="142"/>
      <c r="HXL211" s="143"/>
      <c r="HXM211" s="144"/>
      <c r="HXN211" s="124"/>
      <c r="HXO211" s="145"/>
      <c r="HXP211" s="145"/>
      <c r="HXQ211" s="146"/>
      <c r="HXR211" s="142"/>
      <c r="HXS211" s="143"/>
      <c r="HXT211" s="144"/>
      <c r="HXU211" s="124"/>
      <c r="HXV211" s="145"/>
      <c r="HXW211" s="145"/>
      <c r="HXX211" s="146"/>
      <c r="HXY211" s="142"/>
      <c r="HXZ211" s="143"/>
      <c r="HYA211" s="144"/>
      <c r="HYB211" s="124"/>
      <c r="HYC211" s="145"/>
      <c r="HYD211" s="145"/>
      <c r="HYE211" s="146"/>
      <c r="HYF211" s="142"/>
      <c r="HYG211" s="143"/>
      <c r="HYH211" s="144"/>
      <c r="HYI211" s="124"/>
      <c r="HYJ211" s="145"/>
      <c r="HYK211" s="145"/>
      <c r="HYL211" s="146"/>
      <c r="HYM211" s="142"/>
      <c r="HYN211" s="143"/>
      <c r="HYO211" s="144"/>
      <c r="HYP211" s="124"/>
      <c r="HYQ211" s="145"/>
      <c r="HYR211" s="145"/>
      <c r="HYS211" s="146"/>
      <c r="HYT211" s="142"/>
      <c r="HYU211" s="143"/>
      <c r="HYV211" s="144"/>
      <c r="HYW211" s="124"/>
      <c r="HYX211" s="145"/>
      <c r="HYY211" s="145"/>
      <c r="HYZ211" s="146"/>
      <c r="HZA211" s="142"/>
      <c r="HZB211" s="143"/>
      <c r="HZC211" s="144"/>
      <c r="HZD211" s="124"/>
      <c r="HZE211" s="145"/>
      <c r="HZF211" s="145"/>
      <c r="HZG211" s="146"/>
      <c r="HZH211" s="142"/>
      <c r="HZI211" s="143"/>
      <c r="HZJ211" s="144"/>
      <c r="HZK211" s="124"/>
      <c r="HZL211" s="145"/>
      <c r="HZM211" s="145"/>
      <c r="HZN211" s="146"/>
      <c r="HZO211" s="142"/>
      <c r="HZP211" s="143"/>
      <c r="HZQ211" s="144"/>
      <c r="HZR211" s="124"/>
      <c r="HZS211" s="145"/>
      <c r="HZT211" s="145"/>
      <c r="HZU211" s="146"/>
      <c r="HZV211" s="142"/>
      <c r="HZW211" s="143"/>
      <c r="HZX211" s="144"/>
      <c r="HZY211" s="124"/>
      <c r="HZZ211" s="145"/>
      <c r="IAA211" s="145"/>
      <c r="IAB211" s="146"/>
      <c r="IAC211" s="142"/>
      <c r="IAD211" s="143"/>
      <c r="IAE211" s="144"/>
      <c r="IAF211" s="124"/>
      <c r="IAG211" s="145"/>
      <c r="IAH211" s="145"/>
      <c r="IAI211" s="146"/>
      <c r="IAJ211" s="142"/>
      <c r="IAK211" s="143"/>
      <c r="IAL211" s="144"/>
      <c r="IAM211" s="124"/>
      <c r="IAN211" s="145"/>
      <c r="IAO211" s="145"/>
      <c r="IAP211" s="146"/>
      <c r="IAQ211" s="142"/>
      <c r="IAR211" s="143"/>
      <c r="IAS211" s="144"/>
      <c r="IAT211" s="124"/>
      <c r="IAU211" s="145"/>
      <c r="IAV211" s="145"/>
      <c r="IAW211" s="146"/>
      <c r="IAX211" s="142"/>
      <c r="IAY211" s="143"/>
      <c r="IAZ211" s="144"/>
      <c r="IBA211" s="124"/>
      <c r="IBB211" s="145"/>
      <c r="IBC211" s="145"/>
      <c r="IBD211" s="146"/>
      <c r="IBE211" s="142"/>
      <c r="IBF211" s="143"/>
      <c r="IBG211" s="144"/>
      <c r="IBH211" s="124"/>
      <c r="IBI211" s="145"/>
      <c r="IBJ211" s="145"/>
      <c r="IBK211" s="146"/>
      <c r="IBL211" s="142"/>
      <c r="IBM211" s="143"/>
      <c r="IBN211" s="144"/>
      <c r="IBO211" s="124"/>
      <c r="IBP211" s="145"/>
      <c r="IBQ211" s="145"/>
      <c r="IBR211" s="146"/>
      <c r="IBS211" s="142"/>
      <c r="IBT211" s="143"/>
      <c r="IBU211" s="144"/>
      <c r="IBV211" s="124"/>
      <c r="IBW211" s="145"/>
      <c r="IBX211" s="145"/>
      <c r="IBY211" s="146"/>
      <c r="IBZ211" s="142"/>
      <c r="ICA211" s="143"/>
      <c r="ICB211" s="144"/>
      <c r="ICC211" s="124"/>
      <c r="ICD211" s="145"/>
      <c r="ICE211" s="145"/>
      <c r="ICF211" s="146"/>
      <c r="ICG211" s="142"/>
      <c r="ICH211" s="143"/>
      <c r="ICI211" s="144"/>
      <c r="ICJ211" s="124"/>
      <c r="ICK211" s="145"/>
      <c r="ICL211" s="145"/>
      <c r="ICM211" s="146"/>
      <c r="ICN211" s="142"/>
      <c r="ICO211" s="143"/>
      <c r="ICP211" s="144"/>
      <c r="ICQ211" s="124"/>
      <c r="ICR211" s="145"/>
      <c r="ICS211" s="145"/>
      <c r="ICT211" s="146"/>
      <c r="ICU211" s="142"/>
      <c r="ICV211" s="143"/>
      <c r="ICW211" s="144"/>
      <c r="ICX211" s="124"/>
      <c r="ICY211" s="145"/>
      <c r="ICZ211" s="145"/>
      <c r="IDA211" s="146"/>
      <c r="IDB211" s="142"/>
      <c r="IDC211" s="143"/>
      <c r="IDD211" s="144"/>
      <c r="IDE211" s="124"/>
      <c r="IDF211" s="145"/>
      <c r="IDG211" s="145"/>
      <c r="IDH211" s="146"/>
      <c r="IDI211" s="142"/>
      <c r="IDJ211" s="143"/>
      <c r="IDK211" s="144"/>
      <c r="IDL211" s="124"/>
      <c r="IDM211" s="145"/>
      <c r="IDN211" s="145"/>
      <c r="IDO211" s="146"/>
      <c r="IDP211" s="142"/>
      <c r="IDQ211" s="143"/>
      <c r="IDR211" s="144"/>
      <c r="IDS211" s="124"/>
      <c r="IDT211" s="145"/>
      <c r="IDU211" s="145"/>
      <c r="IDV211" s="146"/>
      <c r="IDW211" s="142"/>
      <c r="IDX211" s="143"/>
      <c r="IDY211" s="144"/>
      <c r="IDZ211" s="124"/>
      <c r="IEA211" s="145"/>
      <c r="IEB211" s="145"/>
      <c r="IEC211" s="146"/>
      <c r="IED211" s="142"/>
      <c r="IEE211" s="143"/>
      <c r="IEF211" s="144"/>
      <c r="IEG211" s="124"/>
      <c r="IEH211" s="145"/>
      <c r="IEI211" s="145"/>
      <c r="IEJ211" s="146"/>
      <c r="IEK211" s="142"/>
      <c r="IEL211" s="143"/>
      <c r="IEM211" s="144"/>
      <c r="IEN211" s="124"/>
      <c r="IEO211" s="145"/>
      <c r="IEP211" s="145"/>
      <c r="IEQ211" s="146"/>
      <c r="IER211" s="142"/>
      <c r="IES211" s="143"/>
      <c r="IET211" s="144"/>
      <c r="IEU211" s="124"/>
      <c r="IEV211" s="145"/>
      <c r="IEW211" s="145"/>
      <c r="IEX211" s="146"/>
      <c r="IEY211" s="142"/>
      <c r="IEZ211" s="143"/>
      <c r="IFA211" s="144"/>
      <c r="IFB211" s="124"/>
      <c r="IFC211" s="145"/>
      <c r="IFD211" s="145"/>
      <c r="IFE211" s="146"/>
      <c r="IFF211" s="142"/>
      <c r="IFG211" s="143"/>
      <c r="IFH211" s="144"/>
      <c r="IFI211" s="124"/>
      <c r="IFJ211" s="145"/>
      <c r="IFK211" s="145"/>
      <c r="IFL211" s="146"/>
      <c r="IFM211" s="142"/>
      <c r="IFN211" s="143"/>
      <c r="IFO211" s="144"/>
      <c r="IFP211" s="124"/>
      <c r="IFQ211" s="145"/>
      <c r="IFR211" s="145"/>
      <c r="IFS211" s="146"/>
      <c r="IFT211" s="142"/>
      <c r="IFU211" s="143"/>
      <c r="IFV211" s="144"/>
      <c r="IFW211" s="124"/>
      <c r="IFX211" s="145"/>
      <c r="IFY211" s="145"/>
      <c r="IFZ211" s="146"/>
      <c r="IGA211" s="142"/>
      <c r="IGB211" s="143"/>
      <c r="IGC211" s="144"/>
      <c r="IGD211" s="124"/>
      <c r="IGE211" s="145"/>
      <c r="IGF211" s="145"/>
      <c r="IGG211" s="146"/>
      <c r="IGH211" s="142"/>
      <c r="IGI211" s="143"/>
      <c r="IGJ211" s="144"/>
      <c r="IGK211" s="124"/>
      <c r="IGL211" s="145"/>
      <c r="IGM211" s="145"/>
      <c r="IGN211" s="146"/>
      <c r="IGO211" s="142"/>
      <c r="IGP211" s="143"/>
      <c r="IGQ211" s="144"/>
      <c r="IGR211" s="124"/>
      <c r="IGS211" s="145"/>
      <c r="IGT211" s="145"/>
      <c r="IGU211" s="146"/>
      <c r="IGV211" s="142"/>
      <c r="IGW211" s="143"/>
      <c r="IGX211" s="144"/>
      <c r="IGY211" s="124"/>
      <c r="IGZ211" s="145"/>
      <c r="IHA211" s="145"/>
      <c r="IHB211" s="146"/>
      <c r="IHC211" s="142"/>
      <c r="IHD211" s="143"/>
      <c r="IHE211" s="144"/>
      <c r="IHF211" s="124"/>
      <c r="IHG211" s="145"/>
      <c r="IHH211" s="145"/>
      <c r="IHI211" s="146"/>
      <c r="IHJ211" s="142"/>
      <c r="IHK211" s="143"/>
      <c r="IHL211" s="144"/>
      <c r="IHM211" s="124"/>
      <c r="IHN211" s="145"/>
      <c r="IHO211" s="145"/>
      <c r="IHP211" s="146"/>
      <c r="IHQ211" s="142"/>
      <c r="IHR211" s="143"/>
      <c r="IHS211" s="144"/>
      <c r="IHT211" s="124"/>
      <c r="IHU211" s="145"/>
      <c r="IHV211" s="145"/>
      <c r="IHW211" s="146"/>
      <c r="IHX211" s="142"/>
      <c r="IHY211" s="143"/>
      <c r="IHZ211" s="144"/>
      <c r="IIA211" s="124"/>
      <c r="IIB211" s="145"/>
      <c r="IIC211" s="145"/>
      <c r="IID211" s="146"/>
      <c r="IIE211" s="142"/>
      <c r="IIF211" s="143"/>
      <c r="IIG211" s="144"/>
      <c r="IIH211" s="124"/>
      <c r="III211" s="145"/>
      <c r="IIJ211" s="145"/>
      <c r="IIK211" s="146"/>
      <c r="IIL211" s="142"/>
      <c r="IIM211" s="143"/>
      <c r="IIN211" s="144"/>
      <c r="IIO211" s="124"/>
      <c r="IIP211" s="145"/>
      <c r="IIQ211" s="145"/>
      <c r="IIR211" s="146"/>
      <c r="IIS211" s="142"/>
      <c r="IIT211" s="143"/>
      <c r="IIU211" s="144"/>
      <c r="IIV211" s="124"/>
      <c r="IIW211" s="145"/>
      <c r="IIX211" s="145"/>
      <c r="IIY211" s="146"/>
      <c r="IIZ211" s="142"/>
      <c r="IJA211" s="143"/>
      <c r="IJB211" s="144"/>
      <c r="IJC211" s="124"/>
      <c r="IJD211" s="145"/>
      <c r="IJE211" s="145"/>
      <c r="IJF211" s="146"/>
      <c r="IJG211" s="142"/>
      <c r="IJH211" s="143"/>
      <c r="IJI211" s="144"/>
      <c r="IJJ211" s="124"/>
      <c r="IJK211" s="145"/>
      <c r="IJL211" s="145"/>
      <c r="IJM211" s="146"/>
      <c r="IJN211" s="142"/>
      <c r="IJO211" s="143"/>
      <c r="IJP211" s="144"/>
      <c r="IJQ211" s="124"/>
      <c r="IJR211" s="145"/>
      <c r="IJS211" s="145"/>
      <c r="IJT211" s="146"/>
      <c r="IJU211" s="142"/>
      <c r="IJV211" s="143"/>
      <c r="IJW211" s="144"/>
      <c r="IJX211" s="124"/>
      <c r="IJY211" s="145"/>
      <c r="IJZ211" s="145"/>
      <c r="IKA211" s="146"/>
      <c r="IKB211" s="142"/>
      <c r="IKC211" s="143"/>
      <c r="IKD211" s="144"/>
      <c r="IKE211" s="124"/>
      <c r="IKF211" s="145"/>
      <c r="IKG211" s="145"/>
      <c r="IKH211" s="146"/>
      <c r="IKI211" s="142"/>
      <c r="IKJ211" s="143"/>
      <c r="IKK211" s="144"/>
      <c r="IKL211" s="124"/>
      <c r="IKM211" s="145"/>
      <c r="IKN211" s="145"/>
      <c r="IKO211" s="146"/>
      <c r="IKP211" s="142"/>
      <c r="IKQ211" s="143"/>
      <c r="IKR211" s="144"/>
      <c r="IKS211" s="124"/>
      <c r="IKT211" s="145"/>
      <c r="IKU211" s="145"/>
      <c r="IKV211" s="146"/>
      <c r="IKW211" s="142"/>
      <c r="IKX211" s="143"/>
      <c r="IKY211" s="144"/>
      <c r="IKZ211" s="124"/>
      <c r="ILA211" s="145"/>
      <c r="ILB211" s="145"/>
      <c r="ILC211" s="146"/>
      <c r="ILD211" s="142"/>
      <c r="ILE211" s="143"/>
      <c r="ILF211" s="144"/>
      <c r="ILG211" s="124"/>
      <c r="ILH211" s="145"/>
      <c r="ILI211" s="145"/>
      <c r="ILJ211" s="146"/>
      <c r="ILK211" s="142"/>
      <c r="ILL211" s="143"/>
      <c r="ILM211" s="144"/>
      <c r="ILN211" s="124"/>
      <c r="ILO211" s="145"/>
      <c r="ILP211" s="145"/>
      <c r="ILQ211" s="146"/>
      <c r="ILR211" s="142"/>
      <c r="ILS211" s="143"/>
      <c r="ILT211" s="144"/>
      <c r="ILU211" s="124"/>
      <c r="ILV211" s="145"/>
      <c r="ILW211" s="145"/>
      <c r="ILX211" s="146"/>
      <c r="ILY211" s="142"/>
      <c r="ILZ211" s="143"/>
      <c r="IMA211" s="144"/>
      <c r="IMB211" s="124"/>
      <c r="IMC211" s="145"/>
      <c r="IMD211" s="145"/>
      <c r="IME211" s="146"/>
      <c r="IMF211" s="142"/>
      <c r="IMG211" s="143"/>
      <c r="IMH211" s="144"/>
      <c r="IMI211" s="124"/>
      <c r="IMJ211" s="145"/>
      <c r="IMK211" s="145"/>
      <c r="IML211" s="146"/>
      <c r="IMM211" s="142"/>
      <c r="IMN211" s="143"/>
      <c r="IMO211" s="144"/>
      <c r="IMP211" s="124"/>
      <c r="IMQ211" s="145"/>
      <c r="IMR211" s="145"/>
      <c r="IMS211" s="146"/>
      <c r="IMT211" s="142"/>
      <c r="IMU211" s="143"/>
      <c r="IMV211" s="144"/>
      <c r="IMW211" s="124"/>
      <c r="IMX211" s="145"/>
      <c r="IMY211" s="145"/>
      <c r="IMZ211" s="146"/>
      <c r="INA211" s="142"/>
      <c r="INB211" s="143"/>
      <c r="INC211" s="144"/>
      <c r="IND211" s="124"/>
      <c r="INE211" s="145"/>
      <c r="INF211" s="145"/>
      <c r="ING211" s="146"/>
      <c r="INH211" s="142"/>
      <c r="INI211" s="143"/>
      <c r="INJ211" s="144"/>
      <c r="INK211" s="124"/>
      <c r="INL211" s="145"/>
      <c r="INM211" s="145"/>
      <c r="INN211" s="146"/>
      <c r="INO211" s="142"/>
      <c r="INP211" s="143"/>
      <c r="INQ211" s="144"/>
      <c r="INR211" s="124"/>
      <c r="INS211" s="145"/>
      <c r="INT211" s="145"/>
      <c r="INU211" s="146"/>
      <c r="INV211" s="142"/>
      <c r="INW211" s="143"/>
      <c r="INX211" s="144"/>
      <c r="INY211" s="124"/>
      <c r="INZ211" s="145"/>
      <c r="IOA211" s="145"/>
      <c r="IOB211" s="146"/>
      <c r="IOC211" s="142"/>
      <c r="IOD211" s="143"/>
      <c r="IOE211" s="144"/>
      <c r="IOF211" s="124"/>
      <c r="IOG211" s="145"/>
      <c r="IOH211" s="145"/>
      <c r="IOI211" s="146"/>
      <c r="IOJ211" s="142"/>
      <c r="IOK211" s="143"/>
      <c r="IOL211" s="144"/>
      <c r="IOM211" s="124"/>
      <c r="ION211" s="145"/>
      <c r="IOO211" s="145"/>
      <c r="IOP211" s="146"/>
      <c r="IOQ211" s="142"/>
      <c r="IOR211" s="143"/>
      <c r="IOS211" s="144"/>
      <c r="IOT211" s="124"/>
      <c r="IOU211" s="145"/>
      <c r="IOV211" s="145"/>
      <c r="IOW211" s="146"/>
      <c r="IOX211" s="142"/>
      <c r="IOY211" s="143"/>
      <c r="IOZ211" s="144"/>
      <c r="IPA211" s="124"/>
      <c r="IPB211" s="145"/>
      <c r="IPC211" s="145"/>
      <c r="IPD211" s="146"/>
      <c r="IPE211" s="142"/>
      <c r="IPF211" s="143"/>
      <c r="IPG211" s="144"/>
      <c r="IPH211" s="124"/>
      <c r="IPI211" s="145"/>
      <c r="IPJ211" s="145"/>
      <c r="IPK211" s="146"/>
      <c r="IPL211" s="142"/>
      <c r="IPM211" s="143"/>
      <c r="IPN211" s="144"/>
      <c r="IPO211" s="124"/>
      <c r="IPP211" s="145"/>
      <c r="IPQ211" s="145"/>
      <c r="IPR211" s="146"/>
      <c r="IPS211" s="142"/>
      <c r="IPT211" s="143"/>
      <c r="IPU211" s="144"/>
      <c r="IPV211" s="124"/>
      <c r="IPW211" s="145"/>
      <c r="IPX211" s="145"/>
      <c r="IPY211" s="146"/>
      <c r="IPZ211" s="142"/>
      <c r="IQA211" s="143"/>
      <c r="IQB211" s="144"/>
      <c r="IQC211" s="124"/>
      <c r="IQD211" s="145"/>
      <c r="IQE211" s="145"/>
      <c r="IQF211" s="146"/>
      <c r="IQG211" s="142"/>
      <c r="IQH211" s="143"/>
      <c r="IQI211" s="144"/>
      <c r="IQJ211" s="124"/>
      <c r="IQK211" s="145"/>
      <c r="IQL211" s="145"/>
      <c r="IQM211" s="146"/>
      <c r="IQN211" s="142"/>
      <c r="IQO211" s="143"/>
      <c r="IQP211" s="144"/>
      <c r="IQQ211" s="124"/>
      <c r="IQR211" s="145"/>
      <c r="IQS211" s="145"/>
      <c r="IQT211" s="146"/>
      <c r="IQU211" s="142"/>
      <c r="IQV211" s="143"/>
      <c r="IQW211" s="144"/>
      <c r="IQX211" s="124"/>
      <c r="IQY211" s="145"/>
      <c r="IQZ211" s="145"/>
      <c r="IRA211" s="146"/>
      <c r="IRB211" s="142"/>
      <c r="IRC211" s="143"/>
      <c r="IRD211" s="144"/>
      <c r="IRE211" s="124"/>
      <c r="IRF211" s="145"/>
      <c r="IRG211" s="145"/>
      <c r="IRH211" s="146"/>
      <c r="IRI211" s="142"/>
      <c r="IRJ211" s="143"/>
      <c r="IRK211" s="144"/>
      <c r="IRL211" s="124"/>
      <c r="IRM211" s="145"/>
      <c r="IRN211" s="145"/>
      <c r="IRO211" s="146"/>
      <c r="IRP211" s="142"/>
      <c r="IRQ211" s="143"/>
      <c r="IRR211" s="144"/>
      <c r="IRS211" s="124"/>
      <c r="IRT211" s="145"/>
      <c r="IRU211" s="145"/>
      <c r="IRV211" s="146"/>
      <c r="IRW211" s="142"/>
      <c r="IRX211" s="143"/>
      <c r="IRY211" s="144"/>
      <c r="IRZ211" s="124"/>
      <c r="ISA211" s="145"/>
      <c r="ISB211" s="145"/>
      <c r="ISC211" s="146"/>
      <c r="ISD211" s="142"/>
      <c r="ISE211" s="143"/>
      <c r="ISF211" s="144"/>
      <c r="ISG211" s="124"/>
      <c r="ISH211" s="145"/>
      <c r="ISI211" s="145"/>
      <c r="ISJ211" s="146"/>
      <c r="ISK211" s="142"/>
      <c r="ISL211" s="143"/>
      <c r="ISM211" s="144"/>
      <c r="ISN211" s="124"/>
      <c r="ISO211" s="145"/>
      <c r="ISP211" s="145"/>
      <c r="ISQ211" s="146"/>
      <c r="ISR211" s="142"/>
      <c r="ISS211" s="143"/>
      <c r="IST211" s="144"/>
      <c r="ISU211" s="124"/>
      <c r="ISV211" s="145"/>
      <c r="ISW211" s="145"/>
      <c r="ISX211" s="146"/>
      <c r="ISY211" s="142"/>
      <c r="ISZ211" s="143"/>
      <c r="ITA211" s="144"/>
      <c r="ITB211" s="124"/>
      <c r="ITC211" s="145"/>
      <c r="ITD211" s="145"/>
      <c r="ITE211" s="146"/>
      <c r="ITF211" s="142"/>
      <c r="ITG211" s="143"/>
      <c r="ITH211" s="144"/>
      <c r="ITI211" s="124"/>
      <c r="ITJ211" s="145"/>
      <c r="ITK211" s="145"/>
      <c r="ITL211" s="146"/>
      <c r="ITM211" s="142"/>
      <c r="ITN211" s="143"/>
      <c r="ITO211" s="144"/>
      <c r="ITP211" s="124"/>
      <c r="ITQ211" s="145"/>
      <c r="ITR211" s="145"/>
      <c r="ITS211" s="146"/>
      <c r="ITT211" s="142"/>
      <c r="ITU211" s="143"/>
      <c r="ITV211" s="144"/>
      <c r="ITW211" s="124"/>
      <c r="ITX211" s="145"/>
      <c r="ITY211" s="145"/>
      <c r="ITZ211" s="146"/>
      <c r="IUA211" s="142"/>
      <c r="IUB211" s="143"/>
      <c r="IUC211" s="144"/>
      <c r="IUD211" s="124"/>
      <c r="IUE211" s="145"/>
      <c r="IUF211" s="145"/>
      <c r="IUG211" s="146"/>
      <c r="IUH211" s="142"/>
      <c r="IUI211" s="143"/>
      <c r="IUJ211" s="144"/>
      <c r="IUK211" s="124"/>
      <c r="IUL211" s="145"/>
      <c r="IUM211" s="145"/>
      <c r="IUN211" s="146"/>
      <c r="IUO211" s="142"/>
      <c r="IUP211" s="143"/>
      <c r="IUQ211" s="144"/>
      <c r="IUR211" s="124"/>
      <c r="IUS211" s="145"/>
      <c r="IUT211" s="145"/>
      <c r="IUU211" s="146"/>
      <c r="IUV211" s="142"/>
      <c r="IUW211" s="143"/>
      <c r="IUX211" s="144"/>
      <c r="IUY211" s="124"/>
      <c r="IUZ211" s="145"/>
      <c r="IVA211" s="145"/>
      <c r="IVB211" s="146"/>
      <c r="IVC211" s="142"/>
      <c r="IVD211" s="143"/>
      <c r="IVE211" s="144"/>
      <c r="IVF211" s="124"/>
      <c r="IVG211" s="145"/>
      <c r="IVH211" s="145"/>
      <c r="IVI211" s="146"/>
      <c r="IVJ211" s="142"/>
      <c r="IVK211" s="143"/>
      <c r="IVL211" s="144"/>
      <c r="IVM211" s="124"/>
      <c r="IVN211" s="145"/>
      <c r="IVO211" s="145"/>
      <c r="IVP211" s="146"/>
      <c r="IVQ211" s="142"/>
      <c r="IVR211" s="143"/>
      <c r="IVS211" s="144"/>
      <c r="IVT211" s="124"/>
      <c r="IVU211" s="145"/>
      <c r="IVV211" s="145"/>
      <c r="IVW211" s="146"/>
      <c r="IVX211" s="142"/>
      <c r="IVY211" s="143"/>
      <c r="IVZ211" s="144"/>
      <c r="IWA211" s="124"/>
      <c r="IWB211" s="145"/>
      <c r="IWC211" s="145"/>
      <c r="IWD211" s="146"/>
      <c r="IWE211" s="142"/>
      <c r="IWF211" s="143"/>
      <c r="IWG211" s="144"/>
      <c r="IWH211" s="124"/>
      <c r="IWI211" s="145"/>
      <c r="IWJ211" s="145"/>
      <c r="IWK211" s="146"/>
      <c r="IWL211" s="142"/>
      <c r="IWM211" s="143"/>
      <c r="IWN211" s="144"/>
      <c r="IWO211" s="124"/>
      <c r="IWP211" s="145"/>
      <c r="IWQ211" s="145"/>
      <c r="IWR211" s="146"/>
      <c r="IWS211" s="142"/>
      <c r="IWT211" s="143"/>
      <c r="IWU211" s="144"/>
      <c r="IWV211" s="124"/>
      <c r="IWW211" s="145"/>
      <c r="IWX211" s="145"/>
      <c r="IWY211" s="146"/>
      <c r="IWZ211" s="142"/>
      <c r="IXA211" s="143"/>
      <c r="IXB211" s="144"/>
      <c r="IXC211" s="124"/>
      <c r="IXD211" s="145"/>
      <c r="IXE211" s="145"/>
      <c r="IXF211" s="146"/>
      <c r="IXG211" s="142"/>
      <c r="IXH211" s="143"/>
      <c r="IXI211" s="144"/>
      <c r="IXJ211" s="124"/>
      <c r="IXK211" s="145"/>
      <c r="IXL211" s="145"/>
      <c r="IXM211" s="146"/>
      <c r="IXN211" s="142"/>
      <c r="IXO211" s="143"/>
      <c r="IXP211" s="144"/>
      <c r="IXQ211" s="124"/>
      <c r="IXR211" s="145"/>
      <c r="IXS211" s="145"/>
      <c r="IXT211" s="146"/>
      <c r="IXU211" s="142"/>
      <c r="IXV211" s="143"/>
      <c r="IXW211" s="144"/>
      <c r="IXX211" s="124"/>
      <c r="IXY211" s="145"/>
      <c r="IXZ211" s="145"/>
      <c r="IYA211" s="146"/>
      <c r="IYB211" s="142"/>
      <c r="IYC211" s="143"/>
      <c r="IYD211" s="144"/>
      <c r="IYE211" s="124"/>
      <c r="IYF211" s="145"/>
      <c r="IYG211" s="145"/>
      <c r="IYH211" s="146"/>
      <c r="IYI211" s="142"/>
      <c r="IYJ211" s="143"/>
      <c r="IYK211" s="144"/>
      <c r="IYL211" s="124"/>
      <c r="IYM211" s="145"/>
      <c r="IYN211" s="145"/>
      <c r="IYO211" s="146"/>
      <c r="IYP211" s="142"/>
      <c r="IYQ211" s="143"/>
      <c r="IYR211" s="144"/>
      <c r="IYS211" s="124"/>
      <c r="IYT211" s="145"/>
      <c r="IYU211" s="145"/>
      <c r="IYV211" s="146"/>
      <c r="IYW211" s="142"/>
      <c r="IYX211" s="143"/>
      <c r="IYY211" s="144"/>
      <c r="IYZ211" s="124"/>
      <c r="IZA211" s="145"/>
      <c r="IZB211" s="145"/>
      <c r="IZC211" s="146"/>
      <c r="IZD211" s="142"/>
      <c r="IZE211" s="143"/>
      <c r="IZF211" s="144"/>
      <c r="IZG211" s="124"/>
      <c r="IZH211" s="145"/>
      <c r="IZI211" s="145"/>
      <c r="IZJ211" s="146"/>
      <c r="IZK211" s="142"/>
      <c r="IZL211" s="143"/>
      <c r="IZM211" s="144"/>
      <c r="IZN211" s="124"/>
      <c r="IZO211" s="145"/>
      <c r="IZP211" s="145"/>
      <c r="IZQ211" s="146"/>
      <c r="IZR211" s="142"/>
      <c r="IZS211" s="143"/>
      <c r="IZT211" s="144"/>
      <c r="IZU211" s="124"/>
      <c r="IZV211" s="145"/>
      <c r="IZW211" s="145"/>
      <c r="IZX211" s="146"/>
      <c r="IZY211" s="142"/>
      <c r="IZZ211" s="143"/>
      <c r="JAA211" s="144"/>
      <c r="JAB211" s="124"/>
      <c r="JAC211" s="145"/>
      <c r="JAD211" s="145"/>
      <c r="JAE211" s="146"/>
      <c r="JAF211" s="142"/>
      <c r="JAG211" s="143"/>
      <c r="JAH211" s="144"/>
      <c r="JAI211" s="124"/>
      <c r="JAJ211" s="145"/>
      <c r="JAK211" s="145"/>
      <c r="JAL211" s="146"/>
      <c r="JAM211" s="142"/>
      <c r="JAN211" s="143"/>
      <c r="JAO211" s="144"/>
      <c r="JAP211" s="124"/>
      <c r="JAQ211" s="145"/>
      <c r="JAR211" s="145"/>
      <c r="JAS211" s="146"/>
      <c r="JAT211" s="142"/>
      <c r="JAU211" s="143"/>
      <c r="JAV211" s="144"/>
      <c r="JAW211" s="124"/>
      <c r="JAX211" s="145"/>
      <c r="JAY211" s="145"/>
      <c r="JAZ211" s="146"/>
      <c r="JBA211" s="142"/>
      <c r="JBB211" s="143"/>
      <c r="JBC211" s="144"/>
      <c r="JBD211" s="124"/>
      <c r="JBE211" s="145"/>
      <c r="JBF211" s="145"/>
      <c r="JBG211" s="146"/>
      <c r="JBH211" s="142"/>
      <c r="JBI211" s="143"/>
      <c r="JBJ211" s="144"/>
      <c r="JBK211" s="124"/>
      <c r="JBL211" s="145"/>
      <c r="JBM211" s="145"/>
      <c r="JBN211" s="146"/>
      <c r="JBO211" s="142"/>
      <c r="JBP211" s="143"/>
      <c r="JBQ211" s="144"/>
      <c r="JBR211" s="124"/>
      <c r="JBS211" s="145"/>
      <c r="JBT211" s="145"/>
      <c r="JBU211" s="146"/>
      <c r="JBV211" s="142"/>
      <c r="JBW211" s="143"/>
      <c r="JBX211" s="144"/>
      <c r="JBY211" s="124"/>
      <c r="JBZ211" s="145"/>
      <c r="JCA211" s="145"/>
      <c r="JCB211" s="146"/>
      <c r="JCC211" s="142"/>
      <c r="JCD211" s="143"/>
      <c r="JCE211" s="144"/>
      <c r="JCF211" s="124"/>
      <c r="JCG211" s="145"/>
      <c r="JCH211" s="145"/>
      <c r="JCI211" s="146"/>
      <c r="JCJ211" s="142"/>
      <c r="JCK211" s="143"/>
      <c r="JCL211" s="144"/>
      <c r="JCM211" s="124"/>
      <c r="JCN211" s="145"/>
      <c r="JCO211" s="145"/>
      <c r="JCP211" s="146"/>
      <c r="JCQ211" s="142"/>
      <c r="JCR211" s="143"/>
      <c r="JCS211" s="144"/>
      <c r="JCT211" s="124"/>
      <c r="JCU211" s="145"/>
      <c r="JCV211" s="145"/>
      <c r="JCW211" s="146"/>
      <c r="JCX211" s="142"/>
      <c r="JCY211" s="143"/>
      <c r="JCZ211" s="144"/>
      <c r="JDA211" s="124"/>
      <c r="JDB211" s="145"/>
      <c r="JDC211" s="145"/>
      <c r="JDD211" s="146"/>
      <c r="JDE211" s="142"/>
      <c r="JDF211" s="143"/>
      <c r="JDG211" s="144"/>
      <c r="JDH211" s="124"/>
      <c r="JDI211" s="145"/>
      <c r="JDJ211" s="145"/>
      <c r="JDK211" s="146"/>
      <c r="JDL211" s="142"/>
      <c r="JDM211" s="143"/>
      <c r="JDN211" s="144"/>
      <c r="JDO211" s="124"/>
      <c r="JDP211" s="145"/>
      <c r="JDQ211" s="145"/>
      <c r="JDR211" s="146"/>
      <c r="JDS211" s="142"/>
      <c r="JDT211" s="143"/>
      <c r="JDU211" s="144"/>
      <c r="JDV211" s="124"/>
      <c r="JDW211" s="145"/>
      <c r="JDX211" s="145"/>
      <c r="JDY211" s="146"/>
      <c r="JDZ211" s="142"/>
      <c r="JEA211" s="143"/>
      <c r="JEB211" s="144"/>
      <c r="JEC211" s="124"/>
      <c r="JED211" s="145"/>
      <c r="JEE211" s="145"/>
      <c r="JEF211" s="146"/>
      <c r="JEG211" s="142"/>
      <c r="JEH211" s="143"/>
      <c r="JEI211" s="144"/>
      <c r="JEJ211" s="124"/>
      <c r="JEK211" s="145"/>
      <c r="JEL211" s="145"/>
      <c r="JEM211" s="146"/>
      <c r="JEN211" s="142"/>
      <c r="JEO211" s="143"/>
      <c r="JEP211" s="144"/>
      <c r="JEQ211" s="124"/>
      <c r="JER211" s="145"/>
      <c r="JES211" s="145"/>
      <c r="JET211" s="146"/>
      <c r="JEU211" s="142"/>
      <c r="JEV211" s="143"/>
      <c r="JEW211" s="144"/>
      <c r="JEX211" s="124"/>
      <c r="JEY211" s="145"/>
      <c r="JEZ211" s="145"/>
      <c r="JFA211" s="146"/>
      <c r="JFB211" s="142"/>
      <c r="JFC211" s="143"/>
      <c r="JFD211" s="144"/>
      <c r="JFE211" s="124"/>
      <c r="JFF211" s="145"/>
      <c r="JFG211" s="145"/>
      <c r="JFH211" s="146"/>
      <c r="JFI211" s="142"/>
      <c r="JFJ211" s="143"/>
      <c r="JFK211" s="144"/>
      <c r="JFL211" s="124"/>
      <c r="JFM211" s="145"/>
      <c r="JFN211" s="145"/>
      <c r="JFO211" s="146"/>
      <c r="JFP211" s="142"/>
      <c r="JFQ211" s="143"/>
      <c r="JFR211" s="144"/>
      <c r="JFS211" s="124"/>
      <c r="JFT211" s="145"/>
      <c r="JFU211" s="145"/>
      <c r="JFV211" s="146"/>
      <c r="JFW211" s="142"/>
      <c r="JFX211" s="143"/>
      <c r="JFY211" s="144"/>
      <c r="JFZ211" s="124"/>
      <c r="JGA211" s="145"/>
      <c r="JGB211" s="145"/>
      <c r="JGC211" s="146"/>
      <c r="JGD211" s="142"/>
      <c r="JGE211" s="143"/>
      <c r="JGF211" s="144"/>
      <c r="JGG211" s="124"/>
      <c r="JGH211" s="145"/>
      <c r="JGI211" s="145"/>
      <c r="JGJ211" s="146"/>
      <c r="JGK211" s="142"/>
      <c r="JGL211" s="143"/>
      <c r="JGM211" s="144"/>
      <c r="JGN211" s="124"/>
      <c r="JGO211" s="145"/>
      <c r="JGP211" s="145"/>
      <c r="JGQ211" s="146"/>
      <c r="JGR211" s="142"/>
      <c r="JGS211" s="143"/>
      <c r="JGT211" s="144"/>
      <c r="JGU211" s="124"/>
      <c r="JGV211" s="145"/>
      <c r="JGW211" s="145"/>
      <c r="JGX211" s="146"/>
      <c r="JGY211" s="142"/>
      <c r="JGZ211" s="143"/>
      <c r="JHA211" s="144"/>
      <c r="JHB211" s="124"/>
      <c r="JHC211" s="145"/>
      <c r="JHD211" s="145"/>
      <c r="JHE211" s="146"/>
      <c r="JHF211" s="142"/>
      <c r="JHG211" s="143"/>
      <c r="JHH211" s="144"/>
      <c r="JHI211" s="124"/>
      <c r="JHJ211" s="145"/>
      <c r="JHK211" s="145"/>
      <c r="JHL211" s="146"/>
      <c r="JHM211" s="142"/>
      <c r="JHN211" s="143"/>
      <c r="JHO211" s="144"/>
      <c r="JHP211" s="124"/>
      <c r="JHQ211" s="145"/>
      <c r="JHR211" s="145"/>
      <c r="JHS211" s="146"/>
      <c r="JHT211" s="142"/>
      <c r="JHU211" s="143"/>
      <c r="JHV211" s="144"/>
      <c r="JHW211" s="124"/>
      <c r="JHX211" s="145"/>
      <c r="JHY211" s="145"/>
      <c r="JHZ211" s="146"/>
      <c r="JIA211" s="142"/>
      <c r="JIB211" s="143"/>
      <c r="JIC211" s="144"/>
      <c r="JID211" s="124"/>
      <c r="JIE211" s="145"/>
      <c r="JIF211" s="145"/>
      <c r="JIG211" s="146"/>
      <c r="JIH211" s="142"/>
      <c r="JII211" s="143"/>
      <c r="JIJ211" s="144"/>
      <c r="JIK211" s="124"/>
      <c r="JIL211" s="145"/>
      <c r="JIM211" s="145"/>
      <c r="JIN211" s="146"/>
      <c r="JIO211" s="142"/>
      <c r="JIP211" s="143"/>
      <c r="JIQ211" s="144"/>
      <c r="JIR211" s="124"/>
      <c r="JIS211" s="145"/>
      <c r="JIT211" s="145"/>
      <c r="JIU211" s="146"/>
      <c r="JIV211" s="142"/>
      <c r="JIW211" s="143"/>
      <c r="JIX211" s="144"/>
      <c r="JIY211" s="124"/>
      <c r="JIZ211" s="145"/>
      <c r="JJA211" s="145"/>
      <c r="JJB211" s="146"/>
      <c r="JJC211" s="142"/>
      <c r="JJD211" s="143"/>
      <c r="JJE211" s="144"/>
      <c r="JJF211" s="124"/>
      <c r="JJG211" s="145"/>
      <c r="JJH211" s="145"/>
      <c r="JJI211" s="146"/>
      <c r="JJJ211" s="142"/>
      <c r="JJK211" s="143"/>
      <c r="JJL211" s="144"/>
      <c r="JJM211" s="124"/>
      <c r="JJN211" s="145"/>
      <c r="JJO211" s="145"/>
      <c r="JJP211" s="146"/>
      <c r="JJQ211" s="142"/>
      <c r="JJR211" s="143"/>
      <c r="JJS211" s="144"/>
      <c r="JJT211" s="124"/>
      <c r="JJU211" s="145"/>
      <c r="JJV211" s="145"/>
      <c r="JJW211" s="146"/>
      <c r="JJX211" s="142"/>
      <c r="JJY211" s="143"/>
      <c r="JJZ211" s="144"/>
      <c r="JKA211" s="124"/>
      <c r="JKB211" s="145"/>
      <c r="JKC211" s="145"/>
      <c r="JKD211" s="146"/>
      <c r="JKE211" s="142"/>
      <c r="JKF211" s="143"/>
      <c r="JKG211" s="144"/>
      <c r="JKH211" s="124"/>
      <c r="JKI211" s="145"/>
      <c r="JKJ211" s="145"/>
      <c r="JKK211" s="146"/>
      <c r="JKL211" s="142"/>
      <c r="JKM211" s="143"/>
      <c r="JKN211" s="144"/>
      <c r="JKO211" s="124"/>
      <c r="JKP211" s="145"/>
      <c r="JKQ211" s="145"/>
      <c r="JKR211" s="146"/>
      <c r="JKS211" s="142"/>
      <c r="JKT211" s="143"/>
      <c r="JKU211" s="144"/>
      <c r="JKV211" s="124"/>
      <c r="JKW211" s="145"/>
      <c r="JKX211" s="145"/>
      <c r="JKY211" s="146"/>
      <c r="JKZ211" s="142"/>
      <c r="JLA211" s="143"/>
      <c r="JLB211" s="144"/>
      <c r="JLC211" s="124"/>
      <c r="JLD211" s="145"/>
      <c r="JLE211" s="145"/>
      <c r="JLF211" s="146"/>
      <c r="JLG211" s="142"/>
      <c r="JLH211" s="143"/>
      <c r="JLI211" s="144"/>
      <c r="JLJ211" s="124"/>
      <c r="JLK211" s="145"/>
      <c r="JLL211" s="145"/>
      <c r="JLM211" s="146"/>
      <c r="JLN211" s="142"/>
      <c r="JLO211" s="143"/>
      <c r="JLP211" s="144"/>
      <c r="JLQ211" s="124"/>
      <c r="JLR211" s="145"/>
      <c r="JLS211" s="145"/>
      <c r="JLT211" s="146"/>
      <c r="JLU211" s="142"/>
      <c r="JLV211" s="143"/>
      <c r="JLW211" s="144"/>
      <c r="JLX211" s="124"/>
      <c r="JLY211" s="145"/>
      <c r="JLZ211" s="145"/>
      <c r="JMA211" s="146"/>
      <c r="JMB211" s="142"/>
      <c r="JMC211" s="143"/>
      <c r="JMD211" s="144"/>
      <c r="JME211" s="124"/>
      <c r="JMF211" s="145"/>
      <c r="JMG211" s="145"/>
      <c r="JMH211" s="146"/>
      <c r="JMI211" s="142"/>
      <c r="JMJ211" s="143"/>
      <c r="JMK211" s="144"/>
      <c r="JML211" s="124"/>
      <c r="JMM211" s="145"/>
      <c r="JMN211" s="145"/>
      <c r="JMO211" s="146"/>
      <c r="JMP211" s="142"/>
      <c r="JMQ211" s="143"/>
      <c r="JMR211" s="144"/>
      <c r="JMS211" s="124"/>
      <c r="JMT211" s="145"/>
      <c r="JMU211" s="145"/>
      <c r="JMV211" s="146"/>
      <c r="JMW211" s="142"/>
      <c r="JMX211" s="143"/>
      <c r="JMY211" s="144"/>
      <c r="JMZ211" s="124"/>
      <c r="JNA211" s="145"/>
      <c r="JNB211" s="145"/>
      <c r="JNC211" s="146"/>
      <c r="JND211" s="142"/>
      <c r="JNE211" s="143"/>
      <c r="JNF211" s="144"/>
      <c r="JNG211" s="124"/>
      <c r="JNH211" s="145"/>
      <c r="JNI211" s="145"/>
      <c r="JNJ211" s="146"/>
      <c r="JNK211" s="142"/>
      <c r="JNL211" s="143"/>
      <c r="JNM211" s="144"/>
      <c r="JNN211" s="124"/>
      <c r="JNO211" s="145"/>
      <c r="JNP211" s="145"/>
      <c r="JNQ211" s="146"/>
      <c r="JNR211" s="142"/>
      <c r="JNS211" s="143"/>
      <c r="JNT211" s="144"/>
      <c r="JNU211" s="124"/>
      <c r="JNV211" s="145"/>
      <c r="JNW211" s="145"/>
      <c r="JNX211" s="146"/>
      <c r="JNY211" s="142"/>
      <c r="JNZ211" s="143"/>
      <c r="JOA211" s="144"/>
      <c r="JOB211" s="124"/>
      <c r="JOC211" s="145"/>
      <c r="JOD211" s="145"/>
      <c r="JOE211" s="146"/>
      <c r="JOF211" s="142"/>
      <c r="JOG211" s="143"/>
      <c r="JOH211" s="144"/>
      <c r="JOI211" s="124"/>
      <c r="JOJ211" s="145"/>
      <c r="JOK211" s="145"/>
      <c r="JOL211" s="146"/>
      <c r="JOM211" s="142"/>
      <c r="JON211" s="143"/>
      <c r="JOO211" s="144"/>
      <c r="JOP211" s="124"/>
      <c r="JOQ211" s="145"/>
      <c r="JOR211" s="145"/>
      <c r="JOS211" s="146"/>
      <c r="JOT211" s="142"/>
      <c r="JOU211" s="143"/>
      <c r="JOV211" s="144"/>
      <c r="JOW211" s="124"/>
      <c r="JOX211" s="145"/>
      <c r="JOY211" s="145"/>
      <c r="JOZ211" s="146"/>
      <c r="JPA211" s="142"/>
      <c r="JPB211" s="143"/>
      <c r="JPC211" s="144"/>
      <c r="JPD211" s="124"/>
      <c r="JPE211" s="145"/>
      <c r="JPF211" s="145"/>
      <c r="JPG211" s="146"/>
      <c r="JPH211" s="142"/>
      <c r="JPI211" s="143"/>
      <c r="JPJ211" s="144"/>
      <c r="JPK211" s="124"/>
      <c r="JPL211" s="145"/>
      <c r="JPM211" s="145"/>
      <c r="JPN211" s="146"/>
      <c r="JPO211" s="142"/>
      <c r="JPP211" s="143"/>
      <c r="JPQ211" s="144"/>
      <c r="JPR211" s="124"/>
      <c r="JPS211" s="145"/>
      <c r="JPT211" s="145"/>
      <c r="JPU211" s="146"/>
      <c r="JPV211" s="142"/>
      <c r="JPW211" s="143"/>
      <c r="JPX211" s="144"/>
      <c r="JPY211" s="124"/>
      <c r="JPZ211" s="145"/>
      <c r="JQA211" s="145"/>
      <c r="JQB211" s="146"/>
      <c r="JQC211" s="142"/>
      <c r="JQD211" s="143"/>
      <c r="JQE211" s="144"/>
      <c r="JQF211" s="124"/>
      <c r="JQG211" s="145"/>
      <c r="JQH211" s="145"/>
      <c r="JQI211" s="146"/>
      <c r="JQJ211" s="142"/>
      <c r="JQK211" s="143"/>
      <c r="JQL211" s="144"/>
      <c r="JQM211" s="124"/>
      <c r="JQN211" s="145"/>
      <c r="JQO211" s="145"/>
      <c r="JQP211" s="146"/>
      <c r="JQQ211" s="142"/>
      <c r="JQR211" s="143"/>
      <c r="JQS211" s="144"/>
      <c r="JQT211" s="124"/>
      <c r="JQU211" s="145"/>
      <c r="JQV211" s="145"/>
      <c r="JQW211" s="146"/>
      <c r="JQX211" s="142"/>
      <c r="JQY211" s="143"/>
      <c r="JQZ211" s="144"/>
      <c r="JRA211" s="124"/>
      <c r="JRB211" s="145"/>
      <c r="JRC211" s="145"/>
      <c r="JRD211" s="146"/>
      <c r="JRE211" s="142"/>
      <c r="JRF211" s="143"/>
      <c r="JRG211" s="144"/>
      <c r="JRH211" s="124"/>
      <c r="JRI211" s="145"/>
      <c r="JRJ211" s="145"/>
      <c r="JRK211" s="146"/>
      <c r="JRL211" s="142"/>
      <c r="JRM211" s="143"/>
      <c r="JRN211" s="144"/>
      <c r="JRO211" s="124"/>
      <c r="JRP211" s="145"/>
      <c r="JRQ211" s="145"/>
      <c r="JRR211" s="146"/>
      <c r="JRS211" s="142"/>
      <c r="JRT211" s="143"/>
      <c r="JRU211" s="144"/>
      <c r="JRV211" s="124"/>
      <c r="JRW211" s="145"/>
      <c r="JRX211" s="145"/>
      <c r="JRY211" s="146"/>
      <c r="JRZ211" s="142"/>
      <c r="JSA211" s="143"/>
      <c r="JSB211" s="144"/>
      <c r="JSC211" s="124"/>
      <c r="JSD211" s="145"/>
      <c r="JSE211" s="145"/>
      <c r="JSF211" s="146"/>
      <c r="JSG211" s="142"/>
      <c r="JSH211" s="143"/>
      <c r="JSI211" s="144"/>
      <c r="JSJ211" s="124"/>
      <c r="JSK211" s="145"/>
      <c r="JSL211" s="145"/>
      <c r="JSM211" s="146"/>
      <c r="JSN211" s="142"/>
      <c r="JSO211" s="143"/>
      <c r="JSP211" s="144"/>
      <c r="JSQ211" s="124"/>
      <c r="JSR211" s="145"/>
      <c r="JSS211" s="145"/>
      <c r="JST211" s="146"/>
      <c r="JSU211" s="142"/>
      <c r="JSV211" s="143"/>
      <c r="JSW211" s="144"/>
      <c r="JSX211" s="124"/>
      <c r="JSY211" s="145"/>
      <c r="JSZ211" s="145"/>
      <c r="JTA211" s="146"/>
      <c r="JTB211" s="142"/>
      <c r="JTC211" s="143"/>
      <c r="JTD211" s="144"/>
      <c r="JTE211" s="124"/>
      <c r="JTF211" s="145"/>
      <c r="JTG211" s="145"/>
      <c r="JTH211" s="146"/>
      <c r="JTI211" s="142"/>
      <c r="JTJ211" s="143"/>
      <c r="JTK211" s="144"/>
      <c r="JTL211" s="124"/>
      <c r="JTM211" s="145"/>
      <c r="JTN211" s="145"/>
      <c r="JTO211" s="146"/>
      <c r="JTP211" s="142"/>
      <c r="JTQ211" s="143"/>
      <c r="JTR211" s="144"/>
      <c r="JTS211" s="124"/>
      <c r="JTT211" s="145"/>
      <c r="JTU211" s="145"/>
      <c r="JTV211" s="146"/>
      <c r="JTW211" s="142"/>
      <c r="JTX211" s="143"/>
      <c r="JTY211" s="144"/>
      <c r="JTZ211" s="124"/>
      <c r="JUA211" s="145"/>
      <c r="JUB211" s="145"/>
      <c r="JUC211" s="146"/>
      <c r="JUD211" s="142"/>
      <c r="JUE211" s="143"/>
      <c r="JUF211" s="144"/>
      <c r="JUG211" s="124"/>
      <c r="JUH211" s="145"/>
      <c r="JUI211" s="145"/>
      <c r="JUJ211" s="146"/>
      <c r="JUK211" s="142"/>
      <c r="JUL211" s="143"/>
      <c r="JUM211" s="144"/>
      <c r="JUN211" s="124"/>
      <c r="JUO211" s="145"/>
      <c r="JUP211" s="145"/>
      <c r="JUQ211" s="146"/>
      <c r="JUR211" s="142"/>
      <c r="JUS211" s="143"/>
      <c r="JUT211" s="144"/>
      <c r="JUU211" s="124"/>
      <c r="JUV211" s="145"/>
      <c r="JUW211" s="145"/>
      <c r="JUX211" s="146"/>
      <c r="JUY211" s="142"/>
      <c r="JUZ211" s="143"/>
      <c r="JVA211" s="144"/>
      <c r="JVB211" s="124"/>
      <c r="JVC211" s="145"/>
      <c r="JVD211" s="145"/>
      <c r="JVE211" s="146"/>
      <c r="JVF211" s="142"/>
      <c r="JVG211" s="143"/>
      <c r="JVH211" s="144"/>
      <c r="JVI211" s="124"/>
      <c r="JVJ211" s="145"/>
      <c r="JVK211" s="145"/>
      <c r="JVL211" s="146"/>
      <c r="JVM211" s="142"/>
      <c r="JVN211" s="143"/>
      <c r="JVO211" s="144"/>
      <c r="JVP211" s="124"/>
      <c r="JVQ211" s="145"/>
      <c r="JVR211" s="145"/>
      <c r="JVS211" s="146"/>
      <c r="JVT211" s="142"/>
      <c r="JVU211" s="143"/>
      <c r="JVV211" s="144"/>
      <c r="JVW211" s="124"/>
      <c r="JVX211" s="145"/>
      <c r="JVY211" s="145"/>
      <c r="JVZ211" s="146"/>
      <c r="JWA211" s="142"/>
      <c r="JWB211" s="143"/>
      <c r="JWC211" s="144"/>
      <c r="JWD211" s="124"/>
      <c r="JWE211" s="145"/>
      <c r="JWF211" s="145"/>
      <c r="JWG211" s="146"/>
      <c r="JWH211" s="142"/>
      <c r="JWI211" s="143"/>
      <c r="JWJ211" s="144"/>
      <c r="JWK211" s="124"/>
      <c r="JWL211" s="145"/>
      <c r="JWM211" s="145"/>
      <c r="JWN211" s="146"/>
      <c r="JWO211" s="142"/>
      <c r="JWP211" s="143"/>
      <c r="JWQ211" s="144"/>
      <c r="JWR211" s="124"/>
      <c r="JWS211" s="145"/>
      <c r="JWT211" s="145"/>
      <c r="JWU211" s="146"/>
      <c r="JWV211" s="142"/>
      <c r="JWW211" s="143"/>
      <c r="JWX211" s="144"/>
      <c r="JWY211" s="124"/>
      <c r="JWZ211" s="145"/>
      <c r="JXA211" s="145"/>
      <c r="JXB211" s="146"/>
      <c r="JXC211" s="142"/>
      <c r="JXD211" s="143"/>
      <c r="JXE211" s="144"/>
      <c r="JXF211" s="124"/>
      <c r="JXG211" s="145"/>
      <c r="JXH211" s="145"/>
      <c r="JXI211" s="146"/>
      <c r="JXJ211" s="142"/>
      <c r="JXK211" s="143"/>
      <c r="JXL211" s="144"/>
      <c r="JXM211" s="124"/>
      <c r="JXN211" s="145"/>
      <c r="JXO211" s="145"/>
      <c r="JXP211" s="146"/>
      <c r="JXQ211" s="142"/>
      <c r="JXR211" s="143"/>
      <c r="JXS211" s="144"/>
      <c r="JXT211" s="124"/>
      <c r="JXU211" s="145"/>
      <c r="JXV211" s="145"/>
      <c r="JXW211" s="146"/>
      <c r="JXX211" s="142"/>
      <c r="JXY211" s="143"/>
      <c r="JXZ211" s="144"/>
      <c r="JYA211" s="124"/>
      <c r="JYB211" s="145"/>
      <c r="JYC211" s="145"/>
      <c r="JYD211" s="146"/>
      <c r="JYE211" s="142"/>
      <c r="JYF211" s="143"/>
      <c r="JYG211" s="144"/>
      <c r="JYH211" s="124"/>
      <c r="JYI211" s="145"/>
      <c r="JYJ211" s="145"/>
      <c r="JYK211" s="146"/>
      <c r="JYL211" s="142"/>
      <c r="JYM211" s="143"/>
      <c r="JYN211" s="144"/>
      <c r="JYO211" s="124"/>
      <c r="JYP211" s="145"/>
      <c r="JYQ211" s="145"/>
      <c r="JYR211" s="146"/>
      <c r="JYS211" s="142"/>
      <c r="JYT211" s="143"/>
      <c r="JYU211" s="144"/>
      <c r="JYV211" s="124"/>
      <c r="JYW211" s="145"/>
      <c r="JYX211" s="145"/>
      <c r="JYY211" s="146"/>
      <c r="JYZ211" s="142"/>
      <c r="JZA211" s="143"/>
      <c r="JZB211" s="144"/>
      <c r="JZC211" s="124"/>
      <c r="JZD211" s="145"/>
      <c r="JZE211" s="145"/>
      <c r="JZF211" s="146"/>
      <c r="JZG211" s="142"/>
      <c r="JZH211" s="143"/>
      <c r="JZI211" s="144"/>
      <c r="JZJ211" s="124"/>
      <c r="JZK211" s="145"/>
      <c r="JZL211" s="145"/>
      <c r="JZM211" s="146"/>
      <c r="JZN211" s="142"/>
      <c r="JZO211" s="143"/>
      <c r="JZP211" s="144"/>
      <c r="JZQ211" s="124"/>
      <c r="JZR211" s="145"/>
      <c r="JZS211" s="145"/>
      <c r="JZT211" s="146"/>
      <c r="JZU211" s="142"/>
      <c r="JZV211" s="143"/>
      <c r="JZW211" s="144"/>
      <c r="JZX211" s="124"/>
      <c r="JZY211" s="145"/>
      <c r="JZZ211" s="145"/>
      <c r="KAA211" s="146"/>
      <c r="KAB211" s="142"/>
      <c r="KAC211" s="143"/>
      <c r="KAD211" s="144"/>
      <c r="KAE211" s="124"/>
      <c r="KAF211" s="145"/>
      <c r="KAG211" s="145"/>
      <c r="KAH211" s="146"/>
      <c r="KAI211" s="142"/>
      <c r="KAJ211" s="143"/>
      <c r="KAK211" s="144"/>
      <c r="KAL211" s="124"/>
      <c r="KAM211" s="145"/>
      <c r="KAN211" s="145"/>
      <c r="KAO211" s="146"/>
      <c r="KAP211" s="142"/>
      <c r="KAQ211" s="143"/>
      <c r="KAR211" s="144"/>
      <c r="KAS211" s="124"/>
      <c r="KAT211" s="145"/>
      <c r="KAU211" s="145"/>
      <c r="KAV211" s="146"/>
      <c r="KAW211" s="142"/>
      <c r="KAX211" s="143"/>
      <c r="KAY211" s="144"/>
      <c r="KAZ211" s="124"/>
      <c r="KBA211" s="145"/>
      <c r="KBB211" s="145"/>
      <c r="KBC211" s="146"/>
      <c r="KBD211" s="142"/>
      <c r="KBE211" s="143"/>
      <c r="KBF211" s="144"/>
      <c r="KBG211" s="124"/>
      <c r="KBH211" s="145"/>
      <c r="KBI211" s="145"/>
      <c r="KBJ211" s="146"/>
      <c r="KBK211" s="142"/>
      <c r="KBL211" s="143"/>
      <c r="KBM211" s="144"/>
      <c r="KBN211" s="124"/>
      <c r="KBO211" s="145"/>
      <c r="KBP211" s="145"/>
      <c r="KBQ211" s="146"/>
      <c r="KBR211" s="142"/>
      <c r="KBS211" s="143"/>
      <c r="KBT211" s="144"/>
      <c r="KBU211" s="124"/>
      <c r="KBV211" s="145"/>
      <c r="KBW211" s="145"/>
      <c r="KBX211" s="146"/>
      <c r="KBY211" s="142"/>
      <c r="KBZ211" s="143"/>
      <c r="KCA211" s="144"/>
      <c r="KCB211" s="124"/>
      <c r="KCC211" s="145"/>
      <c r="KCD211" s="145"/>
      <c r="KCE211" s="146"/>
      <c r="KCF211" s="142"/>
      <c r="KCG211" s="143"/>
      <c r="KCH211" s="144"/>
      <c r="KCI211" s="124"/>
      <c r="KCJ211" s="145"/>
      <c r="KCK211" s="145"/>
      <c r="KCL211" s="146"/>
      <c r="KCM211" s="142"/>
      <c r="KCN211" s="143"/>
      <c r="KCO211" s="144"/>
      <c r="KCP211" s="124"/>
      <c r="KCQ211" s="145"/>
      <c r="KCR211" s="145"/>
      <c r="KCS211" s="146"/>
      <c r="KCT211" s="142"/>
      <c r="KCU211" s="143"/>
      <c r="KCV211" s="144"/>
      <c r="KCW211" s="124"/>
      <c r="KCX211" s="145"/>
      <c r="KCY211" s="145"/>
      <c r="KCZ211" s="146"/>
      <c r="KDA211" s="142"/>
      <c r="KDB211" s="143"/>
      <c r="KDC211" s="144"/>
      <c r="KDD211" s="124"/>
      <c r="KDE211" s="145"/>
      <c r="KDF211" s="145"/>
      <c r="KDG211" s="146"/>
      <c r="KDH211" s="142"/>
      <c r="KDI211" s="143"/>
      <c r="KDJ211" s="144"/>
      <c r="KDK211" s="124"/>
      <c r="KDL211" s="145"/>
      <c r="KDM211" s="145"/>
      <c r="KDN211" s="146"/>
      <c r="KDO211" s="142"/>
      <c r="KDP211" s="143"/>
      <c r="KDQ211" s="144"/>
      <c r="KDR211" s="124"/>
      <c r="KDS211" s="145"/>
      <c r="KDT211" s="145"/>
      <c r="KDU211" s="146"/>
      <c r="KDV211" s="142"/>
      <c r="KDW211" s="143"/>
      <c r="KDX211" s="144"/>
      <c r="KDY211" s="124"/>
      <c r="KDZ211" s="145"/>
      <c r="KEA211" s="145"/>
      <c r="KEB211" s="146"/>
      <c r="KEC211" s="142"/>
      <c r="KED211" s="143"/>
      <c r="KEE211" s="144"/>
      <c r="KEF211" s="124"/>
      <c r="KEG211" s="145"/>
      <c r="KEH211" s="145"/>
      <c r="KEI211" s="146"/>
      <c r="KEJ211" s="142"/>
      <c r="KEK211" s="143"/>
      <c r="KEL211" s="144"/>
      <c r="KEM211" s="124"/>
      <c r="KEN211" s="145"/>
      <c r="KEO211" s="145"/>
      <c r="KEP211" s="146"/>
      <c r="KEQ211" s="142"/>
      <c r="KER211" s="143"/>
      <c r="KES211" s="144"/>
      <c r="KET211" s="124"/>
      <c r="KEU211" s="145"/>
      <c r="KEV211" s="145"/>
      <c r="KEW211" s="146"/>
      <c r="KEX211" s="142"/>
      <c r="KEY211" s="143"/>
      <c r="KEZ211" s="144"/>
      <c r="KFA211" s="124"/>
      <c r="KFB211" s="145"/>
      <c r="KFC211" s="145"/>
      <c r="KFD211" s="146"/>
      <c r="KFE211" s="142"/>
      <c r="KFF211" s="143"/>
      <c r="KFG211" s="144"/>
      <c r="KFH211" s="124"/>
      <c r="KFI211" s="145"/>
      <c r="KFJ211" s="145"/>
      <c r="KFK211" s="146"/>
      <c r="KFL211" s="142"/>
      <c r="KFM211" s="143"/>
      <c r="KFN211" s="144"/>
      <c r="KFO211" s="124"/>
      <c r="KFP211" s="145"/>
      <c r="KFQ211" s="145"/>
      <c r="KFR211" s="146"/>
      <c r="KFS211" s="142"/>
      <c r="KFT211" s="143"/>
      <c r="KFU211" s="144"/>
      <c r="KFV211" s="124"/>
      <c r="KFW211" s="145"/>
      <c r="KFX211" s="145"/>
      <c r="KFY211" s="146"/>
      <c r="KFZ211" s="142"/>
      <c r="KGA211" s="143"/>
      <c r="KGB211" s="144"/>
      <c r="KGC211" s="124"/>
      <c r="KGD211" s="145"/>
      <c r="KGE211" s="145"/>
      <c r="KGF211" s="146"/>
      <c r="KGG211" s="142"/>
      <c r="KGH211" s="143"/>
      <c r="KGI211" s="144"/>
      <c r="KGJ211" s="124"/>
      <c r="KGK211" s="145"/>
      <c r="KGL211" s="145"/>
      <c r="KGM211" s="146"/>
      <c r="KGN211" s="142"/>
      <c r="KGO211" s="143"/>
      <c r="KGP211" s="144"/>
      <c r="KGQ211" s="124"/>
      <c r="KGR211" s="145"/>
      <c r="KGS211" s="145"/>
      <c r="KGT211" s="146"/>
      <c r="KGU211" s="142"/>
      <c r="KGV211" s="143"/>
      <c r="KGW211" s="144"/>
      <c r="KGX211" s="124"/>
      <c r="KGY211" s="145"/>
      <c r="KGZ211" s="145"/>
      <c r="KHA211" s="146"/>
      <c r="KHB211" s="142"/>
      <c r="KHC211" s="143"/>
      <c r="KHD211" s="144"/>
      <c r="KHE211" s="124"/>
      <c r="KHF211" s="145"/>
      <c r="KHG211" s="145"/>
      <c r="KHH211" s="146"/>
      <c r="KHI211" s="142"/>
      <c r="KHJ211" s="143"/>
      <c r="KHK211" s="144"/>
      <c r="KHL211" s="124"/>
      <c r="KHM211" s="145"/>
      <c r="KHN211" s="145"/>
      <c r="KHO211" s="146"/>
      <c r="KHP211" s="142"/>
      <c r="KHQ211" s="143"/>
      <c r="KHR211" s="144"/>
      <c r="KHS211" s="124"/>
      <c r="KHT211" s="145"/>
      <c r="KHU211" s="145"/>
      <c r="KHV211" s="146"/>
      <c r="KHW211" s="142"/>
      <c r="KHX211" s="143"/>
      <c r="KHY211" s="144"/>
      <c r="KHZ211" s="124"/>
      <c r="KIA211" s="145"/>
      <c r="KIB211" s="145"/>
      <c r="KIC211" s="146"/>
      <c r="KID211" s="142"/>
      <c r="KIE211" s="143"/>
      <c r="KIF211" s="144"/>
      <c r="KIG211" s="124"/>
      <c r="KIH211" s="145"/>
      <c r="KII211" s="145"/>
      <c r="KIJ211" s="146"/>
      <c r="KIK211" s="142"/>
      <c r="KIL211" s="143"/>
      <c r="KIM211" s="144"/>
      <c r="KIN211" s="124"/>
      <c r="KIO211" s="145"/>
      <c r="KIP211" s="145"/>
      <c r="KIQ211" s="146"/>
      <c r="KIR211" s="142"/>
      <c r="KIS211" s="143"/>
      <c r="KIT211" s="144"/>
      <c r="KIU211" s="124"/>
      <c r="KIV211" s="145"/>
      <c r="KIW211" s="145"/>
      <c r="KIX211" s="146"/>
      <c r="KIY211" s="142"/>
      <c r="KIZ211" s="143"/>
      <c r="KJA211" s="144"/>
      <c r="KJB211" s="124"/>
      <c r="KJC211" s="145"/>
      <c r="KJD211" s="145"/>
      <c r="KJE211" s="146"/>
      <c r="KJF211" s="142"/>
      <c r="KJG211" s="143"/>
      <c r="KJH211" s="144"/>
      <c r="KJI211" s="124"/>
      <c r="KJJ211" s="145"/>
      <c r="KJK211" s="145"/>
      <c r="KJL211" s="146"/>
      <c r="KJM211" s="142"/>
      <c r="KJN211" s="143"/>
      <c r="KJO211" s="144"/>
      <c r="KJP211" s="124"/>
      <c r="KJQ211" s="145"/>
      <c r="KJR211" s="145"/>
      <c r="KJS211" s="146"/>
      <c r="KJT211" s="142"/>
      <c r="KJU211" s="143"/>
      <c r="KJV211" s="144"/>
      <c r="KJW211" s="124"/>
      <c r="KJX211" s="145"/>
      <c r="KJY211" s="145"/>
      <c r="KJZ211" s="146"/>
      <c r="KKA211" s="142"/>
      <c r="KKB211" s="143"/>
      <c r="KKC211" s="144"/>
      <c r="KKD211" s="124"/>
      <c r="KKE211" s="145"/>
      <c r="KKF211" s="145"/>
      <c r="KKG211" s="146"/>
      <c r="KKH211" s="142"/>
      <c r="KKI211" s="143"/>
      <c r="KKJ211" s="144"/>
      <c r="KKK211" s="124"/>
      <c r="KKL211" s="145"/>
      <c r="KKM211" s="145"/>
      <c r="KKN211" s="146"/>
      <c r="KKO211" s="142"/>
      <c r="KKP211" s="143"/>
      <c r="KKQ211" s="144"/>
      <c r="KKR211" s="124"/>
      <c r="KKS211" s="145"/>
      <c r="KKT211" s="145"/>
      <c r="KKU211" s="146"/>
      <c r="KKV211" s="142"/>
      <c r="KKW211" s="143"/>
      <c r="KKX211" s="144"/>
      <c r="KKY211" s="124"/>
      <c r="KKZ211" s="145"/>
      <c r="KLA211" s="145"/>
      <c r="KLB211" s="146"/>
      <c r="KLC211" s="142"/>
      <c r="KLD211" s="143"/>
      <c r="KLE211" s="144"/>
      <c r="KLF211" s="124"/>
      <c r="KLG211" s="145"/>
      <c r="KLH211" s="145"/>
      <c r="KLI211" s="146"/>
      <c r="KLJ211" s="142"/>
      <c r="KLK211" s="143"/>
      <c r="KLL211" s="144"/>
      <c r="KLM211" s="124"/>
      <c r="KLN211" s="145"/>
      <c r="KLO211" s="145"/>
      <c r="KLP211" s="146"/>
      <c r="KLQ211" s="142"/>
      <c r="KLR211" s="143"/>
      <c r="KLS211" s="144"/>
      <c r="KLT211" s="124"/>
      <c r="KLU211" s="145"/>
      <c r="KLV211" s="145"/>
      <c r="KLW211" s="146"/>
      <c r="KLX211" s="142"/>
      <c r="KLY211" s="143"/>
      <c r="KLZ211" s="144"/>
      <c r="KMA211" s="124"/>
      <c r="KMB211" s="145"/>
      <c r="KMC211" s="145"/>
      <c r="KMD211" s="146"/>
      <c r="KME211" s="142"/>
      <c r="KMF211" s="143"/>
      <c r="KMG211" s="144"/>
      <c r="KMH211" s="124"/>
      <c r="KMI211" s="145"/>
      <c r="KMJ211" s="145"/>
      <c r="KMK211" s="146"/>
      <c r="KML211" s="142"/>
      <c r="KMM211" s="143"/>
      <c r="KMN211" s="144"/>
      <c r="KMO211" s="124"/>
      <c r="KMP211" s="145"/>
      <c r="KMQ211" s="145"/>
      <c r="KMR211" s="146"/>
      <c r="KMS211" s="142"/>
      <c r="KMT211" s="143"/>
      <c r="KMU211" s="144"/>
      <c r="KMV211" s="124"/>
      <c r="KMW211" s="145"/>
      <c r="KMX211" s="145"/>
      <c r="KMY211" s="146"/>
      <c r="KMZ211" s="142"/>
      <c r="KNA211" s="143"/>
      <c r="KNB211" s="144"/>
      <c r="KNC211" s="124"/>
      <c r="KND211" s="145"/>
      <c r="KNE211" s="145"/>
      <c r="KNF211" s="146"/>
      <c r="KNG211" s="142"/>
      <c r="KNH211" s="143"/>
      <c r="KNI211" s="144"/>
      <c r="KNJ211" s="124"/>
      <c r="KNK211" s="145"/>
      <c r="KNL211" s="145"/>
      <c r="KNM211" s="146"/>
      <c r="KNN211" s="142"/>
      <c r="KNO211" s="143"/>
      <c r="KNP211" s="144"/>
      <c r="KNQ211" s="124"/>
      <c r="KNR211" s="145"/>
      <c r="KNS211" s="145"/>
      <c r="KNT211" s="146"/>
      <c r="KNU211" s="142"/>
      <c r="KNV211" s="143"/>
      <c r="KNW211" s="144"/>
      <c r="KNX211" s="124"/>
      <c r="KNY211" s="145"/>
      <c r="KNZ211" s="145"/>
      <c r="KOA211" s="146"/>
      <c r="KOB211" s="142"/>
      <c r="KOC211" s="143"/>
      <c r="KOD211" s="144"/>
      <c r="KOE211" s="124"/>
      <c r="KOF211" s="145"/>
      <c r="KOG211" s="145"/>
      <c r="KOH211" s="146"/>
      <c r="KOI211" s="142"/>
      <c r="KOJ211" s="143"/>
      <c r="KOK211" s="144"/>
      <c r="KOL211" s="124"/>
      <c r="KOM211" s="145"/>
      <c r="KON211" s="145"/>
      <c r="KOO211" s="146"/>
      <c r="KOP211" s="142"/>
      <c r="KOQ211" s="143"/>
      <c r="KOR211" s="144"/>
      <c r="KOS211" s="124"/>
      <c r="KOT211" s="145"/>
      <c r="KOU211" s="145"/>
      <c r="KOV211" s="146"/>
      <c r="KOW211" s="142"/>
      <c r="KOX211" s="143"/>
      <c r="KOY211" s="144"/>
      <c r="KOZ211" s="124"/>
      <c r="KPA211" s="145"/>
      <c r="KPB211" s="145"/>
      <c r="KPC211" s="146"/>
      <c r="KPD211" s="142"/>
      <c r="KPE211" s="143"/>
      <c r="KPF211" s="144"/>
      <c r="KPG211" s="124"/>
      <c r="KPH211" s="145"/>
      <c r="KPI211" s="145"/>
      <c r="KPJ211" s="146"/>
      <c r="KPK211" s="142"/>
      <c r="KPL211" s="143"/>
      <c r="KPM211" s="144"/>
      <c r="KPN211" s="124"/>
      <c r="KPO211" s="145"/>
      <c r="KPP211" s="145"/>
      <c r="KPQ211" s="146"/>
      <c r="KPR211" s="142"/>
      <c r="KPS211" s="143"/>
      <c r="KPT211" s="144"/>
      <c r="KPU211" s="124"/>
      <c r="KPV211" s="145"/>
      <c r="KPW211" s="145"/>
      <c r="KPX211" s="146"/>
      <c r="KPY211" s="142"/>
      <c r="KPZ211" s="143"/>
      <c r="KQA211" s="144"/>
      <c r="KQB211" s="124"/>
      <c r="KQC211" s="145"/>
      <c r="KQD211" s="145"/>
      <c r="KQE211" s="146"/>
      <c r="KQF211" s="142"/>
      <c r="KQG211" s="143"/>
      <c r="KQH211" s="144"/>
      <c r="KQI211" s="124"/>
      <c r="KQJ211" s="145"/>
      <c r="KQK211" s="145"/>
      <c r="KQL211" s="146"/>
      <c r="KQM211" s="142"/>
      <c r="KQN211" s="143"/>
      <c r="KQO211" s="144"/>
      <c r="KQP211" s="124"/>
      <c r="KQQ211" s="145"/>
      <c r="KQR211" s="145"/>
      <c r="KQS211" s="146"/>
      <c r="KQT211" s="142"/>
      <c r="KQU211" s="143"/>
      <c r="KQV211" s="144"/>
      <c r="KQW211" s="124"/>
      <c r="KQX211" s="145"/>
      <c r="KQY211" s="145"/>
      <c r="KQZ211" s="146"/>
      <c r="KRA211" s="142"/>
      <c r="KRB211" s="143"/>
      <c r="KRC211" s="144"/>
      <c r="KRD211" s="124"/>
      <c r="KRE211" s="145"/>
      <c r="KRF211" s="145"/>
      <c r="KRG211" s="146"/>
      <c r="KRH211" s="142"/>
      <c r="KRI211" s="143"/>
      <c r="KRJ211" s="144"/>
      <c r="KRK211" s="124"/>
      <c r="KRL211" s="145"/>
      <c r="KRM211" s="145"/>
      <c r="KRN211" s="146"/>
      <c r="KRO211" s="142"/>
      <c r="KRP211" s="143"/>
      <c r="KRQ211" s="144"/>
      <c r="KRR211" s="124"/>
      <c r="KRS211" s="145"/>
      <c r="KRT211" s="145"/>
      <c r="KRU211" s="146"/>
      <c r="KRV211" s="142"/>
      <c r="KRW211" s="143"/>
      <c r="KRX211" s="144"/>
      <c r="KRY211" s="124"/>
      <c r="KRZ211" s="145"/>
      <c r="KSA211" s="145"/>
      <c r="KSB211" s="146"/>
      <c r="KSC211" s="142"/>
      <c r="KSD211" s="143"/>
      <c r="KSE211" s="144"/>
      <c r="KSF211" s="124"/>
      <c r="KSG211" s="145"/>
      <c r="KSH211" s="145"/>
      <c r="KSI211" s="146"/>
      <c r="KSJ211" s="142"/>
      <c r="KSK211" s="143"/>
      <c r="KSL211" s="144"/>
      <c r="KSM211" s="124"/>
      <c r="KSN211" s="145"/>
      <c r="KSO211" s="145"/>
      <c r="KSP211" s="146"/>
      <c r="KSQ211" s="142"/>
      <c r="KSR211" s="143"/>
      <c r="KSS211" s="144"/>
      <c r="KST211" s="124"/>
      <c r="KSU211" s="145"/>
      <c r="KSV211" s="145"/>
      <c r="KSW211" s="146"/>
      <c r="KSX211" s="142"/>
      <c r="KSY211" s="143"/>
      <c r="KSZ211" s="144"/>
      <c r="KTA211" s="124"/>
      <c r="KTB211" s="145"/>
      <c r="KTC211" s="145"/>
      <c r="KTD211" s="146"/>
      <c r="KTE211" s="142"/>
      <c r="KTF211" s="143"/>
      <c r="KTG211" s="144"/>
      <c r="KTH211" s="124"/>
      <c r="KTI211" s="145"/>
      <c r="KTJ211" s="145"/>
      <c r="KTK211" s="146"/>
      <c r="KTL211" s="142"/>
      <c r="KTM211" s="143"/>
      <c r="KTN211" s="144"/>
      <c r="KTO211" s="124"/>
      <c r="KTP211" s="145"/>
      <c r="KTQ211" s="145"/>
      <c r="KTR211" s="146"/>
      <c r="KTS211" s="142"/>
      <c r="KTT211" s="143"/>
      <c r="KTU211" s="144"/>
      <c r="KTV211" s="124"/>
      <c r="KTW211" s="145"/>
      <c r="KTX211" s="145"/>
      <c r="KTY211" s="146"/>
      <c r="KTZ211" s="142"/>
      <c r="KUA211" s="143"/>
      <c r="KUB211" s="144"/>
      <c r="KUC211" s="124"/>
      <c r="KUD211" s="145"/>
      <c r="KUE211" s="145"/>
      <c r="KUF211" s="146"/>
      <c r="KUG211" s="142"/>
      <c r="KUH211" s="143"/>
      <c r="KUI211" s="144"/>
      <c r="KUJ211" s="124"/>
      <c r="KUK211" s="145"/>
      <c r="KUL211" s="145"/>
      <c r="KUM211" s="146"/>
      <c r="KUN211" s="142"/>
      <c r="KUO211" s="143"/>
      <c r="KUP211" s="144"/>
      <c r="KUQ211" s="124"/>
      <c r="KUR211" s="145"/>
      <c r="KUS211" s="145"/>
      <c r="KUT211" s="146"/>
      <c r="KUU211" s="142"/>
      <c r="KUV211" s="143"/>
      <c r="KUW211" s="144"/>
      <c r="KUX211" s="124"/>
      <c r="KUY211" s="145"/>
      <c r="KUZ211" s="145"/>
      <c r="KVA211" s="146"/>
      <c r="KVB211" s="142"/>
      <c r="KVC211" s="143"/>
      <c r="KVD211" s="144"/>
      <c r="KVE211" s="124"/>
      <c r="KVF211" s="145"/>
      <c r="KVG211" s="145"/>
      <c r="KVH211" s="146"/>
      <c r="KVI211" s="142"/>
      <c r="KVJ211" s="143"/>
      <c r="KVK211" s="144"/>
      <c r="KVL211" s="124"/>
      <c r="KVM211" s="145"/>
      <c r="KVN211" s="145"/>
      <c r="KVO211" s="146"/>
      <c r="KVP211" s="142"/>
      <c r="KVQ211" s="143"/>
      <c r="KVR211" s="144"/>
      <c r="KVS211" s="124"/>
      <c r="KVT211" s="145"/>
      <c r="KVU211" s="145"/>
      <c r="KVV211" s="146"/>
      <c r="KVW211" s="142"/>
      <c r="KVX211" s="143"/>
      <c r="KVY211" s="144"/>
      <c r="KVZ211" s="124"/>
      <c r="KWA211" s="145"/>
      <c r="KWB211" s="145"/>
      <c r="KWC211" s="146"/>
      <c r="KWD211" s="142"/>
      <c r="KWE211" s="143"/>
      <c r="KWF211" s="144"/>
      <c r="KWG211" s="124"/>
      <c r="KWH211" s="145"/>
      <c r="KWI211" s="145"/>
      <c r="KWJ211" s="146"/>
      <c r="KWK211" s="142"/>
      <c r="KWL211" s="143"/>
      <c r="KWM211" s="144"/>
      <c r="KWN211" s="124"/>
      <c r="KWO211" s="145"/>
      <c r="KWP211" s="145"/>
      <c r="KWQ211" s="146"/>
      <c r="KWR211" s="142"/>
      <c r="KWS211" s="143"/>
      <c r="KWT211" s="144"/>
      <c r="KWU211" s="124"/>
      <c r="KWV211" s="145"/>
      <c r="KWW211" s="145"/>
      <c r="KWX211" s="146"/>
      <c r="KWY211" s="142"/>
      <c r="KWZ211" s="143"/>
      <c r="KXA211" s="144"/>
      <c r="KXB211" s="124"/>
      <c r="KXC211" s="145"/>
      <c r="KXD211" s="145"/>
      <c r="KXE211" s="146"/>
      <c r="KXF211" s="142"/>
      <c r="KXG211" s="143"/>
      <c r="KXH211" s="144"/>
      <c r="KXI211" s="124"/>
      <c r="KXJ211" s="145"/>
      <c r="KXK211" s="145"/>
      <c r="KXL211" s="146"/>
      <c r="KXM211" s="142"/>
      <c r="KXN211" s="143"/>
      <c r="KXO211" s="144"/>
      <c r="KXP211" s="124"/>
      <c r="KXQ211" s="145"/>
      <c r="KXR211" s="145"/>
      <c r="KXS211" s="146"/>
      <c r="KXT211" s="142"/>
      <c r="KXU211" s="143"/>
      <c r="KXV211" s="144"/>
      <c r="KXW211" s="124"/>
      <c r="KXX211" s="145"/>
      <c r="KXY211" s="145"/>
      <c r="KXZ211" s="146"/>
      <c r="KYA211" s="142"/>
      <c r="KYB211" s="143"/>
      <c r="KYC211" s="144"/>
      <c r="KYD211" s="124"/>
      <c r="KYE211" s="145"/>
      <c r="KYF211" s="145"/>
      <c r="KYG211" s="146"/>
      <c r="KYH211" s="142"/>
      <c r="KYI211" s="143"/>
      <c r="KYJ211" s="144"/>
      <c r="KYK211" s="124"/>
      <c r="KYL211" s="145"/>
      <c r="KYM211" s="145"/>
      <c r="KYN211" s="146"/>
      <c r="KYO211" s="142"/>
      <c r="KYP211" s="143"/>
      <c r="KYQ211" s="144"/>
      <c r="KYR211" s="124"/>
      <c r="KYS211" s="145"/>
      <c r="KYT211" s="145"/>
      <c r="KYU211" s="146"/>
      <c r="KYV211" s="142"/>
      <c r="KYW211" s="143"/>
      <c r="KYX211" s="144"/>
      <c r="KYY211" s="124"/>
      <c r="KYZ211" s="145"/>
      <c r="KZA211" s="145"/>
      <c r="KZB211" s="146"/>
      <c r="KZC211" s="142"/>
      <c r="KZD211" s="143"/>
      <c r="KZE211" s="144"/>
      <c r="KZF211" s="124"/>
      <c r="KZG211" s="145"/>
      <c r="KZH211" s="145"/>
      <c r="KZI211" s="146"/>
      <c r="KZJ211" s="142"/>
      <c r="KZK211" s="143"/>
      <c r="KZL211" s="144"/>
      <c r="KZM211" s="124"/>
      <c r="KZN211" s="145"/>
      <c r="KZO211" s="145"/>
      <c r="KZP211" s="146"/>
      <c r="KZQ211" s="142"/>
      <c r="KZR211" s="143"/>
      <c r="KZS211" s="144"/>
      <c r="KZT211" s="124"/>
      <c r="KZU211" s="145"/>
      <c r="KZV211" s="145"/>
      <c r="KZW211" s="146"/>
      <c r="KZX211" s="142"/>
      <c r="KZY211" s="143"/>
      <c r="KZZ211" s="144"/>
      <c r="LAA211" s="124"/>
      <c r="LAB211" s="145"/>
      <c r="LAC211" s="145"/>
      <c r="LAD211" s="146"/>
      <c r="LAE211" s="142"/>
      <c r="LAF211" s="143"/>
      <c r="LAG211" s="144"/>
      <c r="LAH211" s="124"/>
      <c r="LAI211" s="145"/>
      <c r="LAJ211" s="145"/>
      <c r="LAK211" s="146"/>
      <c r="LAL211" s="142"/>
      <c r="LAM211" s="143"/>
      <c r="LAN211" s="144"/>
      <c r="LAO211" s="124"/>
      <c r="LAP211" s="145"/>
      <c r="LAQ211" s="145"/>
      <c r="LAR211" s="146"/>
      <c r="LAS211" s="142"/>
      <c r="LAT211" s="143"/>
      <c r="LAU211" s="144"/>
      <c r="LAV211" s="124"/>
      <c r="LAW211" s="145"/>
      <c r="LAX211" s="145"/>
      <c r="LAY211" s="146"/>
      <c r="LAZ211" s="142"/>
      <c r="LBA211" s="143"/>
      <c r="LBB211" s="144"/>
      <c r="LBC211" s="124"/>
      <c r="LBD211" s="145"/>
      <c r="LBE211" s="145"/>
      <c r="LBF211" s="146"/>
      <c r="LBG211" s="142"/>
      <c r="LBH211" s="143"/>
      <c r="LBI211" s="144"/>
      <c r="LBJ211" s="124"/>
      <c r="LBK211" s="145"/>
      <c r="LBL211" s="145"/>
      <c r="LBM211" s="146"/>
      <c r="LBN211" s="142"/>
      <c r="LBO211" s="143"/>
      <c r="LBP211" s="144"/>
      <c r="LBQ211" s="124"/>
      <c r="LBR211" s="145"/>
      <c r="LBS211" s="145"/>
      <c r="LBT211" s="146"/>
      <c r="LBU211" s="142"/>
      <c r="LBV211" s="143"/>
      <c r="LBW211" s="144"/>
      <c r="LBX211" s="124"/>
      <c r="LBY211" s="145"/>
      <c r="LBZ211" s="145"/>
      <c r="LCA211" s="146"/>
      <c r="LCB211" s="142"/>
      <c r="LCC211" s="143"/>
      <c r="LCD211" s="144"/>
      <c r="LCE211" s="124"/>
      <c r="LCF211" s="145"/>
      <c r="LCG211" s="145"/>
      <c r="LCH211" s="146"/>
      <c r="LCI211" s="142"/>
      <c r="LCJ211" s="143"/>
      <c r="LCK211" s="144"/>
      <c r="LCL211" s="124"/>
      <c r="LCM211" s="145"/>
      <c r="LCN211" s="145"/>
      <c r="LCO211" s="146"/>
      <c r="LCP211" s="142"/>
      <c r="LCQ211" s="143"/>
      <c r="LCR211" s="144"/>
      <c r="LCS211" s="124"/>
      <c r="LCT211" s="145"/>
      <c r="LCU211" s="145"/>
      <c r="LCV211" s="146"/>
      <c r="LCW211" s="142"/>
      <c r="LCX211" s="143"/>
      <c r="LCY211" s="144"/>
      <c r="LCZ211" s="124"/>
      <c r="LDA211" s="145"/>
      <c r="LDB211" s="145"/>
      <c r="LDC211" s="146"/>
      <c r="LDD211" s="142"/>
      <c r="LDE211" s="143"/>
      <c r="LDF211" s="144"/>
      <c r="LDG211" s="124"/>
      <c r="LDH211" s="145"/>
      <c r="LDI211" s="145"/>
      <c r="LDJ211" s="146"/>
      <c r="LDK211" s="142"/>
      <c r="LDL211" s="143"/>
      <c r="LDM211" s="144"/>
      <c r="LDN211" s="124"/>
      <c r="LDO211" s="145"/>
      <c r="LDP211" s="145"/>
      <c r="LDQ211" s="146"/>
      <c r="LDR211" s="142"/>
      <c r="LDS211" s="143"/>
      <c r="LDT211" s="144"/>
      <c r="LDU211" s="124"/>
      <c r="LDV211" s="145"/>
      <c r="LDW211" s="145"/>
      <c r="LDX211" s="146"/>
      <c r="LDY211" s="142"/>
      <c r="LDZ211" s="143"/>
      <c r="LEA211" s="144"/>
      <c r="LEB211" s="124"/>
      <c r="LEC211" s="145"/>
      <c r="LED211" s="145"/>
      <c r="LEE211" s="146"/>
      <c r="LEF211" s="142"/>
      <c r="LEG211" s="143"/>
      <c r="LEH211" s="144"/>
      <c r="LEI211" s="124"/>
      <c r="LEJ211" s="145"/>
      <c r="LEK211" s="145"/>
      <c r="LEL211" s="146"/>
      <c r="LEM211" s="142"/>
      <c r="LEN211" s="143"/>
      <c r="LEO211" s="144"/>
      <c r="LEP211" s="124"/>
      <c r="LEQ211" s="145"/>
      <c r="LER211" s="145"/>
      <c r="LES211" s="146"/>
      <c r="LET211" s="142"/>
      <c r="LEU211" s="143"/>
      <c r="LEV211" s="144"/>
      <c r="LEW211" s="124"/>
      <c r="LEX211" s="145"/>
      <c r="LEY211" s="145"/>
      <c r="LEZ211" s="146"/>
      <c r="LFA211" s="142"/>
      <c r="LFB211" s="143"/>
      <c r="LFC211" s="144"/>
      <c r="LFD211" s="124"/>
      <c r="LFE211" s="145"/>
      <c r="LFF211" s="145"/>
      <c r="LFG211" s="146"/>
      <c r="LFH211" s="142"/>
      <c r="LFI211" s="143"/>
      <c r="LFJ211" s="144"/>
      <c r="LFK211" s="124"/>
      <c r="LFL211" s="145"/>
      <c r="LFM211" s="145"/>
      <c r="LFN211" s="146"/>
      <c r="LFO211" s="142"/>
      <c r="LFP211" s="143"/>
      <c r="LFQ211" s="144"/>
      <c r="LFR211" s="124"/>
      <c r="LFS211" s="145"/>
      <c r="LFT211" s="145"/>
      <c r="LFU211" s="146"/>
      <c r="LFV211" s="142"/>
      <c r="LFW211" s="143"/>
      <c r="LFX211" s="144"/>
      <c r="LFY211" s="124"/>
      <c r="LFZ211" s="145"/>
      <c r="LGA211" s="145"/>
      <c r="LGB211" s="146"/>
      <c r="LGC211" s="142"/>
      <c r="LGD211" s="143"/>
      <c r="LGE211" s="144"/>
      <c r="LGF211" s="124"/>
      <c r="LGG211" s="145"/>
      <c r="LGH211" s="145"/>
      <c r="LGI211" s="146"/>
      <c r="LGJ211" s="142"/>
      <c r="LGK211" s="143"/>
      <c r="LGL211" s="144"/>
      <c r="LGM211" s="124"/>
      <c r="LGN211" s="145"/>
      <c r="LGO211" s="145"/>
      <c r="LGP211" s="146"/>
      <c r="LGQ211" s="142"/>
      <c r="LGR211" s="143"/>
      <c r="LGS211" s="144"/>
      <c r="LGT211" s="124"/>
      <c r="LGU211" s="145"/>
      <c r="LGV211" s="145"/>
      <c r="LGW211" s="146"/>
      <c r="LGX211" s="142"/>
      <c r="LGY211" s="143"/>
      <c r="LGZ211" s="144"/>
      <c r="LHA211" s="124"/>
      <c r="LHB211" s="145"/>
      <c r="LHC211" s="145"/>
      <c r="LHD211" s="146"/>
      <c r="LHE211" s="142"/>
      <c r="LHF211" s="143"/>
      <c r="LHG211" s="144"/>
      <c r="LHH211" s="124"/>
      <c r="LHI211" s="145"/>
      <c r="LHJ211" s="145"/>
      <c r="LHK211" s="146"/>
      <c r="LHL211" s="142"/>
      <c r="LHM211" s="143"/>
      <c r="LHN211" s="144"/>
      <c r="LHO211" s="124"/>
      <c r="LHP211" s="145"/>
      <c r="LHQ211" s="145"/>
      <c r="LHR211" s="146"/>
      <c r="LHS211" s="142"/>
      <c r="LHT211" s="143"/>
      <c r="LHU211" s="144"/>
      <c r="LHV211" s="124"/>
      <c r="LHW211" s="145"/>
      <c r="LHX211" s="145"/>
      <c r="LHY211" s="146"/>
      <c r="LHZ211" s="142"/>
      <c r="LIA211" s="143"/>
      <c r="LIB211" s="144"/>
      <c r="LIC211" s="124"/>
      <c r="LID211" s="145"/>
      <c r="LIE211" s="145"/>
      <c r="LIF211" s="146"/>
      <c r="LIG211" s="142"/>
      <c r="LIH211" s="143"/>
      <c r="LII211" s="144"/>
      <c r="LIJ211" s="124"/>
      <c r="LIK211" s="145"/>
      <c r="LIL211" s="145"/>
      <c r="LIM211" s="146"/>
      <c r="LIN211" s="142"/>
      <c r="LIO211" s="143"/>
      <c r="LIP211" s="144"/>
      <c r="LIQ211" s="124"/>
      <c r="LIR211" s="145"/>
      <c r="LIS211" s="145"/>
      <c r="LIT211" s="146"/>
      <c r="LIU211" s="142"/>
      <c r="LIV211" s="143"/>
      <c r="LIW211" s="144"/>
      <c r="LIX211" s="124"/>
      <c r="LIY211" s="145"/>
      <c r="LIZ211" s="145"/>
      <c r="LJA211" s="146"/>
      <c r="LJB211" s="142"/>
      <c r="LJC211" s="143"/>
      <c r="LJD211" s="144"/>
      <c r="LJE211" s="124"/>
      <c r="LJF211" s="145"/>
      <c r="LJG211" s="145"/>
      <c r="LJH211" s="146"/>
      <c r="LJI211" s="142"/>
      <c r="LJJ211" s="143"/>
      <c r="LJK211" s="144"/>
      <c r="LJL211" s="124"/>
      <c r="LJM211" s="145"/>
      <c r="LJN211" s="145"/>
      <c r="LJO211" s="146"/>
      <c r="LJP211" s="142"/>
      <c r="LJQ211" s="143"/>
      <c r="LJR211" s="144"/>
      <c r="LJS211" s="124"/>
      <c r="LJT211" s="145"/>
      <c r="LJU211" s="145"/>
      <c r="LJV211" s="146"/>
      <c r="LJW211" s="142"/>
      <c r="LJX211" s="143"/>
      <c r="LJY211" s="144"/>
      <c r="LJZ211" s="124"/>
      <c r="LKA211" s="145"/>
      <c r="LKB211" s="145"/>
      <c r="LKC211" s="146"/>
      <c r="LKD211" s="142"/>
      <c r="LKE211" s="143"/>
      <c r="LKF211" s="144"/>
      <c r="LKG211" s="124"/>
      <c r="LKH211" s="145"/>
      <c r="LKI211" s="145"/>
      <c r="LKJ211" s="146"/>
      <c r="LKK211" s="142"/>
      <c r="LKL211" s="143"/>
      <c r="LKM211" s="144"/>
      <c r="LKN211" s="124"/>
      <c r="LKO211" s="145"/>
      <c r="LKP211" s="145"/>
      <c r="LKQ211" s="146"/>
      <c r="LKR211" s="142"/>
      <c r="LKS211" s="143"/>
      <c r="LKT211" s="144"/>
      <c r="LKU211" s="124"/>
      <c r="LKV211" s="145"/>
      <c r="LKW211" s="145"/>
      <c r="LKX211" s="146"/>
      <c r="LKY211" s="142"/>
      <c r="LKZ211" s="143"/>
      <c r="LLA211" s="144"/>
      <c r="LLB211" s="124"/>
      <c r="LLC211" s="145"/>
      <c r="LLD211" s="145"/>
      <c r="LLE211" s="146"/>
      <c r="LLF211" s="142"/>
      <c r="LLG211" s="143"/>
      <c r="LLH211" s="144"/>
      <c r="LLI211" s="124"/>
      <c r="LLJ211" s="145"/>
      <c r="LLK211" s="145"/>
      <c r="LLL211" s="146"/>
      <c r="LLM211" s="142"/>
      <c r="LLN211" s="143"/>
      <c r="LLO211" s="144"/>
      <c r="LLP211" s="124"/>
      <c r="LLQ211" s="145"/>
      <c r="LLR211" s="145"/>
      <c r="LLS211" s="146"/>
      <c r="LLT211" s="142"/>
      <c r="LLU211" s="143"/>
      <c r="LLV211" s="144"/>
      <c r="LLW211" s="124"/>
      <c r="LLX211" s="145"/>
      <c r="LLY211" s="145"/>
      <c r="LLZ211" s="146"/>
      <c r="LMA211" s="142"/>
      <c r="LMB211" s="143"/>
      <c r="LMC211" s="144"/>
      <c r="LMD211" s="124"/>
      <c r="LME211" s="145"/>
      <c r="LMF211" s="145"/>
      <c r="LMG211" s="146"/>
      <c r="LMH211" s="142"/>
      <c r="LMI211" s="143"/>
      <c r="LMJ211" s="144"/>
      <c r="LMK211" s="124"/>
      <c r="LML211" s="145"/>
      <c r="LMM211" s="145"/>
      <c r="LMN211" s="146"/>
      <c r="LMO211" s="142"/>
      <c r="LMP211" s="143"/>
      <c r="LMQ211" s="144"/>
      <c r="LMR211" s="124"/>
      <c r="LMS211" s="145"/>
      <c r="LMT211" s="145"/>
      <c r="LMU211" s="146"/>
      <c r="LMV211" s="142"/>
      <c r="LMW211" s="143"/>
      <c r="LMX211" s="144"/>
      <c r="LMY211" s="124"/>
      <c r="LMZ211" s="145"/>
      <c r="LNA211" s="145"/>
      <c r="LNB211" s="146"/>
      <c r="LNC211" s="142"/>
      <c r="LND211" s="143"/>
      <c r="LNE211" s="144"/>
      <c r="LNF211" s="124"/>
      <c r="LNG211" s="145"/>
      <c r="LNH211" s="145"/>
      <c r="LNI211" s="146"/>
      <c r="LNJ211" s="142"/>
      <c r="LNK211" s="143"/>
      <c r="LNL211" s="144"/>
      <c r="LNM211" s="124"/>
      <c r="LNN211" s="145"/>
      <c r="LNO211" s="145"/>
      <c r="LNP211" s="146"/>
      <c r="LNQ211" s="142"/>
      <c r="LNR211" s="143"/>
      <c r="LNS211" s="144"/>
      <c r="LNT211" s="124"/>
      <c r="LNU211" s="145"/>
      <c r="LNV211" s="145"/>
      <c r="LNW211" s="146"/>
      <c r="LNX211" s="142"/>
      <c r="LNY211" s="143"/>
      <c r="LNZ211" s="144"/>
      <c r="LOA211" s="124"/>
      <c r="LOB211" s="145"/>
      <c r="LOC211" s="145"/>
      <c r="LOD211" s="146"/>
      <c r="LOE211" s="142"/>
      <c r="LOF211" s="143"/>
      <c r="LOG211" s="144"/>
      <c r="LOH211" s="124"/>
      <c r="LOI211" s="145"/>
      <c r="LOJ211" s="145"/>
      <c r="LOK211" s="146"/>
      <c r="LOL211" s="142"/>
      <c r="LOM211" s="143"/>
      <c r="LON211" s="144"/>
      <c r="LOO211" s="124"/>
      <c r="LOP211" s="145"/>
      <c r="LOQ211" s="145"/>
      <c r="LOR211" s="146"/>
      <c r="LOS211" s="142"/>
      <c r="LOT211" s="143"/>
      <c r="LOU211" s="144"/>
      <c r="LOV211" s="124"/>
      <c r="LOW211" s="145"/>
      <c r="LOX211" s="145"/>
      <c r="LOY211" s="146"/>
      <c r="LOZ211" s="142"/>
      <c r="LPA211" s="143"/>
      <c r="LPB211" s="144"/>
      <c r="LPC211" s="124"/>
      <c r="LPD211" s="145"/>
      <c r="LPE211" s="145"/>
      <c r="LPF211" s="146"/>
      <c r="LPG211" s="142"/>
      <c r="LPH211" s="143"/>
      <c r="LPI211" s="144"/>
      <c r="LPJ211" s="124"/>
      <c r="LPK211" s="145"/>
      <c r="LPL211" s="145"/>
      <c r="LPM211" s="146"/>
      <c r="LPN211" s="142"/>
      <c r="LPO211" s="143"/>
      <c r="LPP211" s="144"/>
      <c r="LPQ211" s="124"/>
      <c r="LPR211" s="145"/>
      <c r="LPS211" s="145"/>
      <c r="LPT211" s="146"/>
      <c r="LPU211" s="142"/>
      <c r="LPV211" s="143"/>
      <c r="LPW211" s="144"/>
      <c r="LPX211" s="124"/>
      <c r="LPY211" s="145"/>
      <c r="LPZ211" s="145"/>
      <c r="LQA211" s="146"/>
      <c r="LQB211" s="142"/>
      <c r="LQC211" s="143"/>
      <c r="LQD211" s="144"/>
      <c r="LQE211" s="124"/>
      <c r="LQF211" s="145"/>
      <c r="LQG211" s="145"/>
      <c r="LQH211" s="146"/>
      <c r="LQI211" s="142"/>
      <c r="LQJ211" s="143"/>
      <c r="LQK211" s="144"/>
      <c r="LQL211" s="124"/>
      <c r="LQM211" s="145"/>
      <c r="LQN211" s="145"/>
      <c r="LQO211" s="146"/>
      <c r="LQP211" s="142"/>
      <c r="LQQ211" s="143"/>
      <c r="LQR211" s="144"/>
      <c r="LQS211" s="124"/>
      <c r="LQT211" s="145"/>
      <c r="LQU211" s="145"/>
      <c r="LQV211" s="146"/>
      <c r="LQW211" s="142"/>
      <c r="LQX211" s="143"/>
      <c r="LQY211" s="144"/>
      <c r="LQZ211" s="124"/>
      <c r="LRA211" s="145"/>
      <c r="LRB211" s="145"/>
      <c r="LRC211" s="146"/>
      <c r="LRD211" s="142"/>
      <c r="LRE211" s="143"/>
      <c r="LRF211" s="144"/>
      <c r="LRG211" s="124"/>
      <c r="LRH211" s="145"/>
      <c r="LRI211" s="145"/>
      <c r="LRJ211" s="146"/>
      <c r="LRK211" s="142"/>
      <c r="LRL211" s="143"/>
      <c r="LRM211" s="144"/>
      <c r="LRN211" s="124"/>
      <c r="LRO211" s="145"/>
      <c r="LRP211" s="145"/>
      <c r="LRQ211" s="146"/>
      <c r="LRR211" s="142"/>
      <c r="LRS211" s="143"/>
      <c r="LRT211" s="144"/>
      <c r="LRU211" s="124"/>
      <c r="LRV211" s="145"/>
      <c r="LRW211" s="145"/>
      <c r="LRX211" s="146"/>
      <c r="LRY211" s="142"/>
      <c r="LRZ211" s="143"/>
      <c r="LSA211" s="144"/>
      <c r="LSB211" s="124"/>
      <c r="LSC211" s="145"/>
      <c r="LSD211" s="145"/>
      <c r="LSE211" s="146"/>
      <c r="LSF211" s="142"/>
      <c r="LSG211" s="143"/>
      <c r="LSH211" s="144"/>
      <c r="LSI211" s="124"/>
      <c r="LSJ211" s="145"/>
      <c r="LSK211" s="145"/>
      <c r="LSL211" s="146"/>
      <c r="LSM211" s="142"/>
      <c r="LSN211" s="143"/>
      <c r="LSO211" s="144"/>
      <c r="LSP211" s="124"/>
      <c r="LSQ211" s="145"/>
      <c r="LSR211" s="145"/>
      <c r="LSS211" s="146"/>
      <c r="LST211" s="142"/>
      <c r="LSU211" s="143"/>
      <c r="LSV211" s="144"/>
      <c r="LSW211" s="124"/>
      <c r="LSX211" s="145"/>
      <c r="LSY211" s="145"/>
      <c r="LSZ211" s="146"/>
      <c r="LTA211" s="142"/>
      <c r="LTB211" s="143"/>
      <c r="LTC211" s="144"/>
      <c r="LTD211" s="124"/>
      <c r="LTE211" s="145"/>
      <c r="LTF211" s="145"/>
      <c r="LTG211" s="146"/>
      <c r="LTH211" s="142"/>
      <c r="LTI211" s="143"/>
      <c r="LTJ211" s="144"/>
      <c r="LTK211" s="124"/>
      <c r="LTL211" s="145"/>
      <c r="LTM211" s="145"/>
      <c r="LTN211" s="146"/>
      <c r="LTO211" s="142"/>
      <c r="LTP211" s="143"/>
      <c r="LTQ211" s="144"/>
      <c r="LTR211" s="124"/>
      <c r="LTS211" s="145"/>
      <c r="LTT211" s="145"/>
      <c r="LTU211" s="146"/>
      <c r="LTV211" s="142"/>
      <c r="LTW211" s="143"/>
      <c r="LTX211" s="144"/>
      <c r="LTY211" s="124"/>
      <c r="LTZ211" s="145"/>
      <c r="LUA211" s="145"/>
      <c r="LUB211" s="146"/>
      <c r="LUC211" s="142"/>
      <c r="LUD211" s="143"/>
      <c r="LUE211" s="144"/>
      <c r="LUF211" s="124"/>
      <c r="LUG211" s="145"/>
      <c r="LUH211" s="145"/>
      <c r="LUI211" s="146"/>
      <c r="LUJ211" s="142"/>
      <c r="LUK211" s="143"/>
      <c r="LUL211" s="144"/>
      <c r="LUM211" s="124"/>
      <c r="LUN211" s="145"/>
      <c r="LUO211" s="145"/>
      <c r="LUP211" s="146"/>
      <c r="LUQ211" s="142"/>
      <c r="LUR211" s="143"/>
      <c r="LUS211" s="144"/>
      <c r="LUT211" s="124"/>
      <c r="LUU211" s="145"/>
      <c r="LUV211" s="145"/>
      <c r="LUW211" s="146"/>
      <c r="LUX211" s="142"/>
      <c r="LUY211" s="143"/>
      <c r="LUZ211" s="144"/>
      <c r="LVA211" s="124"/>
      <c r="LVB211" s="145"/>
      <c r="LVC211" s="145"/>
      <c r="LVD211" s="146"/>
      <c r="LVE211" s="142"/>
      <c r="LVF211" s="143"/>
      <c r="LVG211" s="144"/>
      <c r="LVH211" s="124"/>
      <c r="LVI211" s="145"/>
      <c r="LVJ211" s="145"/>
      <c r="LVK211" s="146"/>
      <c r="LVL211" s="142"/>
      <c r="LVM211" s="143"/>
      <c r="LVN211" s="144"/>
      <c r="LVO211" s="124"/>
      <c r="LVP211" s="145"/>
      <c r="LVQ211" s="145"/>
      <c r="LVR211" s="146"/>
      <c r="LVS211" s="142"/>
      <c r="LVT211" s="143"/>
      <c r="LVU211" s="144"/>
      <c r="LVV211" s="124"/>
      <c r="LVW211" s="145"/>
      <c r="LVX211" s="145"/>
      <c r="LVY211" s="146"/>
      <c r="LVZ211" s="142"/>
      <c r="LWA211" s="143"/>
      <c r="LWB211" s="144"/>
      <c r="LWC211" s="124"/>
      <c r="LWD211" s="145"/>
      <c r="LWE211" s="145"/>
      <c r="LWF211" s="146"/>
      <c r="LWG211" s="142"/>
      <c r="LWH211" s="143"/>
      <c r="LWI211" s="144"/>
      <c r="LWJ211" s="124"/>
      <c r="LWK211" s="145"/>
      <c r="LWL211" s="145"/>
      <c r="LWM211" s="146"/>
      <c r="LWN211" s="142"/>
      <c r="LWO211" s="143"/>
      <c r="LWP211" s="144"/>
      <c r="LWQ211" s="124"/>
      <c r="LWR211" s="145"/>
      <c r="LWS211" s="145"/>
      <c r="LWT211" s="146"/>
      <c r="LWU211" s="142"/>
      <c r="LWV211" s="143"/>
      <c r="LWW211" s="144"/>
      <c r="LWX211" s="124"/>
      <c r="LWY211" s="145"/>
      <c r="LWZ211" s="145"/>
      <c r="LXA211" s="146"/>
      <c r="LXB211" s="142"/>
      <c r="LXC211" s="143"/>
      <c r="LXD211" s="144"/>
      <c r="LXE211" s="124"/>
      <c r="LXF211" s="145"/>
      <c r="LXG211" s="145"/>
      <c r="LXH211" s="146"/>
      <c r="LXI211" s="142"/>
      <c r="LXJ211" s="143"/>
      <c r="LXK211" s="144"/>
      <c r="LXL211" s="124"/>
      <c r="LXM211" s="145"/>
      <c r="LXN211" s="145"/>
      <c r="LXO211" s="146"/>
      <c r="LXP211" s="142"/>
      <c r="LXQ211" s="143"/>
      <c r="LXR211" s="144"/>
      <c r="LXS211" s="124"/>
      <c r="LXT211" s="145"/>
      <c r="LXU211" s="145"/>
      <c r="LXV211" s="146"/>
      <c r="LXW211" s="142"/>
      <c r="LXX211" s="143"/>
      <c r="LXY211" s="144"/>
      <c r="LXZ211" s="124"/>
      <c r="LYA211" s="145"/>
      <c r="LYB211" s="145"/>
      <c r="LYC211" s="146"/>
      <c r="LYD211" s="142"/>
      <c r="LYE211" s="143"/>
      <c r="LYF211" s="144"/>
      <c r="LYG211" s="124"/>
      <c r="LYH211" s="145"/>
      <c r="LYI211" s="145"/>
      <c r="LYJ211" s="146"/>
      <c r="LYK211" s="142"/>
      <c r="LYL211" s="143"/>
      <c r="LYM211" s="144"/>
      <c r="LYN211" s="124"/>
      <c r="LYO211" s="145"/>
      <c r="LYP211" s="145"/>
      <c r="LYQ211" s="146"/>
      <c r="LYR211" s="142"/>
      <c r="LYS211" s="143"/>
      <c r="LYT211" s="144"/>
      <c r="LYU211" s="124"/>
      <c r="LYV211" s="145"/>
      <c r="LYW211" s="145"/>
      <c r="LYX211" s="146"/>
      <c r="LYY211" s="142"/>
      <c r="LYZ211" s="143"/>
      <c r="LZA211" s="144"/>
      <c r="LZB211" s="124"/>
      <c r="LZC211" s="145"/>
      <c r="LZD211" s="145"/>
      <c r="LZE211" s="146"/>
      <c r="LZF211" s="142"/>
      <c r="LZG211" s="143"/>
      <c r="LZH211" s="144"/>
      <c r="LZI211" s="124"/>
      <c r="LZJ211" s="145"/>
      <c r="LZK211" s="145"/>
      <c r="LZL211" s="146"/>
      <c r="LZM211" s="142"/>
      <c r="LZN211" s="143"/>
      <c r="LZO211" s="144"/>
      <c r="LZP211" s="124"/>
      <c r="LZQ211" s="145"/>
      <c r="LZR211" s="145"/>
      <c r="LZS211" s="146"/>
      <c r="LZT211" s="142"/>
      <c r="LZU211" s="143"/>
      <c r="LZV211" s="144"/>
      <c r="LZW211" s="124"/>
      <c r="LZX211" s="145"/>
      <c r="LZY211" s="145"/>
      <c r="LZZ211" s="146"/>
      <c r="MAA211" s="142"/>
      <c r="MAB211" s="143"/>
      <c r="MAC211" s="144"/>
      <c r="MAD211" s="124"/>
      <c r="MAE211" s="145"/>
      <c r="MAF211" s="145"/>
      <c r="MAG211" s="146"/>
      <c r="MAH211" s="142"/>
      <c r="MAI211" s="143"/>
      <c r="MAJ211" s="144"/>
      <c r="MAK211" s="124"/>
      <c r="MAL211" s="145"/>
      <c r="MAM211" s="145"/>
      <c r="MAN211" s="146"/>
      <c r="MAO211" s="142"/>
      <c r="MAP211" s="143"/>
      <c r="MAQ211" s="144"/>
      <c r="MAR211" s="124"/>
      <c r="MAS211" s="145"/>
      <c r="MAT211" s="145"/>
      <c r="MAU211" s="146"/>
      <c r="MAV211" s="142"/>
      <c r="MAW211" s="143"/>
      <c r="MAX211" s="144"/>
      <c r="MAY211" s="124"/>
      <c r="MAZ211" s="145"/>
      <c r="MBA211" s="145"/>
      <c r="MBB211" s="146"/>
      <c r="MBC211" s="142"/>
      <c r="MBD211" s="143"/>
      <c r="MBE211" s="144"/>
      <c r="MBF211" s="124"/>
      <c r="MBG211" s="145"/>
      <c r="MBH211" s="145"/>
      <c r="MBI211" s="146"/>
      <c r="MBJ211" s="142"/>
      <c r="MBK211" s="143"/>
      <c r="MBL211" s="144"/>
      <c r="MBM211" s="124"/>
      <c r="MBN211" s="145"/>
      <c r="MBO211" s="145"/>
      <c r="MBP211" s="146"/>
      <c r="MBQ211" s="142"/>
      <c r="MBR211" s="143"/>
      <c r="MBS211" s="144"/>
      <c r="MBT211" s="124"/>
      <c r="MBU211" s="145"/>
      <c r="MBV211" s="145"/>
      <c r="MBW211" s="146"/>
      <c r="MBX211" s="142"/>
      <c r="MBY211" s="143"/>
      <c r="MBZ211" s="144"/>
      <c r="MCA211" s="124"/>
      <c r="MCB211" s="145"/>
      <c r="MCC211" s="145"/>
      <c r="MCD211" s="146"/>
      <c r="MCE211" s="142"/>
      <c r="MCF211" s="143"/>
      <c r="MCG211" s="144"/>
      <c r="MCH211" s="124"/>
      <c r="MCI211" s="145"/>
      <c r="MCJ211" s="145"/>
      <c r="MCK211" s="146"/>
      <c r="MCL211" s="142"/>
      <c r="MCM211" s="143"/>
      <c r="MCN211" s="144"/>
      <c r="MCO211" s="124"/>
      <c r="MCP211" s="145"/>
      <c r="MCQ211" s="145"/>
      <c r="MCR211" s="146"/>
      <c r="MCS211" s="142"/>
      <c r="MCT211" s="143"/>
      <c r="MCU211" s="144"/>
      <c r="MCV211" s="124"/>
      <c r="MCW211" s="145"/>
      <c r="MCX211" s="145"/>
      <c r="MCY211" s="146"/>
      <c r="MCZ211" s="142"/>
      <c r="MDA211" s="143"/>
      <c r="MDB211" s="144"/>
      <c r="MDC211" s="124"/>
      <c r="MDD211" s="145"/>
      <c r="MDE211" s="145"/>
      <c r="MDF211" s="146"/>
      <c r="MDG211" s="142"/>
      <c r="MDH211" s="143"/>
      <c r="MDI211" s="144"/>
      <c r="MDJ211" s="124"/>
      <c r="MDK211" s="145"/>
      <c r="MDL211" s="145"/>
      <c r="MDM211" s="146"/>
      <c r="MDN211" s="142"/>
      <c r="MDO211" s="143"/>
      <c r="MDP211" s="144"/>
      <c r="MDQ211" s="124"/>
      <c r="MDR211" s="145"/>
      <c r="MDS211" s="145"/>
      <c r="MDT211" s="146"/>
      <c r="MDU211" s="142"/>
      <c r="MDV211" s="143"/>
      <c r="MDW211" s="144"/>
      <c r="MDX211" s="124"/>
      <c r="MDY211" s="145"/>
      <c r="MDZ211" s="145"/>
      <c r="MEA211" s="146"/>
      <c r="MEB211" s="142"/>
      <c r="MEC211" s="143"/>
      <c r="MED211" s="144"/>
      <c r="MEE211" s="124"/>
      <c r="MEF211" s="145"/>
      <c r="MEG211" s="145"/>
      <c r="MEH211" s="146"/>
      <c r="MEI211" s="142"/>
      <c r="MEJ211" s="143"/>
      <c r="MEK211" s="144"/>
      <c r="MEL211" s="124"/>
      <c r="MEM211" s="145"/>
      <c r="MEN211" s="145"/>
      <c r="MEO211" s="146"/>
      <c r="MEP211" s="142"/>
      <c r="MEQ211" s="143"/>
      <c r="MER211" s="144"/>
      <c r="MES211" s="124"/>
      <c r="MET211" s="145"/>
      <c r="MEU211" s="145"/>
      <c r="MEV211" s="146"/>
      <c r="MEW211" s="142"/>
      <c r="MEX211" s="143"/>
      <c r="MEY211" s="144"/>
      <c r="MEZ211" s="124"/>
      <c r="MFA211" s="145"/>
      <c r="MFB211" s="145"/>
      <c r="MFC211" s="146"/>
      <c r="MFD211" s="142"/>
      <c r="MFE211" s="143"/>
      <c r="MFF211" s="144"/>
      <c r="MFG211" s="124"/>
      <c r="MFH211" s="145"/>
      <c r="MFI211" s="145"/>
      <c r="MFJ211" s="146"/>
      <c r="MFK211" s="142"/>
      <c r="MFL211" s="143"/>
      <c r="MFM211" s="144"/>
      <c r="MFN211" s="124"/>
      <c r="MFO211" s="145"/>
      <c r="MFP211" s="145"/>
      <c r="MFQ211" s="146"/>
      <c r="MFR211" s="142"/>
      <c r="MFS211" s="143"/>
      <c r="MFT211" s="144"/>
      <c r="MFU211" s="124"/>
      <c r="MFV211" s="145"/>
      <c r="MFW211" s="145"/>
      <c r="MFX211" s="146"/>
      <c r="MFY211" s="142"/>
      <c r="MFZ211" s="143"/>
      <c r="MGA211" s="144"/>
      <c r="MGB211" s="124"/>
      <c r="MGC211" s="145"/>
      <c r="MGD211" s="145"/>
      <c r="MGE211" s="146"/>
      <c r="MGF211" s="142"/>
      <c r="MGG211" s="143"/>
      <c r="MGH211" s="144"/>
      <c r="MGI211" s="124"/>
      <c r="MGJ211" s="145"/>
      <c r="MGK211" s="145"/>
      <c r="MGL211" s="146"/>
      <c r="MGM211" s="142"/>
      <c r="MGN211" s="143"/>
      <c r="MGO211" s="144"/>
      <c r="MGP211" s="124"/>
      <c r="MGQ211" s="145"/>
      <c r="MGR211" s="145"/>
      <c r="MGS211" s="146"/>
      <c r="MGT211" s="142"/>
      <c r="MGU211" s="143"/>
      <c r="MGV211" s="144"/>
      <c r="MGW211" s="124"/>
      <c r="MGX211" s="145"/>
      <c r="MGY211" s="145"/>
      <c r="MGZ211" s="146"/>
      <c r="MHA211" s="142"/>
      <c r="MHB211" s="143"/>
      <c r="MHC211" s="144"/>
      <c r="MHD211" s="124"/>
      <c r="MHE211" s="145"/>
      <c r="MHF211" s="145"/>
      <c r="MHG211" s="146"/>
      <c r="MHH211" s="142"/>
      <c r="MHI211" s="143"/>
      <c r="MHJ211" s="144"/>
      <c r="MHK211" s="124"/>
      <c r="MHL211" s="145"/>
      <c r="MHM211" s="145"/>
      <c r="MHN211" s="146"/>
      <c r="MHO211" s="142"/>
      <c r="MHP211" s="143"/>
      <c r="MHQ211" s="144"/>
      <c r="MHR211" s="124"/>
      <c r="MHS211" s="145"/>
      <c r="MHT211" s="145"/>
      <c r="MHU211" s="146"/>
      <c r="MHV211" s="142"/>
      <c r="MHW211" s="143"/>
      <c r="MHX211" s="144"/>
      <c r="MHY211" s="124"/>
      <c r="MHZ211" s="145"/>
      <c r="MIA211" s="145"/>
      <c r="MIB211" s="146"/>
      <c r="MIC211" s="142"/>
      <c r="MID211" s="143"/>
      <c r="MIE211" s="144"/>
      <c r="MIF211" s="124"/>
      <c r="MIG211" s="145"/>
      <c r="MIH211" s="145"/>
      <c r="MII211" s="146"/>
      <c r="MIJ211" s="142"/>
      <c r="MIK211" s="143"/>
      <c r="MIL211" s="144"/>
      <c r="MIM211" s="124"/>
      <c r="MIN211" s="145"/>
      <c r="MIO211" s="145"/>
      <c r="MIP211" s="146"/>
      <c r="MIQ211" s="142"/>
      <c r="MIR211" s="143"/>
      <c r="MIS211" s="144"/>
      <c r="MIT211" s="124"/>
      <c r="MIU211" s="145"/>
      <c r="MIV211" s="145"/>
      <c r="MIW211" s="146"/>
      <c r="MIX211" s="142"/>
      <c r="MIY211" s="143"/>
      <c r="MIZ211" s="144"/>
      <c r="MJA211" s="124"/>
      <c r="MJB211" s="145"/>
      <c r="MJC211" s="145"/>
      <c r="MJD211" s="146"/>
      <c r="MJE211" s="142"/>
      <c r="MJF211" s="143"/>
      <c r="MJG211" s="144"/>
      <c r="MJH211" s="124"/>
      <c r="MJI211" s="145"/>
      <c r="MJJ211" s="145"/>
      <c r="MJK211" s="146"/>
      <c r="MJL211" s="142"/>
      <c r="MJM211" s="143"/>
      <c r="MJN211" s="144"/>
      <c r="MJO211" s="124"/>
      <c r="MJP211" s="145"/>
      <c r="MJQ211" s="145"/>
      <c r="MJR211" s="146"/>
      <c r="MJS211" s="142"/>
      <c r="MJT211" s="143"/>
      <c r="MJU211" s="144"/>
      <c r="MJV211" s="124"/>
      <c r="MJW211" s="145"/>
      <c r="MJX211" s="145"/>
      <c r="MJY211" s="146"/>
      <c r="MJZ211" s="142"/>
      <c r="MKA211" s="143"/>
      <c r="MKB211" s="144"/>
      <c r="MKC211" s="124"/>
      <c r="MKD211" s="145"/>
      <c r="MKE211" s="145"/>
      <c r="MKF211" s="146"/>
      <c r="MKG211" s="142"/>
      <c r="MKH211" s="143"/>
      <c r="MKI211" s="144"/>
      <c r="MKJ211" s="124"/>
      <c r="MKK211" s="145"/>
      <c r="MKL211" s="145"/>
      <c r="MKM211" s="146"/>
      <c r="MKN211" s="142"/>
      <c r="MKO211" s="143"/>
      <c r="MKP211" s="144"/>
      <c r="MKQ211" s="124"/>
      <c r="MKR211" s="145"/>
      <c r="MKS211" s="145"/>
      <c r="MKT211" s="146"/>
      <c r="MKU211" s="142"/>
      <c r="MKV211" s="143"/>
      <c r="MKW211" s="144"/>
      <c r="MKX211" s="124"/>
      <c r="MKY211" s="145"/>
      <c r="MKZ211" s="145"/>
      <c r="MLA211" s="146"/>
      <c r="MLB211" s="142"/>
      <c r="MLC211" s="143"/>
      <c r="MLD211" s="144"/>
      <c r="MLE211" s="124"/>
      <c r="MLF211" s="145"/>
      <c r="MLG211" s="145"/>
      <c r="MLH211" s="146"/>
      <c r="MLI211" s="142"/>
      <c r="MLJ211" s="143"/>
      <c r="MLK211" s="144"/>
      <c r="MLL211" s="124"/>
      <c r="MLM211" s="145"/>
      <c r="MLN211" s="145"/>
      <c r="MLO211" s="146"/>
      <c r="MLP211" s="142"/>
      <c r="MLQ211" s="143"/>
      <c r="MLR211" s="144"/>
      <c r="MLS211" s="124"/>
      <c r="MLT211" s="145"/>
      <c r="MLU211" s="145"/>
      <c r="MLV211" s="146"/>
      <c r="MLW211" s="142"/>
      <c r="MLX211" s="143"/>
      <c r="MLY211" s="144"/>
      <c r="MLZ211" s="124"/>
      <c r="MMA211" s="145"/>
      <c r="MMB211" s="145"/>
      <c r="MMC211" s="146"/>
      <c r="MMD211" s="142"/>
      <c r="MME211" s="143"/>
      <c r="MMF211" s="144"/>
      <c r="MMG211" s="124"/>
      <c r="MMH211" s="145"/>
      <c r="MMI211" s="145"/>
      <c r="MMJ211" s="146"/>
      <c r="MMK211" s="142"/>
      <c r="MML211" s="143"/>
      <c r="MMM211" s="144"/>
      <c r="MMN211" s="124"/>
      <c r="MMO211" s="145"/>
      <c r="MMP211" s="145"/>
      <c r="MMQ211" s="146"/>
      <c r="MMR211" s="142"/>
      <c r="MMS211" s="143"/>
      <c r="MMT211" s="144"/>
      <c r="MMU211" s="124"/>
      <c r="MMV211" s="145"/>
      <c r="MMW211" s="145"/>
      <c r="MMX211" s="146"/>
      <c r="MMY211" s="142"/>
      <c r="MMZ211" s="143"/>
      <c r="MNA211" s="144"/>
      <c r="MNB211" s="124"/>
      <c r="MNC211" s="145"/>
      <c r="MND211" s="145"/>
      <c r="MNE211" s="146"/>
      <c r="MNF211" s="142"/>
      <c r="MNG211" s="143"/>
      <c r="MNH211" s="144"/>
      <c r="MNI211" s="124"/>
      <c r="MNJ211" s="145"/>
      <c r="MNK211" s="145"/>
      <c r="MNL211" s="146"/>
      <c r="MNM211" s="142"/>
      <c r="MNN211" s="143"/>
      <c r="MNO211" s="144"/>
      <c r="MNP211" s="124"/>
      <c r="MNQ211" s="145"/>
      <c r="MNR211" s="145"/>
      <c r="MNS211" s="146"/>
      <c r="MNT211" s="142"/>
      <c r="MNU211" s="143"/>
      <c r="MNV211" s="144"/>
      <c r="MNW211" s="124"/>
      <c r="MNX211" s="145"/>
      <c r="MNY211" s="145"/>
      <c r="MNZ211" s="146"/>
      <c r="MOA211" s="142"/>
      <c r="MOB211" s="143"/>
      <c r="MOC211" s="144"/>
      <c r="MOD211" s="124"/>
      <c r="MOE211" s="145"/>
      <c r="MOF211" s="145"/>
      <c r="MOG211" s="146"/>
      <c r="MOH211" s="142"/>
      <c r="MOI211" s="143"/>
      <c r="MOJ211" s="144"/>
      <c r="MOK211" s="124"/>
      <c r="MOL211" s="145"/>
      <c r="MOM211" s="145"/>
      <c r="MON211" s="146"/>
      <c r="MOO211" s="142"/>
      <c r="MOP211" s="143"/>
      <c r="MOQ211" s="144"/>
      <c r="MOR211" s="124"/>
      <c r="MOS211" s="145"/>
      <c r="MOT211" s="145"/>
      <c r="MOU211" s="146"/>
      <c r="MOV211" s="142"/>
      <c r="MOW211" s="143"/>
      <c r="MOX211" s="144"/>
      <c r="MOY211" s="124"/>
      <c r="MOZ211" s="145"/>
      <c r="MPA211" s="145"/>
      <c r="MPB211" s="146"/>
      <c r="MPC211" s="142"/>
      <c r="MPD211" s="143"/>
      <c r="MPE211" s="144"/>
      <c r="MPF211" s="124"/>
      <c r="MPG211" s="145"/>
      <c r="MPH211" s="145"/>
      <c r="MPI211" s="146"/>
      <c r="MPJ211" s="142"/>
      <c r="MPK211" s="143"/>
      <c r="MPL211" s="144"/>
      <c r="MPM211" s="124"/>
      <c r="MPN211" s="145"/>
      <c r="MPO211" s="145"/>
      <c r="MPP211" s="146"/>
      <c r="MPQ211" s="142"/>
      <c r="MPR211" s="143"/>
      <c r="MPS211" s="144"/>
      <c r="MPT211" s="124"/>
      <c r="MPU211" s="145"/>
      <c r="MPV211" s="145"/>
      <c r="MPW211" s="146"/>
      <c r="MPX211" s="142"/>
      <c r="MPY211" s="143"/>
      <c r="MPZ211" s="144"/>
      <c r="MQA211" s="124"/>
      <c r="MQB211" s="145"/>
      <c r="MQC211" s="145"/>
      <c r="MQD211" s="146"/>
      <c r="MQE211" s="142"/>
      <c r="MQF211" s="143"/>
      <c r="MQG211" s="144"/>
      <c r="MQH211" s="124"/>
      <c r="MQI211" s="145"/>
      <c r="MQJ211" s="145"/>
      <c r="MQK211" s="146"/>
      <c r="MQL211" s="142"/>
      <c r="MQM211" s="143"/>
      <c r="MQN211" s="144"/>
      <c r="MQO211" s="124"/>
      <c r="MQP211" s="145"/>
      <c r="MQQ211" s="145"/>
      <c r="MQR211" s="146"/>
      <c r="MQS211" s="142"/>
      <c r="MQT211" s="143"/>
      <c r="MQU211" s="144"/>
      <c r="MQV211" s="124"/>
      <c r="MQW211" s="145"/>
      <c r="MQX211" s="145"/>
      <c r="MQY211" s="146"/>
      <c r="MQZ211" s="142"/>
      <c r="MRA211" s="143"/>
      <c r="MRB211" s="144"/>
      <c r="MRC211" s="124"/>
      <c r="MRD211" s="145"/>
      <c r="MRE211" s="145"/>
      <c r="MRF211" s="146"/>
      <c r="MRG211" s="142"/>
      <c r="MRH211" s="143"/>
      <c r="MRI211" s="144"/>
      <c r="MRJ211" s="124"/>
      <c r="MRK211" s="145"/>
      <c r="MRL211" s="145"/>
      <c r="MRM211" s="146"/>
      <c r="MRN211" s="142"/>
      <c r="MRO211" s="143"/>
      <c r="MRP211" s="144"/>
      <c r="MRQ211" s="124"/>
      <c r="MRR211" s="145"/>
      <c r="MRS211" s="145"/>
      <c r="MRT211" s="146"/>
      <c r="MRU211" s="142"/>
      <c r="MRV211" s="143"/>
      <c r="MRW211" s="144"/>
      <c r="MRX211" s="124"/>
      <c r="MRY211" s="145"/>
      <c r="MRZ211" s="145"/>
      <c r="MSA211" s="146"/>
      <c r="MSB211" s="142"/>
      <c r="MSC211" s="143"/>
      <c r="MSD211" s="144"/>
      <c r="MSE211" s="124"/>
      <c r="MSF211" s="145"/>
      <c r="MSG211" s="145"/>
      <c r="MSH211" s="146"/>
      <c r="MSI211" s="142"/>
      <c r="MSJ211" s="143"/>
      <c r="MSK211" s="144"/>
      <c r="MSL211" s="124"/>
      <c r="MSM211" s="145"/>
      <c r="MSN211" s="145"/>
      <c r="MSO211" s="146"/>
      <c r="MSP211" s="142"/>
      <c r="MSQ211" s="143"/>
      <c r="MSR211" s="144"/>
      <c r="MSS211" s="124"/>
      <c r="MST211" s="145"/>
      <c r="MSU211" s="145"/>
      <c r="MSV211" s="146"/>
      <c r="MSW211" s="142"/>
      <c r="MSX211" s="143"/>
      <c r="MSY211" s="144"/>
      <c r="MSZ211" s="124"/>
      <c r="MTA211" s="145"/>
      <c r="MTB211" s="145"/>
      <c r="MTC211" s="146"/>
      <c r="MTD211" s="142"/>
      <c r="MTE211" s="143"/>
      <c r="MTF211" s="144"/>
      <c r="MTG211" s="124"/>
      <c r="MTH211" s="145"/>
      <c r="MTI211" s="145"/>
      <c r="MTJ211" s="146"/>
      <c r="MTK211" s="142"/>
      <c r="MTL211" s="143"/>
      <c r="MTM211" s="144"/>
      <c r="MTN211" s="124"/>
      <c r="MTO211" s="145"/>
      <c r="MTP211" s="145"/>
      <c r="MTQ211" s="146"/>
      <c r="MTR211" s="142"/>
      <c r="MTS211" s="143"/>
      <c r="MTT211" s="144"/>
      <c r="MTU211" s="124"/>
      <c r="MTV211" s="145"/>
      <c r="MTW211" s="145"/>
      <c r="MTX211" s="146"/>
      <c r="MTY211" s="142"/>
      <c r="MTZ211" s="143"/>
      <c r="MUA211" s="144"/>
      <c r="MUB211" s="124"/>
      <c r="MUC211" s="145"/>
      <c r="MUD211" s="145"/>
      <c r="MUE211" s="146"/>
      <c r="MUF211" s="142"/>
      <c r="MUG211" s="143"/>
      <c r="MUH211" s="144"/>
      <c r="MUI211" s="124"/>
      <c r="MUJ211" s="145"/>
      <c r="MUK211" s="145"/>
      <c r="MUL211" s="146"/>
      <c r="MUM211" s="142"/>
      <c r="MUN211" s="143"/>
      <c r="MUO211" s="144"/>
      <c r="MUP211" s="124"/>
      <c r="MUQ211" s="145"/>
      <c r="MUR211" s="145"/>
      <c r="MUS211" s="146"/>
      <c r="MUT211" s="142"/>
      <c r="MUU211" s="143"/>
      <c r="MUV211" s="144"/>
      <c r="MUW211" s="124"/>
      <c r="MUX211" s="145"/>
      <c r="MUY211" s="145"/>
      <c r="MUZ211" s="146"/>
      <c r="MVA211" s="142"/>
      <c r="MVB211" s="143"/>
      <c r="MVC211" s="144"/>
      <c r="MVD211" s="124"/>
      <c r="MVE211" s="145"/>
      <c r="MVF211" s="145"/>
      <c r="MVG211" s="146"/>
      <c r="MVH211" s="142"/>
      <c r="MVI211" s="143"/>
      <c r="MVJ211" s="144"/>
      <c r="MVK211" s="124"/>
      <c r="MVL211" s="145"/>
      <c r="MVM211" s="145"/>
      <c r="MVN211" s="146"/>
      <c r="MVO211" s="142"/>
      <c r="MVP211" s="143"/>
      <c r="MVQ211" s="144"/>
      <c r="MVR211" s="124"/>
      <c r="MVS211" s="145"/>
      <c r="MVT211" s="145"/>
      <c r="MVU211" s="146"/>
      <c r="MVV211" s="142"/>
      <c r="MVW211" s="143"/>
      <c r="MVX211" s="144"/>
      <c r="MVY211" s="124"/>
      <c r="MVZ211" s="145"/>
      <c r="MWA211" s="145"/>
      <c r="MWB211" s="146"/>
      <c r="MWC211" s="142"/>
      <c r="MWD211" s="143"/>
      <c r="MWE211" s="144"/>
      <c r="MWF211" s="124"/>
      <c r="MWG211" s="145"/>
      <c r="MWH211" s="145"/>
      <c r="MWI211" s="146"/>
      <c r="MWJ211" s="142"/>
      <c r="MWK211" s="143"/>
      <c r="MWL211" s="144"/>
      <c r="MWM211" s="124"/>
      <c r="MWN211" s="145"/>
      <c r="MWO211" s="145"/>
      <c r="MWP211" s="146"/>
      <c r="MWQ211" s="142"/>
      <c r="MWR211" s="143"/>
      <c r="MWS211" s="144"/>
      <c r="MWT211" s="124"/>
      <c r="MWU211" s="145"/>
      <c r="MWV211" s="145"/>
      <c r="MWW211" s="146"/>
      <c r="MWX211" s="142"/>
      <c r="MWY211" s="143"/>
      <c r="MWZ211" s="144"/>
      <c r="MXA211" s="124"/>
      <c r="MXB211" s="145"/>
      <c r="MXC211" s="145"/>
      <c r="MXD211" s="146"/>
      <c r="MXE211" s="142"/>
      <c r="MXF211" s="143"/>
      <c r="MXG211" s="144"/>
      <c r="MXH211" s="124"/>
      <c r="MXI211" s="145"/>
      <c r="MXJ211" s="145"/>
      <c r="MXK211" s="146"/>
      <c r="MXL211" s="142"/>
      <c r="MXM211" s="143"/>
      <c r="MXN211" s="144"/>
      <c r="MXO211" s="124"/>
      <c r="MXP211" s="145"/>
      <c r="MXQ211" s="145"/>
      <c r="MXR211" s="146"/>
      <c r="MXS211" s="142"/>
      <c r="MXT211" s="143"/>
      <c r="MXU211" s="144"/>
      <c r="MXV211" s="124"/>
      <c r="MXW211" s="145"/>
      <c r="MXX211" s="145"/>
      <c r="MXY211" s="146"/>
      <c r="MXZ211" s="142"/>
      <c r="MYA211" s="143"/>
      <c r="MYB211" s="144"/>
      <c r="MYC211" s="124"/>
      <c r="MYD211" s="145"/>
      <c r="MYE211" s="145"/>
      <c r="MYF211" s="146"/>
      <c r="MYG211" s="142"/>
      <c r="MYH211" s="143"/>
      <c r="MYI211" s="144"/>
      <c r="MYJ211" s="124"/>
      <c r="MYK211" s="145"/>
      <c r="MYL211" s="145"/>
      <c r="MYM211" s="146"/>
      <c r="MYN211" s="142"/>
      <c r="MYO211" s="143"/>
      <c r="MYP211" s="144"/>
      <c r="MYQ211" s="124"/>
      <c r="MYR211" s="145"/>
      <c r="MYS211" s="145"/>
      <c r="MYT211" s="146"/>
      <c r="MYU211" s="142"/>
      <c r="MYV211" s="143"/>
      <c r="MYW211" s="144"/>
      <c r="MYX211" s="124"/>
      <c r="MYY211" s="145"/>
      <c r="MYZ211" s="145"/>
      <c r="MZA211" s="146"/>
      <c r="MZB211" s="142"/>
      <c r="MZC211" s="143"/>
      <c r="MZD211" s="144"/>
      <c r="MZE211" s="124"/>
      <c r="MZF211" s="145"/>
      <c r="MZG211" s="145"/>
      <c r="MZH211" s="146"/>
      <c r="MZI211" s="142"/>
      <c r="MZJ211" s="143"/>
      <c r="MZK211" s="144"/>
      <c r="MZL211" s="124"/>
      <c r="MZM211" s="145"/>
      <c r="MZN211" s="145"/>
      <c r="MZO211" s="146"/>
      <c r="MZP211" s="142"/>
      <c r="MZQ211" s="143"/>
      <c r="MZR211" s="144"/>
      <c r="MZS211" s="124"/>
      <c r="MZT211" s="145"/>
      <c r="MZU211" s="145"/>
      <c r="MZV211" s="146"/>
      <c r="MZW211" s="142"/>
      <c r="MZX211" s="143"/>
      <c r="MZY211" s="144"/>
      <c r="MZZ211" s="124"/>
      <c r="NAA211" s="145"/>
      <c r="NAB211" s="145"/>
      <c r="NAC211" s="146"/>
      <c r="NAD211" s="142"/>
      <c r="NAE211" s="143"/>
      <c r="NAF211" s="144"/>
      <c r="NAG211" s="124"/>
      <c r="NAH211" s="145"/>
      <c r="NAI211" s="145"/>
      <c r="NAJ211" s="146"/>
      <c r="NAK211" s="142"/>
      <c r="NAL211" s="143"/>
      <c r="NAM211" s="144"/>
      <c r="NAN211" s="124"/>
      <c r="NAO211" s="145"/>
      <c r="NAP211" s="145"/>
      <c r="NAQ211" s="146"/>
      <c r="NAR211" s="142"/>
      <c r="NAS211" s="143"/>
      <c r="NAT211" s="144"/>
      <c r="NAU211" s="124"/>
      <c r="NAV211" s="145"/>
      <c r="NAW211" s="145"/>
      <c r="NAX211" s="146"/>
      <c r="NAY211" s="142"/>
      <c r="NAZ211" s="143"/>
      <c r="NBA211" s="144"/>
      <c r="NBB211" s="124"/>
      <c r="NBC211" s="145"/>
      <c r="NBD211" s="145"/>
      <c r="NBE211" s="146"/>
      <c r="NBF211" s="142"/>
      <c r="NBG211" s="143"/>
      <c r="NBH211" s="144"/>
      <c r="NBI211" s="124"/>
      <c r="NBJ211" s="145"/>
      <c r="NBK211" s="145"/>
      <c r="NBL211" s="146"/>
      <c r="NBM211" s="142"/>
      <c r="NBN211" s="143"/>
      <c r="NBO211" s="144"/>
      <c r="NBP211" s="124"/>
      <c r="NBQ211" s="145"/>
      <c r="NBR211" s="145"/>
      <c r="NBS211" s="146"/>
      <c r="NBT211" s="142"/>
      <c r="NBU211" s="143"/>
      <c r="NBV211" s="144"/>
      <c r="NBW211" s="124"/>
      <c r="NBX211" s="145"/>
      <c r="NBY211" s="145"/>
      <c r="NBZ211" s="146"/>
      <c r="NCA211" s="142"/>
      <c r="NCB211" s="143"/>
      <c r="NCC211" s="144"/>
      <c r="NCD211" s="124"/>
      <c r="NCE211" s="145"/>
      <c r="NCF211" s="145"/>
      <c r="NCG211" s="146"/>
      <c r="NCH211" s="142"/>
      <c r="NCI211" s="143"/>
      <c r="NCJ211" s="144"/>
      <c r="NCK211" s="124"/>
      <c r="NCL211" s="145"/>
      <c r="NCM211" s="145"/>
      <c r="NCN211" s="146"/>
      <c r="NCO211" s="142"/>
      <c r="NCP211" s="143"/>
      <c r="NCQ211" s="144"/>
      <c r="NCR211" s="124"/>
      <c r="NCS211" s="145"/>
      <c r="NCT211" s="145"/>
      <c r="NCU211" s="146"/>
      <c r="NCV211" s="142"/>
      <c r="NCW211" s="143"/>
      <c r="NCX211" s="144"/>
      <c r="NCY211" s="124"/>
      <c r="NCZ211" s="145"/>
      <c r="NDA211" s="145"/>
      <c r="NDB211" s="146"/>
      <c r="NDC211" s="142"/>
      <c r="NDD211" s="143"/>
      <c r="NDE211" s="144"/>
      <c r="NDF211" s="124"/>
      <c r="NDG211" s="145"/>
      <c r="NDH211" s="145"/>
      <c r="NDI211" s="146"/>
      <c r="NDJ211" s="142"/>
      <c r="NDK211" s="143"/>
      <c r="NDL211" s="144"/>
      <c r="NDM211" s="124"/>
      <c r="NDN211" s="145"/>
      <c r="NDO211" s="145"/>
      <c r="NDP211" s="146"/>
      <c r="NDQ211" s="142"/>
      <c r="NDR211" s="143"/>
      <c r="NDS211" s="144"/>
      <c r="NDT211" s="124"/>
      <c r="NDU211" s="145"/>
      <c r="NDV211" s="145"/>
      <c r="NDW211" s="146"/>
      <c r="NDX211" s="142"/>
      <c r="NDY211" s="143"/>
      <c r="NDZ211" s="144"/>
      <c r="NEA211" s="124"/>
      <c r="NEB211" s="145"/>
      <c r="NEC211" s="145"/>
      <c r="NED211" s="146"/>
      <c r="NEE211" s="142"/>
      <c r="NEF211" s="143"/>
      <c r="NEG211" s="144"/>
      <c r="NEH211" s="124"/>
      <c r="NEI211" s="145"/>
      <c r="NEJ211" s="145"/>
      <c r="NEK211" s="146"/>
      <c r="NEL211" s="142"/>
      <c r="NEM211" s="143"/>
      <c r="NEN211" s="144"/>
      <c r="NEO211" s="124"/>
      <c r="NEP211" s="145"/>
      <c r="NEQ211" s="145"/>
      <c r="NER211" s="146"/>
      <c r="NES211" s="142"/>
      <c r="NET211" s="143"/>
      <c r="NEU211" s="144"/>
      <c r="NEV211" s="124"/>
      <c r="NEW211" s="145"/>
      <c r="NEX211" s="145"/>
      <c r="NEY211" s="146"/>
      <c r="NEZ211" s="142"/>
      <c r="NFA211" s="143"/>
      <c r="NFB211" s="144"/>
      <c r="NFC211" s="124"/>
      <c r="NFD211" s="145"/>
      <c r="NFE211" s="145"/>
      <c r="NFF211" s="146"/>
      <c r="NFG211" s="142"/>
      <c r="NFH211" s="143"/>
      <c r="NFI211" s="144"/>
      <c r="NFJ211" s="124"/>
      <c r="NFK211" s="145"/>
      <c r="NFL211" s="145"/>
      <c r="NFM211" s="146"/>
      <c r="NFN211" s="142"/>
      <c r="NFO211" s="143"/>
      <c r="NFP211" s="144"/>
      <c r="NFQ211" s="124"/>
      <c r="NFR211" s="145"/>
      <c r="NFS211" s="145"/>
      <c r="NFT211" s="146"/>
      <c r="NFU211" s="142"/>
      <c r="NFV211" s="143"/>
      <c r="NFW211" s="144"/>
      <c r="NFX211" s="124"/>
      <c r="NFY211" s="145"/>
      <c r="NFZ211" s="145"/>
      <c r="NGA211" s="146"/>
      <c r="NGB211" s="142"/>
      <c r="NGC211" s="143"/>
      <c r="NGD211" s="144"/>
      <c r="NGE211" s="124"/>
      <c r="NGF211" s="145"/>
      <c r="NGG211" s="145"/>
      <c r="NGH211" s="146"/>
      <c r="NGI211" s="142"/>
      <c r="NGJ211" s="143"/>
      <c r="NGK211" s="144"/>
      <c r="NGL211" s="124"/>
      <c r="NGM211" s="145"/>
      <c r="NGN211" s="145"/>
      <c r="NGO211" s="146"/>
      <c r="NGP211" s="142"/>
      <c r="NGQ211" s="143"/>
      <c r="NGR211" s="144"/>
      <c r="NGS211" s="124"/>
      <c r="NGT211" s="145"/>
      <c r="NGU211" s="145"/>
      <c r="NGV211" s="146"/>
      <c r="NGW211" s="142"/>
      <c r="NGX211" s="143"/>
      <c r="NGY211" s="144"/>
      <c r="NGZ211" s="124"/>
      <c r="NHA211" s="145"/>
      <c r="NHB211" s="145"/>
      <c r="NHC211" s="146"/>
      <c r="NHD211" s="142"/>
      <c r="NHE211" s="143"/>
      <c r="NHF211" s="144"/>
      <c r="NHG211" s="124"/>
      <c r="NHH211" s="145"/>
      <c r="NHI211" s="145"/>
      <c r="NHJ211" s="146"/>
      <c r="NHK211" s="142"/>
      <c r="NHL211" s="143"/>
      <c r="NHM211" s="144"/>
      <c r="NHN211" s="124"/>
      <c r="NHO211" s="145"/>
      <c r="NHP211" s="145"/>
      <c r="NHQ211" s="146"/>
      <c r="NHR211" s="142"/>
      <c r="NHS211" s="143"/>
      <c r="NHT211" s="144"/>
      <c r="NHU211" s="124"/>
      <c r="NHV211" s="145"/>
      <c r="NHW211" s="145"/>
      <c r="NHX211" s="146"/>
      <c r="NHY211" s="142"/>
      <c r="NHZ211" s="143"/>
      <c r="NIA211" s="144"/>
      <c r="NIB211" s="124"/>
      <c r="NIC211" s="145"/>
      <c r="NID211" s="145"/>
      <c r="NIE211" s="146"/>
      <c r="NIF211" s="142"/>
      <c r="NIG211" s="143"/>
      <c r="NIH211" s="144"/>
      <c r="NII211" s="124"/>
      <c r="NIJ211" s="145"/>
      <c r="NIK211" s="145"/>
      <c r="NIL211" s="146"/>
      <c r="NIM211" s="142"/>
      <c r="NIN211" s="143"/>
      <c r="NIO211" s="144"/>
      <c r="NIP211" s="124"/>
      <c r="NIQ211" s="145"/>
      <c r="NIR211" s="145"/>
      <c r="NIS211" s="146"/>
      <c r="NIT211" s="142"/>
      <c r="NIU211" s="143"/>
      <c r="NIV211" s="144"/>
      <c r="NIW211" s="124"/>
      <c r="NIX211" s="145"/>
      <c r="NIY211" s="145"/>
      <c r="NIZ211" s="146"/>
      <c r="NJA211" s="142"/>
      <c r="NJB211" s="143"/>
      <c r="NJC211" s="144"/>
      <c r="NJD211" s="124"/>
      <c r="NJE211" s="145"/>
      <c r="NJF211" s="145"/>
      <c r="NJG211" s="146"/>
      <c r="NJH211" s="142"/>
      <c r="NJI211" s="143"/>
      <c r="NJJ211" s="144"/>
      <c r="NJK211" s="124"/>
      <c r="NJL211" s="145"/>
      <c r="NJM211" s="145"/>
      <c r="NJN211" s="146"/>
      <c r="NJO211" s="142"/>
      <c r="NJP211" s="143"/>
      <c r="NJQ211" s="144"/>
      <c r="NJR211" s="124"/>
      <c r="NJS211" s="145"/>
      <c r="NJT211" s="145"/>
      <c r="NJU211" s="146"/>
      <c r="NJV211" s="142"/>
      <c r="NJW211" s="143"/>
      <c r="NJX211" s="144"/>
      <c r="NJY211" s="124"/>
      <c r="NJZ211" s="145"/>
      <c r="NKA211" s="145"/>
      <c r="NKB211" s="146"/>
      <c r="NKC211" s="142"/>
      <c r="NKD211" s="143"/>
      <c r="NKE211" s="144"/>
      <c r="NKF211" s="124"/>
      <c r="NKG211" s="145"/>
      <c r="NKH211" s="145"/>
      <c r="NKI211" s="146"/>
      <c r="NKJ211" s="142"/>
      <c r="NKK211" s="143"/>
      <c r="NKL211" s="144"/>
      <c r="NKM211" s="124"/>
      <c r="NKN211" s="145"/>
      <c r="NKO211" s="145"/>
      <c r="NKP211" s="146"/>
      <c r="NKQ211" s="142"/>
      <c r="NKR211" s="143"/>
      <c r="NKS211" s="144"/>
      <c r="NKT211" s="124"/>
      <c r="NKU211" s="145"/>
      <c r="NKV211" s="145"/>
      <c r="NKW211" s="146"/>
      <c r="NKX211" s="142"/>
      <c r="NKY211" s="143"/>
      <c r="NKZ211" s="144"/>
      <c r="NLA211" s="124"/>
      <c r="NLB211" s="145"/>
      <c r="NLC211" s="145"/>
      <c r="NLD211" s="146"/>
      <c r="NLE211" s="142"/>
      <c r="NLF211" s="143"/>
      <c r="NLG211" s="144"/>
      <c r="NLH211" s="124"/>
      <c r="NLI211" s="145"/>
      <c r="NLJ211" s="145"/>
      <c r="NLK211" s="146"/>
      <c r="NLL211" s="142"/>
      <c r="NLM211" s="143"/>
      <c r="NLN211" s="144"/>
      <c r="NLO211" s="124"/>
      <c r="NLP211" s="145"/>
      <c r="NLQ211" s="145"/>
      <c r="NLR211" s="146"/>
      <c r="NLS211" s="142"/>
      <c r="NLT211" s="143"/>
      <c r="NLU211" s="144"/>
      <c r="NLV211" s="124"/>
      <c r="NLW211" s="145"/>
      <c r="NLX211" s="145"/>
      <c r="NLY211" s="146"/>
      <c r="NLZ211" s="142"/>
      <c r="NMA211" s="143"/>
      <c r="NMB211" s="144"/>
      <c r="NMC211" s="124"/>
      <c r="NMD211" s="145"/>
      <c r="NME211" s="145"/>
      <c r="NMF211" s="146"/>
      <c r="NMG211" s="142"/>
      <c r="NMH211" s="143"/>
      <c r="NMI211" s="144"/>
      <c r="NMJ211" s="124"/>
      <c r="NMK211" s="145"/>
      <c r="NML211" s="145"/>
      <c r="NMM211" s="146"/>
      <c r="NMN211" s="142"/>
      <c r="NMO211" s="143"/>
      <c r="NMP211" s="144"/>
      <c r="NMQ211" s="124"/>
      <c r="NMR211" s="145"/>
      <c r="NMS211" s="145"/>
      <c r="NMT211" s="146"/>
      <c r="NMU211" s="142"/>
      <c r="NMV211" s="143"/>
      <c r="NMW211" s="144"/>
      <c r="NMX211" s="124"/>
      <c r="NMY211" s="145"/>
      <c r="NMZ211" s="145"/>
      <c r="NNA211" s="146"/>
      <c r="NNB211" s="142"/>
      <c r="NNC211" s="143"/>
      <c r="NND211" s="144"/>
      <c r="NNE211" s="124"/>
      <c r="NNF211" s="145"/>
      <c r="NNG211" s="145"/>
      <c r="NNH211" s="146"/>
      <c r="NNI211" s="142"/>
      <c r="NNJ211" s="143"/>
      <c r="NNK211" s="144"/>
      <c r="NNL211" s="124"/>
      <c r="NNM211" s="145"/>
      <c r="NNN211" s="145"/>
      <c r="NNO211" s="146"/>
      <c r="NNP211" s="142"/>
      <c r="NNQ211" s="143"/>
      <c r="NNR211" s="144"/>
      <c r="NNS211" s="124"/>
      <c r="NNT211" s="145"/>
      <c r="NNU211" s="145"/>
      <c r="NNV211" s="146"/>
      <c r="NNW211" s="142"/>
      <c r="NNX211" s="143"/>
      <c r="NNY211" s="144"/>
      <c r="NNZ211" s="124"/>
      <c r="NOA211" s="145"/>
      <c r="NOB211" s="145"/>
      <c r="NOC211" s="146"/>
      <c r="NOD211" s="142"/>
      <c r="NOE211" s="143"/>
      <c r="NOF211" s="144"/>
      <c r="NOG211" s="124"/>
      <c r="NOH211" s="145"/>
      <c r="NOI211" s="145"/>
      <c r="NOJ211" s="146"/>
      <c r="NOK211" s="142"/>
      <c r="NOL211" s="143"/>
      <c r="NOM211" s="144"/>
      <c r="NON211" s="124"/>
      <c r="NOO211" s="145"/>
      <c r="NOP211" s="145"/>
      <c r="NOQ211" s="146"/>
      <c r="NOR211" s="142"/>
      <c r="NOS211" s="143"/>
      <c r="NOT211" s="144"/>
      <c r="NOU211" s="124"/>
      <c r="NOV211" s="145"/>
      <c r="NOW211" s="145"/>
      <c r="NOX211" s="146"/>
      <c r="NOY211" s="142"/>
      <c r="NOZ211" s="143"/>
      <c r="NPA211" s="144"/>
      <c r="NPB211" s="124"/>
      <c r="NPC211" s="145"/>
      <c r="NPD211" s="145"/>
      <c r="NPE211" s="146"/>
      <c r="NPF211" s="142"/>
      <c r="NPG211" s="143"/>
      <c r="NPH211" s="144"/>
      <c r="NPI211" s="124"/>
      <c r="NPJ211" s="145"/>
      <c r="NPK211" s="145"/>
      <c r="NPL211" s="146"/>
      <c r="NPM211" s="142"/>
      <c r="NPN211" s="143"/>
      <c r="NPO211" s="144"/>
      <c r="NPP211" s="124"/>
      <c r="NPQ211" s="145"/>
      <c r="NPR211" s="145"/>
      <c r="NPS211" s="146"/>
      <c r="NPT211" s="142"/>
      <c r="NPU211" s="143"/>
      <c r="NPV211" s="144"/>
      <c r="NPW211" s="124"/>
      <c r="NPX211" s="145"/>
      <c r="NPY211" s="145"/>
      <c r="NPZ211" s="146"/>
      <c r="NQA211" s="142"/>
      <c r="NQB211" s="143"/>
      <c r="NQC211" s="144"/>
      <c r="NQD211" s="124"/>
      <c r="NQE211" s="145"/>
      <c r="NQF211" s="145"/>
      <c r="NQG211" s="146"/>
      <c r="NQH211" s="142"/>
      <c r="NQI211" s="143"/>
      <c r="NQJ211" s="144"/>
      <c r="NQK211" s="124"/>
      <c r="NQL211" s="145"/>
      <c r="NQM211" s="145"/>
      <c r="NQN211" s="146"/>
      <c r="NQO211" s="142"/>
      <c r="NQP211" s="143"/>
      <c r="NQQ211" s="144"/>
      <c r="NQR211" s="124"/>
      <c r="NQS211" s="145"/>
      <c r="NQT211" s="145"/>
      <c r="NQU211" s="146"/>
      <c r="NQV211" s="142"/>
      <c r="NQW211" s="143"/>
      <c r="NQX211" s="144"/>
      <c r="NQY211" s="124"/>
      <c r="NQZ211" s="145"/>
      <c r="NRA211" s="145"/>
      <c r="NRB211" s="146"/>
      <c r="NRC211" s="142"/>
      <c r="NRD211" s="143"/>
      <c r="NRE211" s="144"/>
      <c r="NRF211" s="124"/>
      <c r="NRG211" s="145"/>
      <c r="NRH211" s="145"/>
      <c r="NRI211" s="146"/>
      <c r="NRJ211" s="142"/>
      <c r="NRK211" s="143"/>
      <c r="NRL211" s="144"/>
      <c r="NRM211" s="124"/>
      <c r="NRN211" s="145"/>
      <c r="NRO211" s="145"/>
      <c r="NRP211" s="146"/>
      <c r="NRQ211" s="142"/>
      <c r="NRR211" s="143"/>
      <c r="NRS211" s="144"/>
      <c r="NRT211" s="124"/>
      <c r="NRU211" s="145"/>
      <c r="NRV211" s="145"/>
      <c r="NRW211" s="146"/>
      <c r="NRX211" s="142"/>
      <c r="NRY211" s="143"/>
      <c r="NRZ211" s="144"/>
      <c r="NSA211" s="124"/>
      <c r="NSB211" s="145"/>
      <c r="NSC211" s="145"/>
      <c r="NSD211" s="146"/>
      <c r="NSE211" s="142"/>
      <c r="NSF211" s="143"/>
      <c r="NSG211" s="144"/>
      <c r="NSH211" s="124"/>
      <c r="NSI211" s="145"/>
      <c r="NSJ211" s="145"/>
      <c r="NSK211" s="146"/>
      <c r="NSL211" s="142"/>
      <c r="NSM211" s="143"/>
      <c r="NSN211" s="144"/>
      <c r="NSO211" s="124"/>
      <c r="NSP211" s="145"/>
      <c r="NSQ211" s="145"/>
      <c r="NSR211" s="146"/>
      <c r="NSS211" s="142"/>
      <c r="NST211" s="143"/>
      <c r="NSU211" s="144"/>
      <c r="NSV211" s="124"/>
      <c r="NSW211" s="145"/>
      <c r="NSX211" s="145"/>
      <c r="NSY211" s="146"/>
      <c r="NSZ211" s="142"/>
      <c r="NTA211" s="143"/>
      <c r="NTB211" s="144"/>
      <c r="NTC211" s="124"/>
      <c r="NTD211" s="145"/>
      <c r="NTE211" s="145"/>
      <c r="NTF211" s="146"/>
      <c r="NTG211" s="142"/>
      <c r="NTH211" s="143"/>
      <c r="NTI211" s="144"/>
      <c r="NTJ211" s="124"/>
      <c r="NTK211" s="145"/>
      <c r="NTL211" s="145"/>
      <c r="NTM211" s="146"/>
      <c r="NTN211" s="142"/>
      <c r="NTO211" s="143"/>
      <c r="NTP211" s="144"/>
      <c r="NTQ211" s="124"/>
      <c r="NTR211" s="145"/>
      <c r="NTS211" s="145"/>
      <c r="NTT211" s="146"/>
      <c r="NTU211" s="142"/>
      <c r="NTV211" s="143"/>
      <c r="NTW211" s="144"/>
      <c r="NTX211" s="124"/>
      <c r="NTY211" s="145"/>
      <c r="NTZ211" s="145"/>
      <c r="NUA211" s="146"/>
      <c r="NUB211" s="142"/>
      <c r="NUC211" s="143"/>
      <c r="NUD211" s="144"/>
      <c r="NUE211" s="124"/>
      <c r="NUF211" s="145"/>
      <c r="NUG211" s="145"/>
      <c r="NUH211" s="146"/>
      <c r="NUI211" s="142"/>
      <c r="NUJ211" s="143"/>
      <c r="NUK211" s="144"/>
      <c r="NUL211" s="124"/>
      <c r="NUM211" s="145"/>
      <c r="NUN211" s="145"/>
      <c r="NUO211" s="146"/>
      <c r="NUP211" s="142"/>
      <c r="NUQ211" s="143"/>
      <c r="NUR211" s="144"/>
      <c r="NUS211" s="124"/>
      <c r="NUT211" s="145"/>
      <c r="NUU211" s="145"/>
      <c r="NUV211" s="146"/>
      <c r="NUW211" s="142"/>
      <c r="NUX211" s="143"/>
      <c r="NUY211" s="144"/>
      <c r="NUZ211" s="124"/>
      <c r="NVA211" s="145"/>
      <c r="NVB211" s="145"/>
      <c r="NVC211" s="146"/>
      <c r="NVD211" s="142"/>
      <c r="NVE211" s="143"/>
      <c r="NVF211" s="144"/>
      <c r="NVG211" s="124"/>
      <c r="NVH211" s="145"/>
      <c r="NVI211" s="145"/>
      <c r="NVJ211" s="146"/>
      <c r="NVK211" s="142"/>
      <c r="NVL211" s="143"/>
      <c r="NVM211" s="144"/>
      <c r="NVN211" s="124"/>
      <c r="NVO211" s="145"/>
      <c r="NVP211" s="145"/>
      <c r="NVQ211" s="146"/>
      <c r="NVR211" s="142"/>
      <c r="NVS211" s="143"/>
      <c r="NVT211" s="144"/>
      <c r="NVU211" s="124"/>
      <c r="NVV211" s="145"/>
      <c r="NVW211" s="145"/>
      <c r="NVX211" s="146"/>
      <c r="NVY211" s="142"/>
      <c r="NVZ211" s="143"/>
      <c r="NWA211" s="144"/>
      <c r="NWB211" s="124"/>
      <c r="NWC211" s="145"/>
      <c r="NWD211" s="145"/>
      <c r="NWE211" s="146"/>
      <c r="NWF211" s="142"/>
      <c r="NWG211" s="143"/>
      <c r="NWH211" s="144"/>
      <c r="NWI211" s="124"/>
      <c r="NWJ211" s="145"/>
      <c r="NWK211" s="145"/>
      <c r="NWL211" s="146"/>
      <c r="NWM211" s="142"/>
      <c r="NWN211" s="143"/>
      <c r="NWO211" s="144"/>
      <c r="NWP211" s="124"/>
      <c r="NWQ211" s="145"/>
      <c r="NWR211" s="145"/>
      <c r="NWS211" s="146"/>
      <c r="NWT211" s="142"/>
      <c r="NWU211" s="143"/>
      <c r="NWV211" s="144"/>
      <c r="NWW211" s="124"/>
      <c r="NWX211" s="145"/>
      <c r="NWY211" s="145"/>
      <c r="NWZ211" s="146"/>
      <c r="NXA211" s="142"/>
      <c r="NXB211" s="143"/>
      <c r="NXC211" s="144"/>
      <c r="NXD211" s="124"/>
      <c r="NXE211" s="145"/>
      <c r="NXF211" s="145"/>
      <c r="NXG211" s="146"/>
      <c r="NXH211" s="142"/>
      <c r="NXI211" s="143"/>
      <c r="NXJ211" s="144"/>
      <c r="NXK211" s="124"/>
      <c r="NXL211" s="145"/>
      <c r="NXM211" s="145"/>
      <c r="NXN211" s="146"/>
      <c r="NXO211" s="142"/>
      <c r="NXP211" s="143"/>
      <c r="NXQ211" s="144"/>
      <c r="NXR211" s="124"/>
      <c r="NXS211" s="145"/>
      <c r="NXT211" s="145"/>
      <c r="NXU211" s="146"/>
      <c r="NXV211" s="142"/>
      <c r="NXW211" s="143"/>
      <c r="NXX211" s="144"/>
      <c r="NXY211" s="124"/>
      <c r="NXZ211" s="145"/>
      <c r="NYA211" s="145"/>
      <c r="NYB211" s="146"/>
      <c r="NYC211" s="142"/>
      <c r="NYD211" s="143"/>
      <c r="NYE211" s="144"/>
      <c r="NYF211" s="124"/>
      <c r="NYG211" s="145"/>
      <c r="NYH211" s="145"/>
      <c r="NYI211" s="146"/>
      <c r="NYJ211" s="142"/>
      <c r="NYK211" s="143"/>
      <c r="NYL211" s="144"/>
      <c r="NYM211" s="124"/>
      <c r="NYN211" s="145"/>
      <c r="NYO211" s="145"/>
      <c r="NYP211" s="146"/>
      <c r="NYQ211" s="142"/>
      <c r="NYR211" s="143"/>
      <c r="NYS211" s="144"/>
      <c r="NYT211" s="124"/>
      <c r="NYU211" s="145"/>
      <c r="NYV211" s="145"/>
      <c r="NYW211" s="146"/>
      <c r="NYX211" s="142"/>
      <c r="NYY211" s="143"/>
      <c r="NYZ211" s="144"/>
      <c r="NZA211" s="124"/>
      <c r="NZB211" s="145"/>
      <c r="NZC211" s="145"/>
      <c r="NZD211" s="146"/>
      <c r="NZE211" s="142"/>
      <c r="NZF211" s="143"/>
      <c r="NZG211" s="144"/>
      <c r="NZH211" s="124"/>
      <c r="NZI211" s="145"/>
      <c r="NZJ211" s="145"/>
      <c r="NZK211" s="146"/>
      <c r="NZL211" s="142"/>
      <c r="NZM211" s="143"/>
      <c r="NZN211" s="144"/>
      <c r="NZO211" s="124"/>
      <c r="NZP211" s="145"/>
      <c r="NZQ211" s="145"/>
      <c r="NZR211" s="146"/>
      <c r="NZS211" s="142"/>
      <c r="NZT211" s="143"/>
      <c r="NZU211" s="144"/>
      <c r="NZV211" s="124"/>
      <c r="NZW211" s="145"/>
      <c r="NZX211" s="145"/>
      <c r="NZY211" s="146"/>
      <c r="NZZ211" s="142"/>
      <c r="OAA211" s="143"/>
      <c r="OAB211" s="144"/>
      <c r="OAC211" s="124"/>
      <c r="OAD211" s="145"/>
      <c r="OAE211" s="145"/>
      <c r="OAF211" s="146"/>
      <c r="OAG211" s="142"/>
      <c r="OAH211" s="143"/>
      <c r="OAI211" s="144"/>
      <c r="OAJ211" s="124"/>
      <c r="OAK211" s="145"/>
      <c r="OAL211" s="145"/>
      <c r="OAM211" s="146"/>
      <c r="OAN211" s="142"/>
      <c r="OAO211" s="143"/>
      <c r="OAP211" s="144"/>
      <c r="OAQ211" s="124"/>
      <c r="OAR211" s="145"/>
      <c r="OAS211" s="145"/>
      <c r="OAT211" s="146"/>
      <c r="OAU211" s="142"/>
      <c r="OAV211" s="143"/>
      <c r="OAW211" s="144"/>
      <c r="OAX211" s="124"/>
      <c r="OAY211" s="145"/>
      <c r="OAZ211" s="145"/>
      <c r="OBA211" s="146"/>
      <c r="OBB211" s="142"/>
      <c r="OBC211" s="143"/>
      <c r="OBD211" s="144"/>
      <c r="OBE211" s="124"/>
      <c r="OBF211" s="145"/>
      <c r="OBG211" s="145"/>
      <c r="OBH211" s="146"/>
      <c r="OBI211" s="142"/>
      <c r="OBJ211" s="143"/>
      <c r="OBK211" s="144"/>
      <c r="OBL211" s="124"/>
      <c r="OBM211" s="145"/>
      <c r="OBN211" s="145"/>
      <c r="OBO211" s="146"/>
      <c r="OBP211" s="142"/>
      <c r="OBQ211" s="143"/>
      <c r="OBR211" s="144"/>
      <c r="OBS211" s="124"/>
      <c r="OBT211" s="145"/>
      <c r="OBU211" s="145"/>
      <c r="OBV211" s="146"/>
      <c r="OBW211" s="142"/>
      <c r="OBX211" s="143"/>
      <c r="OBY211" s="144"/>
      <c r="OBZ211" s="124"/>
      <c r="OCA211" s="145"/>
      <c r="OCB211" s="145"/>
      <c r="OCC211" s="146"/>
      <c r="OCD211" s="142"/>
      <c r="OCE211" s="143"/>
      <c r="OCF211" s="144"/>
      <c r="OCG211" s="124"/>
      <c r="OCH211" s="145"/>
      <c r="OCI211" s="145"/>
      <c r="OCJ211" s="146"/>
      <c r="OCK211" s="142"/>
      <c r="OCL211" s="143"/>
      <c r="OCM211" s="144"/>
      <c r="OCN211" s="124"/>
      <c r="OCO211" s="145"/>
      <c r="OCP211" s="145"/>
      <c r="OCQ211" s="146"/>
      <c r="OCR211" s="142"/>
      <c r="OCS211" s="143"/>
      <c r="OCT211" s="144"/>
      <c r="OCU211" s="124"/>
      <c r="OCV211" s="145"/>
      <c r="OCW211" s="145"/>
      <c r="OCX211" s="146"/>
      <c r="OCY211" s="142"/>
      <c r="OCZ211" s="143"/>
      <c r="ODA211" s="144"/>
      <c r="ODB211" s="124"/>
      <c r="ODC211" s="145"/>
      <c r="ODD211" s="145"/>
      <c r="ODE211" s="146"/>
      <c r="ODF211" s="142"/>
      <c r="ODG211" s="143"/>
      <c r="ODH211" s="144"/>
      <c r="ODI211" s="124"/>
      <c r="ODJ211" s="145"/>
      <c r="ODK211" s="145"/>
      <c r="ODL211" s="146"/>
      <c r="ODM211" s="142"/>
      <c r="ODN211" s="143"/>
      <c r="ODO211" s="144"/>
      <c r="ODP211" s="124"/>
      <c r="ODQ211" s="145"/>
      <c r="ODR211" s="145"/>
      <c r="ODS211" s="146"/>
      <c r="ODT211" s="142"/>
      <c r="ODU211" s="143"/>
      <c r="ODV211" s="144"/>
      <c r="ODW211" s="124"/>
      <c r="ODX211" s="145"/>
      <c r="ODY211" s="145"/>
      <c r="ODZ211" s="146"/>
      <c r="OEA211" s="142"/>
      <c r="OEB211" s="143"/>
      <c r="OEC211" s="144"/>
      <c r="OED211" s="124"/>
      <c r="OEE211" s="145"/>
      <c r="OEF211" s="145"/>
      <c r="OEG211" s="146"/>
      <c r="OEH211" s="142"/>
      <c r="OEI211" s="143"/>
      <c r="OEJ211" s="144"/>
      <c r="OEK211" s="124"/>
      <c r="OEL211" s="145"/>
      <c r="OEM211" s="145"/>
      <c r="OEN211" s="146"/>
      <c r="OEO211" s="142"/>
      <c r="OEP211" s="143"/>
      <c r="OEQ211" s="144"/>
      <c r="OER211" s="124"/>
      <c r="OES211" s="145"/>
      <c r="OET211" s="145"/>
      <c r="OEU211" s="146"/>
      <c r="OEV211" s="142"/>
      <c r="OEW211" s="143"/>
      <c r="OEX211" s="144"/>
      <c r="OEY211" s="124"/>
      <c r="OEZ211" s="145"/>
      <c r="OFA211" s="145"/>
      <c r="OFB211" s="146"/>
      <c r="OFC211" s="142"/>
      <c r="OFD211" s="143"/>
      <c r="OFE211" s="144"/>
      <c r="OFF211" s="124"/>
      <c r="OFG211" s="145"/>
      <c r="OFH211" s="145"/>
      <c r="OFI211" s="146"/>
      <c r="OFJ211" s="142"/>
      <c r="OFK211" s="143"/>
      <c r="OFL211" s="144"/>
      <c r="OFM211" s="124"/>
      <c r="OFN211" s="145"/>
      <c r="OFO211" s="145"/>
      <c r="OFP211" s="146"/>
      <c r="OFQ211" s="142"/>
      <c r="OFR211" s="143"/>
      <c r="OFS211" s="144"/>
      <c r="OFT211" s="124"/>
      <c r="OFU211" s="145"/>
      <c r="OFV211" s="145"/>
      <c r="OFW211" s="146"/>
      <c r="OFX211" s="142"/>
      <c r="OFY211" s="143"/>
      <c r="OFZ211" s="144"/>
      <c r="OGA211" s="124"/>
      <c r="OGB211" s="145"/>
      <c r="OGC211" s="145"/>
      <c r="OGD211" s="146"/>
      <c r="OGE211" s="142"/>
      <c r="OGF211" s="143"/>
      <c r="OGG211" s="144"/>
      <c r="OGH211" s="124"/>
      <c r="OGI211" s="145"/>
      <c r="OGJ211" s="145"/>
      <c r="OGK211" s="146"/>
      <c r="OGL211" s="142"/>
      <c r="OGM211" s="143"/>
      <c r="OGN211" s="144"/>
      <c r="OGO211" s="124"/>
      <c r="OGP211" s="145"/>
      <c r="OGQ211" s="145"/>
      <c r="OGR211" s="146"/>
      <c r="OGS211" s="142"/>
      <c r="OGT211" s="143"/>
      <c r="OGU211" s="144"/>
      <c r="OGV211" s="124"/>
      <c r="OGW211" s="145"/>
      <c r="OGX211" s="145"/>
      <c r="OGY211" s="146"/>
      <c r="OGZ211" s="142"/>
      <c r="OHA211" s="143"/>
      <c r="OHB211" s="144"/>
      <c r="OHC211" s="124"/>
      <c r="OHD211" s="145"/>
      <c r="OHE211" s="145"/>
      <c r="OHF211" s="146"/>
      <c r="OHG211" s="142"/>
      <c r="OHH211" s="143"/>
      <c r="OHI211" s="144"/>
      <c r="OHJ211" s="124"/>
      <c r="OHK211" s="145"/>
      <c r="OHL211" s="145"/>
      <c r="OHM211" s="146"/>
      <c r="OHN211" s="142"/>
      <c r="OHO211" s="143"/>
      <c r="OHP211" s="144"/>
      <c r="OHQ211" s="124"/>
      <c r="OHR211" s="145"/>
      <c r="OHS211" s="145"/>
      <c r="OHT211" s="146"/>
      <c r="OHU211" s="142"/>
      <c r="OHV211" s="143"/>
      <c r="OHW211" s="144"/>
      <c r="OHX211" s="124"/>
      <c r="OHY211" s="145"/>
      <c r="OHZ211" s="145"/>
      <c r="OIA211" s="146"/>
      <c r="OIB211" s="142"/>
      <c r="OIC211" s="143"/>
      <c r="OID211" s="144"/>
      <c r="OIE211" s="124"/>
      <c r="OIF211" s="145"/>
      <c r="OIG211" s="145"/>
      <c r="OIH211" s="146"/>
      <c r="OII211" s="142"/>
      <c r="OIJ211" s="143"/>
      <c r="OIK211" s="144"/>
      <c r="OIL211" s="124"/>
      <c r="OIM211" s="145"/>
      <c r="OIN211" s="145"/>
      <c r="OIO211" s="146"/>
      <c r="OIP211" s="142"/>
      <c r="OIQ211" s="143"/>
      <c r="OIR211" s="144"/>
      <c r="OIS211" s="124"/>
      <c r="OIT211" s="145"/>
      <c r="OIU211" s="145"/>
      <c r="OIV211" s="146"/>
      <c r="OIW211" s="142"/>
      <c r="OIX211" s="143"/>
      <c r="OIY211" s="144"/>
      <c r="OIZ211" s="124"/>
      <c r="OJA211" s="145"/>
      <c r="OJB211" s="145"/>
      <c r="OJC211" s="146"/>
      <c r="OJD211" s="142"/>
      <c r="OJE211" s="143"/>
      <c r="OJF211" s="144"/>
      <c r="OJG211" s="124"/>
      <c r="OJH211" s="145"/>
      <c r="OJI211" s="145"/>
      <c r="OJJ211" s="146"/>
      <c r="OJK211" s="142"/>
      <c r="OJL211" s="143"/>
      <c r="OJM211" s="144"/>
      <c r="OJN211" s="124"/>
      <c r="OJO211" s="145"/>
      <c r="OJP211" s="145"/>
      <c r="OJQ211" s="146"/>
      <c r="OJR211" s="142"/>
      <c r="OJS211" s="143"/>
      <c r="OJT211" s="144"/>
      <c r="OJU211" s="124"/>
      <c r="OJV211" s="145"/>
      <c r="OJW211" s="145"/>
      <c r="OJX211" s="146"/>
      <c r="OJY211" s="142"/>
      <c r="OJZ211" s="143"/>
      <c r="OKA211" s="144"/>
      <c r="OKB211" s="124"/>
      <c r="OKC211" s="145"/>
      <c r="OKD211" s="145"/>
      <c r="OKE211" s="146"/>
      <c r="OKF211" s="142"/>
      <c r="OKG211" s="143"/>
      <c r="OKH211" s="144"/>
      <c r="OKI211" s="124"/>
      <c r="OKJ211" s="145"/>
      <c r="OKK211" s="145"/>
      <c r="OKL211" s="146"/>
      <c r="OKM211" s="142"/>
      <c r="OKN211" s="143"/>
      <c r="OKO211" s="144"/>
      <c r="OKP211" s="124"/>
      <c r="OKQ211" s="145"/>
      <c r="OKR211" s="145"/>
      <c r="OKS211" s="146"/>
      <c r="OKT211" s="142"/>
      <c r="OKU211" s="143"/>
      <c r="OKV211" s="144"/>
      <c r="OKW211" s="124"/>
      <c r="OKX211" s="145"/>
      <c r="OKY211" s="145"/>
      <c r="OKZ211" s="146"/>
      <c r="OLA211" s="142"/>
      <c r="OLB211" s="143"/>
      <c r="OLC211" s="144"/>
      <c r="OLD211" s="124"/>
      <c r="OLE211" s="145"/>
      <c r="OLF211" s="145"/>
      <c r="OLG211" s="146"/>
      <c r="OLH211" s="142"/>
      <c r="OLI211" s="143"/>
      <c r="OLJ211" s="144"/>
      <c r="OLK211" s="124"/>
      <c r="OLL211" s="145"/>
      <c r="OLM211" s="145"/>
      <c r="OLN211" s="146"/>
      <c r="OLO211" s="142"/>
      <c r="OLP211" s="143"/>
      <c r="OLQ211" s="144"/>
      <c r="OLR211" s="124"/>
      <c r="OLS211" s="145"/>
      <c r="OLT211" s="145"/>
      <c r="OLU211" s="146"/>
      <c r="OLV211" s="142"/>
      <c r="OLW211" s="143"/>
      <c r="OLX211" s="144"/>
      <c r="OLY211" s="124"/>
      <c r="OLZ211" s="145"/>
      <c r="OMA211" s="145"/>
      <c r="OMB211" s="146"/>
      <c r="OMC211" s="142"/>
      <c r="OMD211" s="143"/>
      <c r="OME211" s="144"/>
      <c r="OMF211" s="124"/>
      <c r="OMG211" s="145"/>
      <c r="OMH211" s="145"/>
      <c r="OMI211" s="146"/>
      <c r="OMJ211" s="142"/>
      <c r="OMK211" s="143"/>
      <c r="OML211" s="144"/>
      <c r="OMM211" s="124"/>
      <c r="OMN211" s="145"/>
      <c r="OMO211" s="145"/>
      <c r="OMP211" s="146"/>
      <c r="OMQ211" s="142"/>
      <c r="OMR211" s="143"/>
      <c r="OMS211" s="144"/>
      <c r="OMT211" s="124"/>
      <c r="OMU211" s="145"/>
      <c r="OMV211" s="145"/>
      <c r="OMW211" s="146"/>
      <c r="OMX211" s="142"/>
      <c r="OMY211" s="143"/>
      <c r="OMZ211" s="144"/>
      <c r="ONA211" s="124"/>
      <c r="ONB211" s="145"/>
      <c r="ONC211" s="145"/>
      <c r="OND211" s="146"/>
      <c r="ONE211" s="142"/>
      <c r="ONF211" s="143"/>
      <c r="ONG211" s="144"/>
      <c r="ONH211" s="124"/>
      <c r="ONI211" s="145"/>
      <c r="ONJ211" s="145"/>
      <c r="ONK211" s="146"/>
      <c r="ONL211" s="142"/>
      <c r="ONM211" s="143"/>
      <c r="ONN211" s="144"/>
      <c r="ONO211" s="124"/>
      <c r="ONP211" s="145"/>
      <c r="ONQ211" s="145"/>
      <c r="ONR211" s="146"/>
      <c r="ONS211" s="142"/>
      <c r="ONT211" s="143"/>
      <c r="ONU211" s="144"/>
      <c r="ONV211" s="124"/>
      <c r="ONW211" s="145"/>
      <c r="ONX211" s="145"/>
      <c r="ONY211" s="146"/>
      <c r="ONZ211" s="142"/>
      <c r="OOA211" s="143"/>
      <c r="OOB211" s="144"/>
      <c r="OOC211" s="124"/>
      <c r="OOD211" s="145"/>
      <c r="OOE211" s="145"/>
      <c r="OOF211" s="146"/>
      <c r="OOG211" s="142"/>
      <c r="OOH211" s="143"/>
      <c r="OOI211" s="144"/>
      <c r="OOJ211" s="124"/>
      <c r="OOK211" s="145"/>
      <c r="OOL211" s="145"/>
      <c r="OOM211" s="146"/>
      <c r="OON211" s="142"/>
      <c r="OOO211" s="143"/>
      <c r="OOP211" s="144"/>
      <c r="OOQ211" s="124"/>
      <c r="OOR211" s="145"/>
      <c r="OOS211" s="145"/>
      <c r="OOT211" s="146"/>
      <c r="OOU211" s="142"/>
      <c r="OOV211" s="143"/>
      <c r="OOW211" s="144"/>
      <c r="OOX211" s="124"/>
      <c r="OOY211" s="145"/>
      <c r="OOZ211" s="145"/>
      <c r="OPA211" s="146"/>
      <c r="OPB211" s="142"/>
      <c r="OPC211" s="143"/>
      <c r="OPD211" s="144"/>
      <c r="OPE211" s="124"/>
      <c r="OPF211" s="145"/>
      <c r="OPG211" s="145"/>
      <c r="OPH211" s="146"/>
      <c r="OPI211" s="142"/>
      <c r="OPJ211" s="143"/>
      <c r="OPK211" s="144"/>
      <c r="OPL211" s="124"/>
      <c r="OPM211" s="145"/>
      <c r="OPN211" s="145"/>
      <c r="OPO211" s="146"/>
      <c r="OPP211" s="142"/>
      <c r="OPQ211" s="143"/>
      <c r="OPR211" s="144"/>
      <c r="OPS211" s="124"/>
      <c r="OPT211" s="145"/>
      <c r="OPU211" s="145"/>
      <c r="OPV211" s="146"/>
      <c r="OPW211" s="142"/>
      <c r="OPX211" s="143"/>
      <c r="OPY211" s="144"/>
      <c r="OPZ211" s="124"/>
      <c r="OQA211" s="145"/>
      <c r="OQB211" s="145"/>
      <c r="OQC211" s="146"/>
      <c r="OQD211" s="142"/>
      <c r="OQE211" s="143"/>
      <c r="OQF211" s="144"/>
      <c r="OQG211" s="124"/>
      <c r="OQH211" s="145"/>
      <c r="OQI211" s="145"/>
      <c r="OQJ211" s="146"/>
      <c r="OQK211" s="142"/>
      <c r="OQL211" s="143"/>
      <c r="OQM211" s="144"/>
      <c r="OQN211" s="124"/>
      <c r="OQO211" s="145"/>
      <c r="OQP211" s="145"/>
      <c r="OQQ211" s="146"/>
      <c r="OQR211" s="142"/>
      <c r="OQS211" s="143"/>
      <c r="OQT211" s="144"/>
      <c r="OQU211" s="124"/>
      <c r="OQV211" s="145"/>
      <c r="OQW211" s="145"/>
      <c r="OQX211" s="146"/>
      <c r="OQY211" s="142"/>
      <c r="OQZ211" s="143"/>
      <c r="ORA211" s="144"/>
      <c r="ORB211" s="124"/>
      <c r="ORC211" s="145"/>
      <c r="ORD211" s="145"/>
      <c r="ORE211" s="146"/>
      <c r="ORF211" s="142"/>
      <c r="ORG211" s="143"/>
      <c r="ORH211" s="144"/>
      <c r="ORI211" s="124"/>
      <c r="ORJ211" s="145"/>
      <c r="ORK211" s="145"/>
      <c r="ORL211" s="146"/>
      <c r="ORM211" s="142"/>
      <c r="ORN211" s="143"/>
      <c r="ORO211" s="144"/>
      <c r="ORP211" s="124"/>
      <c r="ORQ211" s="145"/>
      <c r="ORR211" s="145"/>
      <c r="ORS211" s="146"/>
      <c r="ORT211" s="142"/>
      <c r="ORU211" s="143"/>
      <c r="ORV211" s="144"/>
      <c r="ORW211" s="124"/>
      <c r="ORX211" s="145"/>
      <c r="ORY211" s="145"/>
      <c r="ORZ211" s="146"/>
      <c r="OSA211" s="142"/>
      <c r="OSB211" s="143"/>
      <c r="OSC211" s="144"/>
      <c r="OSD211" s="124"/>
      <c r="OSE211" s="145"/>
      <c r="OSF211" s="145"/>
      <c r="OSG211" s="146"/>
      <c r="OSH211" s="142"/>
      <c r="OSI211" s="143"/>
      <c r="OSJ211" s="144"/>
      <c r="OSK211" s="124"/>
      <c r="OSL211" s="145"/>
      <c r="OSM211" s="145"/>
      <c r="OSN211" s="146"/>
      <c r="OSO211" s="142"/>
      <c r="OSP211" s="143"/>
      <c r="OSQ211" s="144"/>
      <c r="OSR211" s="124"/>
      <c r="OSS211" s="145"/>
      <c r="OST211" s="145"/>
      <c r="OSU211" s="146"/>
      <c r="OSV211" s="142"/>
      <c r="OSW211" s="143"/>
      <c r="OSX211" s="144"/>
      <c r="OSY211" s="124"/>
      <c r="OSZ211" s="145"/>
      <c r="OTA211" s="145"/>
      <c r="OTB211" s="146"/>
      <c r="OTC211" s="142"/>
      <c r="OTD211" s="143"/>
      <c r="OTE211" s="144"/>
      <c r="OTF211" s="124"/>
      <c r="OTG211" s="145"/>
      <c r="OTH211" s="145"/>
      <c r="OTI211" s="146"/>
      <c r="OTJ211" s="142"/>
      <c r="OTK211" s="143"/>
      <c r="OTL211" s="144"/>
      <c r="OTM211" s="124"/>
      <c r="OTN211" s="145"/>
      <c r="OTO211" s="145"/>
      <c r="OTP211" s="146"/>
      <c r="OTQ211" s="142"/>
      <c r="OTR211" s="143"/>
      <c r="OTS211" s="144"/>
      <c r="OTT211" s="124"/>
      <c r="OTU211" s="145"/>
      <c r="OTV211" s="145"/>
      <c r="OTW211" s="146"/>
      <c r="OTX211" s="142"/>
      <c r="OTY211" s="143"/>
      <c r="OTZ211" s="144"/>
      <c r="OUA211" s="124"/>
      <c r="OUB211" s="145"/>
      <c r="OUC211" s="145"/>
      <c r="OUD211" s="146"/>
      <c r="OUE211" s="142"/>
      <c r="OUF211" s="143"/>
      <c r="OUG211" s="144"/>
      <c r="OUH211" s="124"/>
      <c r="OUI211" s="145"/>
      <c r="OUJ211" s="145"/>
      <c r="OUK211" s="146"/>
      <c r="OUL211" s="142"/>
      <c r="OUM211" s="143"/>
      <c r="OUN211" s="144"/>
      <c r="OUO211" s="124"/>
      <c r="OUP211" s="145"/>
      <c r="OUQ211" s="145"/>
      <c r="OUR211" s="146"/>
      <c r="OUS211" s="142"/>
      <c r="OUT211" s="143"/>
      <c r="OUU211" s="144"/>
      <c r="OUV211" s="124"/>
      <c r="OUW211" s="145"/>
      <c r="OUX211" s="145"/>
      <c r="OUY211" s="146"/>
      <c r="OUZ211" s="142"/>
      <c r="OVA211" s="143"/>
      <c r="OVB211" s="144"/>
      <c r="OVC211" s="124"/>
      <c r="OVD211" s="145"/>
      <c r="OVE211" s="145"/>
      <c r="OVF211" s="146"/>
      <c r="OVG211" s="142"/>
      <c r="OVH211" s="143"/>
      <c r="OVI211" s="144"/>
      <c r="OVJ211" s="124"/>
      <c r="OVK211" s="145"/>
      <c r="OVL211" s="145"/>
      <c r="OVM211" s="146"/>
      <c r="OVN211" s="142"/>
      <c r="OVO211" s="143"/>
      <c r="OVP211" s="144"/>
      <c r="OVQ211" s="124"/>
      <c r="OVR211" s="145"/>
      <c r="OVS211" s="145"/>
      <c r="OVT211" s="146"/>
      <c r="OVU211" s="142"/>
      <c r="OVV211" s="143"/>
      <c r="OVW211" s="144"/>
      <c r="OVX211" s="124"/>
      <c r="OVY211" s="145"/>
      <c r="OVZ211" s="145"/>
      <c r="OWA211" s="146"/>
      <c r="OWB211" s="142"/>
      <c r="OWC211" s="143"/>
      <c r="OWD211" s="144"/>
      <c r="OWE211" s="124"/>
      <c r="OWF211" s="145"/>
      <c r="OWG211" s="145"/>
      <c r="OWH211" s="146"/>
      <c r="OWI211" s="142"/>
      <c r="OWJ211" s="143"/>
      <c r="OWK211" s="144"/>
      <c r="OWL211" s="124"/>
      <c r="OWM211" s="145"/>
      <c r="OWN211" s="145"/>
      <c r="OWO211" s="146"/>
      <c r="OWP211" s="142"/>
      <c r="OWQ211" s="143"/>
      <c r="OWR211" s="144"/>
      <c r="OWS211" s="124"/>
      <c r="OWT211" s="145"/>
      <c r="OWU211" s="145"/>
      <c r="OWV211" s="146"/>
      <c r="OWW211" s="142"/>
      <c r="OWX211" s="143"/>
      <c r="OWY211" s="144"/>
      <c r="OWZ211" s="124"/>
      <c r="OXA211" s="145"/>
      <c r="OXB211" s="145"/>
      <c r="OXC211" s="146"/>
      <c r="OXD211" s="142"/>
      <c r="OXE211" s="143"/>
      <c r="OXF211" s="144"/>
      <c r="OXG211" s="124"/>
      <c r="OXH211" s="145"/>
      <c r="OXI211" s="145"/>
      <c r="OXJ211" s="146"/>
      <c r="OXK211" s="142"/>
      <c r="OXL211" s="143"/>
      <c r="OXM211" s="144"/>
      <c r="OXN211" s="124"/>
      <c r="OXO211" s="145"/>
      <c r="OXP211" s="145"/>
      <c r="OXQ211" s="146"/>
      <c r="OXR211" s="142"/>
      <c r="OXS211" s="143"/>
      <c r="OXT211" s="144"/>
      <c r="OXU211" s="124"/>
      <c r="OXV211" s="145"/>
      <c r="OXW211" s="145"/>
      <c r="OXX211" s="146"/>
      <c r="OXY211" s="142"/>
      <c r="OXZ211" s="143"/>
      <c r="OYA211" s="144"/>
      <c r="OYB211" s="124"/>
      <c r="OYC211" s="145"/>
      <c r="OYD211" s="145"/>
      <c r="OYE211" s="146"/>
      <c r="OYF211" s="142"/>
      <c r="OYG211" s="143"/>
      <c r="OYH211" s="144"/>
      <c r="OYI211" s="124"/>
      <c r="OYJ211" s="145"/>
      <c r="OYK211" s="145"/>
      <c r="OYL211" s="146"/>
      <c r="OYM211" s="142"/>
      <c r="OYN211" s="143"/>
      <c r="OYO211" s="144"/>
      <c r="OYP211" s="124"/>
      <c r="OYQ211" s="145"/>
      <c r="OYR211" s="145"/>
      <c r="OYS211" s="146"/>
      <c r="OYT211" s="142"/>
      <c r="OYU211" s="143"/>
      <c r="OYV211" s="144"/>
      <c r="OYW211" s="124"/>
      <c r="OYX211" s="145"/>
      <c r="OYY211" s="145"/>
      <c r="OYZ211" s="146"/>
      <c r="OZA211" s="142"/>
      <c r="OZB211" s="143"/>
      <c r="OZC211" s="144"/>
      <c r="OZD211" s="124"/>
      <c r="OZE211" s="145"/>
      <c r="OZF211" s="145"/>
      <c r="OZG211" s="146"/>
      <c r="OZH211" s="142"/>
      <c r="OZI211" s="143"/>
      <c r="OZJ211" s="144"/>
      <c r="OZK211" s="124"/>
      <c r="OZL211" s="145"/>
      <c r="OZM211" s="145"/>
      <c r="OZN211" s="146"/>
      <c r="OZO211" s="142"/>
      <c r="OZP211" s="143"/>
      <c r="OZQ211" s="144"/>
      <c r="OZR211" s="124"/>
      <c r="OZS211" s="145"/>
      <c r="OZT211" s="145"/>
      <c r="OZU211" s="146"/>
      <c r="OZV211" s="142"/>
      <c r="OZW211" s="143"/>
      <c r="OZX211" s="144"/>
      <c r="OZY211" s="124"/>
      <c r="OZZ211" s="145"/>
      <c r="PAA211" s="145"/>
      <c r="PAB211" s="146"/>
      <c r="PAC211" s="142"/>
      <c r="PAD211" s="143"/>
      <c r="PAE211" s="144"/>
      <c r="PAF211" s="124"/>
      <c r="PAG211" s="145"/>
      <c r="PAH211" s="145"/>
      <c r="PAI211" s="146"/>
      <c r="PAJ211" s="142"/>
      <c r="PAK211" s="143"/>
      <c r="PAL211" s="144"/>
      <c r="PAM211" s="124"/>
      <c r="PAN211" s="145"/>
      <c r="PAO211" s="145"/>
      <c r="PAP211" s="146"/>
      <c r="PAQ211" s="142"/>
      <c r="PAR211" s="143"/>
      <c r="PAS211" s="144"/>
      <c r="PAT211" s="124"/>
      <c r="PAU211" s="145"/>
      <c r="PAV211" s="145"/>
      <c r="PAW211" s="146"/>
      <c r="PAX211" s="142"/>
      <c r="PAY211" s="143"/>
      <c r="PAZ211" s="144"/>
      <c r="PBA211" s="124"/>
      <c r="PBB211" s="145"/>
      <c r="PBC211" s="145"/>
      <c r="PBD211" s="146"/>
      <c r="PBE211" s="142"/>
      <c r="PBF211" s="143"/>
      <c r="PBG211" s="144"/>
      <c r="PBH211" s="124"/>
      <c r="PBI211" s="145"/>
      <c r="PBJ211" s="145"/>
      <c r="PBK211" s="146"/>
      <c r="PBL211" s="142"/>
      <c r="PBM211" s="143"/>
      <c r="PBN211" s="144"/>
      <c r="PBO211" s="124"/>
      <c r="PBP211" s="145"/>
      <c r="PBQ211" s="145"/>
      <c r="PBR211" s="146"/>
      <c r="PBS211" s="142"/>
      <c r="PBT211" s="143"/>
      <c r="PBU211" s="144"/>
      <c r="PBV211" s="124"/>
      <c r="PBW211" s="145"/>
      <c r="PBX211" s="145"/>
      <c r="PBY211" s="146"/>
      <c r="PBZ211" s="142"/>
      <c r="PCA211" s="143"/>
      <c r="PCB211" s="144"/>
      <c r="PCC211" s="124"/>
      <c r="PCD211" s="145"/>
      <c r="PCE211" s="145"/>
      <c r="PCF211" s="146"/>
      <c r="PCG211" s="142"/>
      <c r="PCH211" s="143"/>
      <c r="PCI211" s="144"/>
      <c r="PCJ211" s="124"/>
      <c r="PCK211" s="145"/>
      <c r="PCL211" s="145"/>
      <c r="PCM211" s="146"/>
      <c r="PCN211" s="142"/>
      <c r="PCO211" s="143"/>
      <c r="PCP211" s="144"/>
      <c r="PCQ211" s="124"/>
      <c r="PCR211" s="145"/>
      <c r="PCS211" s="145"/>
      <c r="PCT211" s="146"/>
      <c r="PCU211" s="142"/>
      <c r="PCV211" s="143"/>
      <c r="PCW211" s="144"/>
      <c r="PCX211" s="124"/>
      <c r="PCY211" s="145"/>
      <c r="PCZ211" s="145"/>
      <c r="PDA211" s="146"/>
      <c r="PDB211" s="142"/>
      <c r="PDC211" s="143"/>
      <c r="PDD211" s="144"/>
      <c r="PDE211" s="124"/>
      <c r="PDF211" s="145"/>
      <c r="PDG211" s="145"/>
      <c r="PDH211" s="146"/>
      <c r="PDI211" s="142"/>
      <c r="PDJ211" s="143"/>
      <c r="PDK211" s="144"/>
      <c r="PDL211" s="124"/>
      <c r="PDM211" s="145"/>
      <c r="PDN211" s="145"/>
      <c r="PDO211" s="146"/>
      <c r="PDP211" s="142"/>
      <c r="PDQ211" s="143"/>
      <c r="PDR211" s="144"/>
      <c r="PDS211" s="124"/>
      <c r="PDT211" s="145"/>
      <c r="PDU211" s="145"/>
      <c r="PDV211" s="146"/>
      <c r="PDW211" s="142"/>
      <c r="PDX211" s="143"/>
      <c r="PDY211" s="144"/>
      <c r="PDZ211" s="124"/>
      <c r="PEA211" s="145"/>
      <c r="PEB211" s="145"/>
      <c r="PEC211" s="146"/>
      <c r="PED211" s="142"/>
      <c r="PEE211" s="143"/>
      <c r="PEF211" s="144"/>
      <c r="PEG211" s="124"/>
      <c r="PEH211" s="145"/>
      <c r="PEI211" s="145"/>
      <c r="PEJ211" s="146"/>
      <c r="PEK211" s="142"/>
      <c r="PEL211" s="143"/>
      <c r="PEM211" s="144"/>
      <c r="PEN211" s="124"/>
      <c r="PEO211" s="145"/>
      <c r="PEP211" s="145"/>
      <c r="PEQ211" s="146"/>
      <c r="PER211" s="142"/>
      <c r="PES211" s="143"/>
      <c r="PET211" s="144"/>
      <c r="PEU211" s="124"/>
      <c r="PEV211" s="145"/>
      <c r="PEW211" s="145"/>
      <c r="PEX211" s="146"/>
      <c r="PEY211" s="142"/>
      <c r="PEZ211" s="143"/>
      <c r="PFA211" s="144"/>
      <c r="PFB211" s="124"/>
      <c r="PFC211" s="145"/>
      <c r="PFD211" s="145"/>
      <c r="PFE211" s="146"/>
      <c r="PFF211" s="142"/>
      <c r="PFG211" s="143"/>
      <c r="PFH211" s="144"/>
      <c r="PFI211" s="124"/>
      <c r="PFJ211" s="145"/>
      <c r="PFK211" s="145"/>
      <c r="PFL211" s="146"/>
      <c r="PFM211" s="142"/>
      <c r="PFN211" s="143"/>
      <c r="PFO211" s="144"/>
      <c r="PFP211" s="124"/>
      <c r="PFQ211" s="145"/>
      <c r="PFR211" s="145"/>
      <c r="PFS211" s="146"/>
      <c r="PFT211" s="142"/>
      <c r="PFU211" s="143"/>
      <c r="PFV211" s="144"/>
      <c r="PFW211" s="124"/>
      <c r="PFX211" s="145"/>
      <c r="PFY211" s="145"/>
      <c r="PFZ211" s="146"/>
      <c r="PGA211" s="142"/>
      <c r="PGB211" s="143"/>
      <c r="PGC211" s="144"/>
      <c r="PGD211" s="124"/>
      <c r="PGE211" s="145"/>
      <c r="PGF211" s="145"/>
      <c r="PGG211" s="146"/>
      <c r="PGH211" s="142"/>
      <c r="PGI211" s="143"/>
      <c r="PGJ211" s="144"/>
      <c r="PGK211" s="124"/>
      <c r="PGL211" s="145"/>
      <c r="PGM211" s="145"/>
      <c r="PGN211" s="146"/>
      <c r="PGO211" s="142"/>
      <c r="PGP211" s="143"/>
      <c r="PGQ211" s="144"/>
      <c r="PGR211" s="124"/>
      <c r="PGS211" s="145"/>
      <c r="PGT211" s="145"/>
      <c r="PGU211" s="146"/>
      <c r="PGV211" s="142"/>
      <c r="PGW211" s="143"/>
      <c r="PGX211" s="144"/>
      <c r="PGY211" s="124"/>
      <c r="PGZ211" s="145"/>
      <c r="PHA211" s="145"/>
      <c r="PHB211" s="146"/>
      <c r="PHC211" s="142"/>
      <c r="PHD211" s="143"/>
      <c r="PHE211" s="144"/>
      <c r="PHF211" s="124"/>
      <c r="PHG211" s="145"/>
      <c r="PHH211" s="145"/>
      <c r="PHI211" s="146"/>
      <c r="PHJ211" s="142"/>
      <c r="PHK211" s="143"/>
      <c r="PHL211" s="144"/>
      <c r="PHM211" s="124"/>
      <c r="PHN211" s="145"/>
      <c r="PHO211" s="145"/>
      <c r="PHP211" s="146"/>
      <c r="PHQ211" s="142"/>
      <c r="PHR211" s="143"/>
      <c r="PHS211" s="144"/>
      <c r="PHT211" s="124"/>
      <c r="PHU211" s="145"/>
      <c r="PHV211" s="145"/>
      <c r="PHW211" s="146"/>
      <c r="PHX211" s="142"/>
      <c r="PHY211" s="143"/>
      <c r="PHZ211" s="144"/>
      <c r="PIA211" s="124"/>
      <c r="PIB211" s="145"/>
      <c r="PIC211" s="145"/>
      <c r="PID211" s="146"/>
      <c r="PIE211" s="142"/>
      <c r="PIF211" s="143"/>
      <c r="PIG211" s="144"/>
      <c r="PIH211" s="124"/>
      <c r="PII211" s="145"/>
      <c r="PIJ211" s="145"/>
      <c r="PIK211" s="146"/>
      <c r="PIL211" s="142"/>
      <c r="PIM211" s="143"/>
      <c r="PIN211" s="144"/>
      <c r="PIO211" s="124"/>
      <c r="PIP211" s="145"/>
      <c r="PIQ211" s="145"/>
      <c r="PIR211" s="146"/>
      <c r="PIS211" s="142"/>
      <c r="PIT211" s="143"/>
      <c r="PIU211" s="144"/>
      <c r="PIV211" s="124"/>
      <c r="PIW211" s="145"/>
      <c r="PIX211" s="145"/>
      <c r="PIY211" s="146"/>
      <c r="PIZ211" s="142"/>
      <c r="PJA211" s="143"/>
      <c r="PJB211" s="144"/>
      <c r="PJC211" s="124"/>
      <c r="PJD211" s="145"/>
      <c r="PJE211" s="145"/>
      <c r="PJF211" s="146"/>
      <c r="PJG211" s="142"/>
      <c r="PJH211" s="143"/>
      <c r="PJI211" s="144"/>
      <c r="PJJ211" s="124"/>
      <c r="PJK211" s="145"/>
      <c r="PJL211" s="145"/>
      <c r="PJM211" s="146"/>
      <c r="PJN211" s="142"/>
      <c r="PJO211" s="143"/>
      <c r="PJP211" s="144"/>
      <c r="PJQ211" s="124"/>
      <c r="PJR211" s="145"/>
      <c r="PJS211" s="145"/>
      <c r="PJT211" s="146"/>
      <c r="PJU211" s="142"/>
      <c r="PJV211" s="143"/>
      <c r="PJW211" s="144"/>
      <c r="PJX211" s="124"/>
      <c r="PJY211" s="145"/>
      <c r="PJZ211" s="145"/>
      <c r="PKA211" s="146"/>
      <c r="PKB211" s="142"/>
      <c r="PKC211" s="143"/>
      <c r="PKD211" s="144"/>
      <c r="PKE211" s="124"/>
      <c r="PKF211" s="145"/>
      <c r="PKG211" s="145"/>
      <c r="PKH211" s="146"/>
      <c r="PKI211" s="142"/>
      <c r="PKJ211" s="143"/>
      <c r="PKK211" s="144"/>
      <c r="PKL211" s="124"/>
      <c r="PKM211" s="145"/>
      <c r="PKN211" s="145"/>
      <c r="PKO211" s="146"/>
      <c r="PKP211" s="142"/>
      <c r="PKQ211" s="143"/>
      <c r="PKR211" s="144"/>
      <c r="PKS211" s="124"/>
      <c r="PKT211" s="145"/>
      <c r="PKU211" s="145"/>
      <c r="PKV211" s="146"/>
      <c r="PKW211" s="142"/>
      <c r="PKX211" s="143"/>
      <c r="PKY211" s="144"/>
      <c r="PKZ211" s="124"/>
      <c r="PLA211" s="145"/>
      <c r="PLB211" s="145"/>
      <c r="PLC211" s="146"/>
      <c r="PLD211" s="142"/>
      <c r="PLE211" s="143"/>
      <c r="PLF211" s="144"/>
      <c r="PLG211" s="124"/>
      <c r="PLH211" s="145"/>
      <c r="PLI211" s="145"/>
      <c r="PLJ211" s="146"/>
      <c r="PLK211" s="142"/>
      <c r="PLL211" s="143"/>
      <c r="PLM211" s="144"/>
      <c r="PLN211" s="124"/>
      <c r="PLO211" s="145"/>
      <c r="PLP211" s="145"/>
      <c r="PLQ211" s="146"/>
      <c r="PLR211" s="142"/>
      <c r="PLS211" s="143"/>
      <c r="PLT211" s="144"/>
      <c r="PLU211" s="124"/>
      <c r="PLV211" s="145"/>
      <c r="PLW211" s="145"/>
      <c r="PLX211" s="146"/>
      <c r="PLY211" s="142"/>
      <c r="PLZ211" s="143"/>
      <c r="PMA211" s="144"/>
      <c r="PMB211" s="124"/>
      <c r="PMC211" s="145"/>
      <c r="PMD211" s="145"/>
      <c r="PME211" s="146"/>
      <c r="PMF211" s="142"/>
      <c r="PMG211" s="143"/>
      <c r="PMH211" s="144"/>
      <c r="PMI211" s="124"/>
      <c r="PMJ211" s="145"/>
      <c r="PMK211" s="145"/>
      <c r="PML211" s="146"/>
      <c r="PMM211" s="142"/>
      <c r="PMN211" s="143"/>
      <c r="PMO211" s="144"/>
      <c r="PMP211" s="124"/>
      <c r="PMQ211" s="145"/>
      <c r="PMR211" s="145"/>
      <c r="PMS211" s="146"/>
      <c r="PMT211" s="142"/>
      <c r="PMU211" s="143"/>
      <c r="PMV211" s="144"/>
      <c r="PMW211" s="124"/>
      <c r="PMX211" s="145"/>
      <c r="PMY211" s="145"/>
      <c r="PMZ211" s="146"/>
      <c r="PNA211" s="142"/>
      <c r="PNB211" s="143"/>
      <c r="PNC211" s="144"/>
      <c r="PND211" s="124"/>
      <c r="PNE211" s="145"/>
      <c r="PNF211" s="145"/>
      <c r="PNG211" s="146"/>
      <c r="PNH211" s="142"/>
      <c r="PNI211" s="143"/>
      <c r="PNJ211" s="144"/>
      <c r="PNK211" s="124"/>
      <c r="PNL211" s="145"/>
      <c r="PNM211" s="145"/>
      <c r="PNN211" s="146"/>
      <c r="PNO211" s="142"/>
      <c r="PNP211" s="143"/>
      <c r="PNQ211" s="144"/>
      <c r="PNR211" s="124"/>
      <c r="PNS211" s="145"/>
      <c r="PNT211" s="145"/>
      <c r="PNU211" s="146"/>
      <c r="PNV211" s="142"/>
      <c r="PNW211" s="143"/>
      <c r="PNX211" s="144"/>
      <c r="PNY211" s="124"/>
      <c r="PNZ211" s="145"/>
      <c r="POA211" s="145"/>
      <c r="POB211" s="146"/>
      <c r="POC211" s="142"/>
      <c r="POD211" s="143"/>
      <c r="POE211" s="144"/>
      <c r="POF211" s="124"/>
      <c r="POG211" s="145"/>
      <c r="POH211" s="145"/>
      <c r="POI211" s="146"/>
      <c r="POJ211" s="142"/>
      <c r="POK211" s="143"/>
      <c r="POL211" s="144"/>
      <c r="POM211" s="124"/>
      <c r="PON211" s="145"/>
      <c r="POO211" s="145"/>
      <c r="POP211" s="146"/>
      <c r="POQ211" s="142"/>
      <c r="POR211" s="143"/>
      <c r="POS211" s="144"/>
      <c r="POT211" s="124"/>
      <c r="POU211" s="145"/>
      <c r="POV211" s="145"/>
      <c r="POW211" s="146"/>
      <c r="POX211" s="142"/>
      <c r="POY211" s="143"/>
      <c r="POZ211" s="144"/>
      <c r="PPA211" s="124"/>
      <c r="PPB211" s="145"/>
      <c r="PPC211" s="145"/>
      <c r="PPD211" s="146"/>
      <c r="PPE211" s="142"/>
      <c r="PPF211" s="143"/>
      <c r="PPG211" s="144"/>
      <c r="PPH211" s="124"/>
      <c r="PPI211" s="145"/>
      <c r="PPJ211" s="145"/>
      <c r="PPK211" s="146"/>
      <c r="PPL211" s="142"/>
      <c r="PPM211" s="143"/>
      <c r="PPN211" s="144"/>
      <c r="PPO211" s="124"/>
      <c r="PPP211" s="145"/>
      <c r="PPQ211" s="145"/>
      <c r="PPR211" s="146"/>
      <c r="PPS211" s="142"/>
      <c r="PPT211" s="143"/>
      <c r="PPU211" s="144"/>
      <c r="PPV211" s="124"/>
      <c r="PPW211" s="145"/>
      <c r="PPX211" s="145"/>
      <c r="PPY211" s="146"/>
      <c r="PPZ211" s="142"/>
      <c r="PQA211" s="143"/>
      <c r="PQB211" s="144"/>
      <c r="PQC211" s="124"/>
      <c r="PQD211" s="145"/>
      <c r="PQE211" s="145"/>
      <c r="PQF211" s="146"/>
      <c r="PQG211" s="142"/>
      <c r="PQH211" s="143"/>
      <c r="PQI211" s="144"/>
      <c r="PQJ211" s="124"/>
      <c r="PQK211" s="145"/>
      <c r="PQL211" s="145"/>
      <c r="PQM211" s="146"/>
      <c r="PQN211" s="142"/>
      <c r="PQO211" s="143"/>
      <c r="PQP211" s="144"/>
      <c r="PQQ211" s="124"/>
      <c r="PQR211" s="145"/>
      <c r="PQS211" s="145"/>
      <c r="PQT211" s="146"/>
      <c r="PQU211" s="142"/>
      <c r="PQV211" s="143"/>
      <c r="PQW211" s="144"/>
      <c r="PQX211" s="124"/>
      <c r="PQY211" s="145"/>
      <c r="PQZ211" s="145"/>
      <c r="PRA211" s="146"/>
      <c r="PRB211" s="142"/>
      <c r="PRC211" s="143"/>
      <c r="PRD211" s="144"/>
      <c r="PRE211" s="124"/>
      <c r="PRF211" s="145"/>
      <c r="PRG211" s="145"/>
      <c r="PRH211" s="146"/>
      <c r="PRI211" s="142"/>
      <c r="PRJ211" s="143"/>
      <c r="PRK211" s="144"/>
      <c r="PRL211" s="124"/>
      <c r="PRM211" s="145"/>
      <c r="PRN211" s="145"/>
      <c r="PRO211" s="146"/>
      <c r="PRP211" s="142"/>
      <c r="PRQ211" s="143"/>
      <c r="PRR211" s="144"/>
      <c r="PRS211" s="124"/>
      <c r="PRT211" s="145"/>
      <c r="PRU211" s="145"/>
      <c r="PRV211" s="146"/>
      <c r="PRW211" s="142"/>
      <c r="PRX211" s="143"/>
      <c r="PRY211" s="144"/>
      <c r="PRZ211" s="124"/>
      <c r="PSA211" s="145"/>
      <c r="PSB211" s="145"/>
      <c r="PSC211" s="146"/>
      <c r="PSD211" s="142"/>
      <c r="PSE211" s="143"/>
      <c r="PSF211" s="144"/>
      <c r="PSG211" s="124"/>
      <c r="PSH211" s="145"/>
      <c r="PSI211" s="145"/>
      <c r="PSJ211" s="146"/>
      <c r="PSK211" s="142"/>
      <c r="PSL211" s="143"/>
      <c r="PSM211" s="144"/>
      <c r="PSN211" s="124"/>
      <c r="PSO211" s="145"/>
      <c r="PSP211" s="145"/>
      <c r="PSQ211" s="146"/>
      <c r="PSR211" s="142"/>
      <c r="PSS211" s="143"/>
      <c r="PST211" s="144"/>
      <c r="PSU211" s="124"/>
      <c r="PSV211" s="145"/>
      <c r="PSW211" s="145"/>
      <c r="PSX211" s="146"/>
      <c r="PSY211" s="142"/>
      <c r="PSZ211" s="143"/>
      <c r="PTA211" s="144"/>
      <c r="PTB211" s="124"/>
      <c r="PTC211" s="145"/>
      <c r="PTD211" s="145"/>
      <c r="PTE211" s="146"/>
      <c r="PTF211" s="142"/>
      <c r="PTG211" s="143"/>
      <c r="PTH211" s="144"/>
      <c r="PTI211" s="124"/>
      <c r="PTJ211" s="145"/>
      <c r="PTK211" s="145"/>
      <c r="PTL211" s="146"/>
      <c r="PTM211" s="142"/>
      <c r="PTN211" s="143"/>
      <c r="PTO211" s="144"/>
      <c r="PTP211" s="124"/>
      <c r="PTQ211" s="145"/>
      <c r="PTR211" s="145"/>
      <c r="PTS211" s="146"/>
      <c r="PTT211" s="142"/>
      <c r="PTU211" s="143"/>
      <c r="PTV211" s="144"/>
      <c r="PTW211" s="124"/>
      <c r="PTX211" s="145"/>
      <c r="PTY211" s="145"/>
      <c r="PTZ211" s="146"/>
      <c r="PUA211" s="142"/>
      <c r="PUB211" s="143"/>
      <c r="PUC211" s="144"/>
      <c r="PUD211" s="124"/>
      <c r="PUE211" s="145"/>
      <c r="PUF211" s="145"/>
      <c r="PUG211" s="146"/>
      <c r="PUH211" s="142"/>
      <c r="PUI211" s="143"/>
      <c r="PUJ211" s="144"/>
      <c r="PUK211" s="124"/>
      <c r="PUL211" s="145"/>
      <c r="PUM211" s="145"/>
      <c r="PUN211" s="146"/>
      <c r="PUO211" s="142"/>
      <c r="PUP211" s="143"/>
      <c r="PUQ211" s="144"/>
      <c r="PUR211" s="124"/>
      <c r="PUS211" s="145"/>
      <c r="PUT211" s="145"/>
      <c r="PUU211" s="146"/>
      <c r="PUV211" s="142"/>
      <c r="PUW211" s="143"/>
      <c r="PUX211" s="144"/>
      <c r="PUY211" s="124"/>
      <c r="PUZ211" s="145"/>
      <c r="PVA211" s="145"/>
      <c r="PVB211" s="146"/>
      <c r="PVC211" s="142"/>
      <c r="PVD211" s="143"/>
      <c r="PVE211" s="144"/>
      <c r="PVF211" s="124"/>
      <c r="PVG211" s="145"/>
      <c r="PVH211" s="145"/>
      <c r="PVI211" s="146"/>
      <c r="PVJ211" s="142"/>
      <c r="PVK211" s="143"/>
      <c r="PVL211" s="144"/>
      <c r="PVM211" s="124"/>
      <c r="PVN211" s="145"/>
      <c r="PVO211" s="145"/>
      <c r="PVP211" s="146"/>
      <c r="PVQ211" s="142"/>
      <c r="PVR211" s="143"/>
      <c r="PVS211" s="144"/>
      <c r="PVT211" s="124"/>
      <c r="PVU211" s="145"/>
      <c r="PVV211" s="145"/>
      <c r="PVW211" s="146"/>
      <c r="PVX211" s="142"/>
      <c r="PVY211" s="143"/>
      <c r="PVZ211" s="144"/>
      <c r="PWA211" s="124"/>
      <c r="PWB211" s="145"/>
      <c r="PWC211" s="145"/>
      <c r="PWD211" s="146"/>
      <c r="PWE211" s="142"/>
      <c r="PWF211" s="143"/>
      <c r="PWG211" s="144"/>
      <c r="PWH211" s="124"/>
      <c r="PWI211" s="145"/>
      <c r="PWJ211" s="145"/>
      <c r="PWK211" s="146"/>
      <c r="PWL211" s="142"/>
      <c r="PWM211" s="143"/>
      <c r="PWN211" s="144"/>
      <c r="PWO211" s="124"/>
      <c r="PWP211" s="145"/>
      <c r="PWQ211" s="145"/>
      <c r="PWR211" s="146"/>
      <c r="PWS211" s="142"/>
      <c r="PWT211" s="143"/>
      <c r="PWU211" s="144"/>
      <c r="PWV211" s="124"/>
      <c r="PWW211" s="145"/>
      <c r="PWX211" s="145"/>
      <c r="PWY211" s="146"/>
      <c r="PWZ211" s="142"/>
      <c r="PXA211" s="143"/>
      <c r="PXB211" s="144"/>
      <c r="PXC211" s="124"/>
      <c r="PXD211" s="145"/>
      <c r="PXE211" s="145"/>
      <c r="PXF211" s="146"/>
      <c r="PXG211" s="142"/>
      <c r="PXH211" s="143"/>
      <c r="PXI211" s="144"/>
      <c r="PXJ211" s="124"/>
      <c r="PXK211" s="145"/>
      <c r="PXL211" s="145"/>
      <c r="PXM211" s="146"/>
      <c r="PXN211" s="142"/>
      <c r="PXO211" s="143"/>
      <c r="PXP211" s="144"/>
      <c r="PXQ211" s="124"/>
      <c r="PXR211" s="145"/>
      <c r="PXS211" s="145"/>
      <c r="PXT211" s="146"/>
      <c r="PXU211" s="142"/>
      <c r="PXV211" s="143"/>
      <c r="PXW211" s="144"/>
      <c r="PXX211" s="124"/>
      <c r="PXY211" s="145"/>
      <c r="PXZ211" s="145"/>
      <c r="PYA211" s="146"/>
      <c r="PYB211" s="142"/>
      <c r="PYC211" s="143"/>
      <c r="PYD211" s="144"/>
      <c r="PYE211" s="124"/>
      <c r="PYF211" s="145"/>
      <c r="PYG211" s="145"/>
      <c r="PYH211" s="146"/>
      <c r="PYI211" s="142"/>
      <c r="PYJ211" s="143"/>
      <c r="PYK211" s="144"/>
      <c r="PYL211" s="124"/>
      <c r="PYM211" s="145"/>
      <c r="PYN211" s="145"/>
      <c r="PYO211" s="146"/>
      <c r="PYP211" s="142"/>
      <c r="PYQ211" s="143"/>
      <c r="PYR211" s="144"/>
      <c r="PYS211" s="124"/>
      <c r="PYT211" s="145"/>
      <c r="PYU211" s="145"/>
      <c r="PYV211" s="146"/>
      <c r="PYW211" s="142"/>
      <c r="PYX211" s="143"/>
      <c r="PYY211" s="144"/>
      <c r="PYZ211" s="124"/>
      <c r="PZA211" s="145"/>
      <c r="PZB211" s="145"/>
      <c r="PZC211" s="146"/>
      <c r="PZD211" s="142"/>
      <c r="PZE211" s="143"/>
      <c r="PZF211" s="144"/>
      <c r="PZG211" s="124"/>
      <c r="PZH211" s="145"/>
      <c r="PZI211" s="145"/>
      <c r="PZJ211" s="146"/>
      <c r="PZK211" s="142"/>
      <c r="PZL211" s="143"/>
      <c r="PZM211" s="144"/>
      <c r="PZN211" s="124"/>
      <c r="PZO211" s="145"/>
      <c r="PZP211" s="145"/>
      <c r="PZQ211" s="146"/>
      <c r="PZR211" s="142"/>
      <c r="PZS211" s="143"/>
      <c r="PZT211" s="144"/>
      <c r="PZU211" s="124"/>
      <c r="PZV211" s="145"/>
      <c r="PZW211" s="145"/>
      <c r="PZX211" s="146"/>
      <c r="PZY211" s="142"/>
      <c r="PZZ211" s="143"/>
      <c r="QAA211" s="144"/>
      <c r="QAB211" s="124"/>
      <c r="QAC211" s="145"/>
      <c r="QAD211" s="145"/>
      <c r="QAE211" s="146"/>
      <c r="QAF211" s="142"/>
      <c r="QAG211" s="143"/>
      <c r="QAH211" s="144"/>
      <c r="QAI211" s="124"/>
      <c r="QAJ211" s="145"/>
      <c r="QAK211" s="145"/>
      <c r="QAL211" s="146"/>
      <c r="QAM211" s="142"/>
      <c r="QAN211" s="143"/>
      <c r="QAO211" s="144"/>
      <c r="QAP211" s="124"/>
      <c r="QAQ211" s="145"/>
      <c r="QAR211" s="145"/>
      <c r="QAS211" s="146"/>
      <c r="QAT211" s="142"/>
      <c r="QAU211" s="143"/>
      <c r="QAV211" s="144"/>
      <c r="QAW211" s="124"/>
      <c r="QAX211" s="145"/>
      <c r="QAY211" s="145"/>
      <c r="QAZ211" s="146"/>
      <c r="QBA211" s="142"/>
      <c r="QBB211" s="143"/>
      <c r="QBC211" s="144"/>
      <c r="QBD211" s="124"/>
      <c r="QBE211" s="145"/>
      <c r="QBF211" s="145"/>
      <c r="QBG211" s="146"/>
      <c r="QBH211" s="142"/>
      <c r="QBI211" s="143"/>
      <c r="QBJ211" s="144"/>
      <c r="QBK211" s="124"/>
      <c r="QBL211" s="145"/>
      <c r="QBM211" s="145"/>
      <c r="QBN211" s="146"/>
      <c r="QBO211" s="142"/>
      <c r="QBP211" s="143"/>
      <c r="QBQ211" s="144"/>
      <c r="QBR211" s="124"/>
      <c r="QBS211" s="145"/>
      <c r="QBT211" s="145"/>
      <c r="QBU211" s="146"/>
      <c r="QBV211" s="142"/>
      <c r="QBW211" s="143"/>
      <c r="QBX211" s="144"/>
      <c r="QBY211" s="124"/>
      <c r="QBZ211" s="145"/>
      <c r="QCA211" s="145"/>
      <c r="QCB211" s="146"/>
      <c r="QCC211" s="142"/>
      <c r="QCD211" s="143"/>
      <c r="QCE211" s="144"/>
      <c r="QCF211" s="124"/>
      <c r="QCG211" s="145"/>
      <c r="QCH211" s="145"/>
      <c r="QCI211" s="146"/>
      <c r="QCJ211" s="142"/>
      <c r="QCK211" s="143"/>
      <c r="QCL211" s="144"/>
      <c r="QCM211" s="124"/>
      <c r="QCN211" s="145"/>
      <c r="QCO211" s="145"/>
      <c r="QCP211" s="146"/>
      <c r="QCQ211" s="142"/>
      <c r="QCR211" s="143"/>
      <c r="QCS211" s="144"/>
      <c r="QCT211" s="124"/>
      <c r="QCU211" s="145"/>
      <c r="QCV211" s="145"/>
      <c r="QCW211" s="146"/>
      <c r="QCX211" s="142"/>
      <c r="QCY211" s="143"/>
      <c r="QCZ211" s="144"/>
      <c r="QDA211" s="124"/>
      <c r="QDB211" s="145"/>
      <c r="QDC211" s="145"/>
      <c r="QDD211" s="146"/>
      <c r="QDE211" s="142"/>
      <c r="QDF211" s="143"/>
      <c r="QDG211" s="144"/>
      <c r="QDH211" s="124"/>
      <c r="QDI211" s="145"/>
      <c r="QDJ211" s="145"/>
      <c r="QDK211" s="146"/>
      <c r="QDL211" s="142"/>
      <c r="QDM211" s="143"/>
      <c r="QDN211" s="144"/>
      <c r="QDO211" s="124"/>
      <c r="QDP211" s="145"/>
      <c r="QDQ211" s="145"/>
      <c r="QDR211" s="146"/>
      <c r="QDS211" s="142"/>
      <c r="QDT211" s="143"/>
      <c r="QDU211" s="144"/>
      <c r="QDV211" s="124"/>
      <c r="QDW211" s="145"/>
      <c r="QDX211" s="145"/>
      <c r="QDY211" s="146"/>
      <c r="QDZ211" s="142"/>
      <c r="QEA211" s="143"/>
      <c r="QEB211" s="144"/>
      <c r="QEC211" s="124"/>
      <c r="QED211" s="145"/>
      <c r="QEE211" s="145"/>
      <c r="QEF211" s="146"/>
      <c r="QEG211" s="142"/>
      <c r="QEH211" s="143"/>
      <c r="QEI211" s="144"/>
      <c r="QEJ211" s="124"/>
      <c r="QEK211" s="145"/>
      <c r="QEL211" s="145"/>
      <c r="QEM211" s="146"/>
      <c r="QEN211" s="142"/>
      <c r="QEO211" s="143"/>
      <c r="QEP211" s="144"/>
      <c r="QEQ211" s="124"/>
      <c r="QER211" s="145"/>
      <c r="QES211" s="145"/>
      <c r="QET211" s="146"/>
      <c r="QEU211" s="142"/>
      <c r="QEV211" s="143"/>
      <c r="QEW211" s="144"/>
      <c r="QEX211" s="124"/>
      <c r="QEY211" s="145"/>
      <c r="QEZ211" s="145"/>
      <c r="QFA211" s="146"/>
      <c r="QFB211" s="142"/>
      <c r="QFC211" s="143"/>
      <c r="QFD211" s="144"/>
      <c r="QFE211" s="124"/>
      <c r="QFF211" s="145"/>
      <c r="QFG211" s="145"/>
      <c r="QFH211" s="146"/>
      <c r="QFI211" s="142"/>
      <c r="QFJ211" s="143"/>
      <c r="QFK211" s="144"/>
      <c r="QFL211" s="124"/>
      <c r="QFM211" s="145"/>
      <c r="QFN211" s="145"/>
      <c r="QFO211" s="146"/>
      <c r="QFP211" s="142"/>
      <c r="QFQ211" s="143"/>
      <c r="QFR211" s="144"/>
      <c r="QFS211" s="124"/>
      <c r="QFT211" s="145"/>
      <c r="QFU211" s="145"/>
      <c r="QFV211" s="146"/>
      <c r="QFW211" s="142"/>
      <c r="QFX211" s="143"/>
      <c r="QFY211" s="144"/>
      <c r="QFZ211" s="124"/>
      <c r="QGA211" s="145"/>
      <c r="QGB211" s="145"/>
      <c r="QGC211" s="146"/>
      <c r="QGD211" s="142"/>
      <c r="QGE211" s="143"/>
      <c r="QGF211" s="144"/>
      <c r="QGG211" s="124"/>
      <c r="QGH211" s="145"/>
      <c r="QGI211" s="145"/>
      <c r="QGJ211" s="146"/>
      <c r="QGK211" s="142"/>
      <c r="QGL211" s="143"/>
      <c r="QGM211" s="144"/>
      <c r="QGN211" s="124"/>
      <c r="QGO211" s="145"/>
      <c r="QGP211" s="145"/>
      <c r="QGQ211" s="146"/>
      <c r="QGR211" s="142"/>
      <c r="QGS211" s="143"/>
      <c r="QGT211" s="144"/>
      <c r="QGU211" s="124"/>
      <c r="QGV211" s="145"/>
      <c r="QGW211" s="145"/>
      <c r="QGX211" s="146"/>
      <c r="QGY211" s="142"/>
      <c r="QGZ211" s="143"/>
      <c r="QHA211" s="144"/>
      <c r="QHB211" s="124"/>
      <c r="QHC211" s="145"/>
      <c r="QHD211" s="145"/>
      <c r="QHE211" s="146"/>
      <c r="QHF211" s="142"/>
      <c r="QHG211" s="143"/>
      <c r="QHH211" s="144"/>
      <c r="QHI211" s="124"/>
      <c r="QHJ211" s="145"/>
      <c r="QHK211" s="145"/>
      <c r="QHL211" s="146"/>
      <c r="QHM211" s="142"/>
      <c r="QHN211" s="143"/>
      <c r="QHO211" s="144"/>
      <c r="QHP211" s="124"/>
      <c r="QHQ211" s="145"/>
      <c r="QHR211" s="145"/>
      <c r="QHS211" s="146"/>
      <c r="QHT211" s="142"/>
      <c r="QHU211" s="143"/>
      <c r="QHV211" s="144"/>
      <c r="QHW211" s="124"/>
      <c r="QHX211" s="145"/>
      <c r="QHY211" s="145"/>
      <c r="QHZ211" s="146"/>
      <c r="QIA211" s="142"/>
      <c r="QIB211" s="143"/>
      <c r="QIC211" s="144"/>
      <c r="QID211" s="124"/>
      <c r="QIE211" s="145"/>
      <c r="QIF211" s="145"/>
      <c r="QIG211" s="146"/>
      <c r="QIH211" s="142"/>
      <c r="QII211" s="143"/>
      <c r="QIJ211" s="144"/>
      <c r="QIK211" s="124"/>
      <c r="QIL211" s="145"/>
      <c r="QIM211" s="145"/>
      <c r="QIN211" s="146"/>
      <c r="QIO211" s="142"/>
      <c r="QIP211" s="143"/>
      <c r="QIQ211" s="144"/>
      <c r="QIR211" s="124"/>
      <c r="QIS211" s="145"/>
      <c r="QIT211" s="145"/>
      <c r="QIU211" s="146"/>
      <c r="QIV211" s="142"/>
      <c r="QIW211" s="143"/>
      <c r="QIX211" s="144"/>
      <c r="QIY211" s="124"/>
      <c r="QIZ211" s="145"/>
      <c r="QJA211" s="145"/>
      <c r="QJB211" s="146"/>
      <c r="QJC211" s="142"/>
      <c r="QJD211" s="143"/>
      <c r="QJE211" s="144"/>
      <c r="QJF211" s="124"/>
      <c r="QJG211" s="145"/>
      <c r="QJH211" s="145"/>
      <c r="QJI211" s="146"/>
      <c r="QJJ211" s="142"/>
      <c r="QJK211" s="143"/>
      <c r="QJL211" s="144"/>
      <c r="QJM211" s="124"/>
      <c r="QJN211" s="145"/>
      <c r="QJO211" s="145"/>
      <c r="QJP211" s="146"/>
      <c r="QJQ211" s="142"/>
      <c r="QJR211" s="143"/>
      <c r="QJS211" s="144"/>
      <c r="QJT211" s="124"/>
      <c r="QJU211" s="145"/>
      <c r="QJV211" s="145"/>
      <c r="QJW211" s="146"/>
      <c r="QJX211" s="142"/>
      <c r="QJY211" s="143"/>
      <c r="QJZ211" s="144"/>
      <c r="QKA211" s="124"/>
      <c r="QKB211" s="145"/>
      <c r="QKC211" s="145"/>
      <c r="QKD211" s="146"/>
      <c r="QKE211" s="142"/>
      <c r="QKF211" s="143"/>
      <c r="QKG211" s="144"/>
      <c r="QKH211" s="124"/>
      <c r="QKI211" s="145"/>
      <c r="QKJ211" s="145"/>
      <c r="QKK211" s="146"/>
      <c r="QKL211" s="142"/>
      <c r="QKM211" s="143"/>
      <c r="QKN211" s="144"/>
      <c r="QKO211" s="124"/>
      <c r="QKP211" s="145"/>
      <c r="QKQ211" s="145"/>
      <c r="QKR211" s="146"/>
      <c r="QKS211" s="142"/>
      <c r="QKT211" s="143"/>
      <c r="QKU211" s="144"/>
      <c r="QKV211" s="124"/>
      <c r="QKW211" s="145"/>
      <c r="QKX211" s="145"/>
      <c r="QKY211" s="146"/>
      <c r="QKZ211" s="142"/>
      <c r="QLA211" s="143"/>
      <c r="QLB211" s="144"/>
      <c r="QLC211" s="124"/>
      <c r="QLD211" s="145"/>
      <c r="QLE211" s="145"/>
      <c r="QLF211" s="146"/>
      <c r="QLG211" s="142"/>
      <c r="QLH211" s="143"/>
      <c r="QLI211" s="144"/>
      <c r="QLJ211" s="124"/>
      <c r="QLK211" s="145"/>
      <c r="QLL211" s="145"/>
      <c r="QLM211" s="146"/>
      <c r="QLN211" s="142"/>
      <c r="QLO211" s="143"/>
      <c r="QLP211" s="144"/>
      <c r="QLQ211" s="124"/>
      <c r="QLR211" s="145"/>
      <c r="QLS211" s="145"/>
      <c r="QLT211" s="146"/>
      <c r="QLU211" s="142"/>
      <c r="QLV211" s="143"/>
      <c r="QLW211" s="144"/>
      <c r="QLX211" s="124"/>
      <c r="QLY211" s="145"/>
      <c r="QLZ211" s="145"/>
      <c r="QMA211" s="146"/>
      <c r="QMB211" s="142"/>
      <c r="QMC211" s="143"/>
      <c r="QMD211" s="144"/>
      <c r="QME211" s="124"/>
      <c r="QMF211" s="145"/>
      <c r="QMG211" s="145"/>
      <c r="QMH211" s="146"/>
      <c r="QMI211" s="142"/>
      <c r="QMJ211" s="143"/>
      <c r="QMK211" s="144"/>
      <c r="QML211" s="124"/>
      <c r="QMM211" s="145"/>
      <c r="QMN211" s="145"/>
      <c r="QMO211" s="146"/>
      <c r="QMP211" s="142"/>
      <c r="QMQ211" s="143"/>
      <c r="QMR211" s="144"/>
      <c r="QMS211" s="124"/>
      <c r="QMT211" s="145"/>
      <c r="QMU211" s="145"/>
      <c r="QMV211" s="146"/>
      <c r="QMW211" s="142"/>
      <c r="QMX211" s="143"/>
      <c r="QMY211" s="144"/>
      <c r="QMZ211" s="124"/>
      <c r="QNA211" s="145"/>
      <c r="QNB211" s="145"/>
      <c r="QNC211" s="146"/>
      <c r="QND211" s="142"/>
      <c r="QNE211" s="143"/>
      <c r="QNF211" s="144"/>
      <c r="QNG211" s="124"/>
      <c r="QNH211" s="145"/>
      <c r="QNI211" s="145"/>
      <c r="QNJ211" s="146"/>
      <c r="QNK211" s="142"/>
      <c r="QNL211" s="143"/>
      <c r="QNM211" s="144"/>
      <c r="QNN211" s="124"/>
      <c r="QNO211" s="145"/>
      <c r="QNP211" s="145"/>
      <c r="QNQ211" s="146"/>
      <c r="QNR211" s="142"/>
      <c r="QNS211" s="143"/>
      <c r="QNT211" s="144"/>
      <c r="QNU211" s="124"/>
      <c r="QNV211" s="145"/>
      <c r="QNW211" s="145"/>
      <c r="QNX211" s="146"/>
      <c r="QNY211" s="142"/>
      <c r="QNZ211" s="143"/>
      <c r="QOA211" s="144"/>
      <c r="QOB211" s="124"/>
      <c r="QOC211" s="145"/>
      <c r="QOD211" s="145"/>
      <c r="QOE211" s="146"/>
      <c r="QOF211" s="142"/>
      <c r="QOG211" s="143"/>
      <c r="QOH211" s="144"/>
      <c r="QOI211" s="124"/>
      <c r="QOJ211" s="145"/>
      <c r="QOK211" s="145"/>
      <c r="QOL211" s="146"/>
      <c r="QOM211" s="142"/>
      <c r="QON211" s="143"/>
      <c r="QOO211" s="144"/>
      <c r="QOP211" s="124"/>
      <c r="QOQ211" s="145"/>
      <c r="QOR211" s="145"/>
      <c r="QOS211" s="146"/>
      <c r="QOT211" s="142"/>
      <c r="QOU211" s="143"/>
      <c r="QOV211" s="144"/>
      <c r="QOW211" s="124"/>
      <c r="QOX211" s="145"/>
      <c r="QOY211" s="145"/>
      <c r="QOZ211" s="146"/>
      <c r="QPA211" s="142"/>
      <c r="QPB211" s="143"/>
      <c r="QPC211" s="144"/>
      <c r="QPD211" s="124"/>
      <c r="QPE211" s="145"/>
      <c r="QPF211" s="145"/>
      <c r="QPG211" s="146"/>
      <c r="QPH211" s="142"/>
      <c r="QPI211" s="143"/>
      <c r="QPJ211" s="144"/>
      <c r="QPK211" s="124"/>
      <c r="QPL211" s="145"/>
      <c r="QPM211" s="145"/>
      <c r="QPN211" s="146"/>
      <c r="QPO211" s="142"/>
      <c r="QPP211" s="143"/>
      <c r="QPQ211" s="144"/>
      <c r="QPR211" s="124"/>
      <c r="QPS211" s="145"/>
      <c r="QPT211" s="145"/>
      <c r="QPU211" s="146"/>
      <c r="QPV211" s="142"/>
      <c r="QPW211" s="143"/>
      <c r="QPX211" s="144"/>
      <c r="QPY211" s="124"/>
      <c r="QPZ211" s="145"/>
      <c r="QQA211" s="145"/>
      <c r="QQB211" s="146"/>
      <c r="QQC211" s="142"/>
      <c r="QQD211" s="143"/>
      <c r="QQE211" s="144"/>
      <c r="QQF211" s="124"/>
      <c r="QQG211" s="145"/>
      <c r="QQH211" s="145"/>
      <c r="QQI211" s="146"/>
      <c r="QQJ211" s="142"/>
      <c r="QQK211" s="143"/>
      <c r="QQL211" s="144"/>
      <c r="QQM211" s="124"/>
      <c r="QQN211" s="145"/>
      <c r="QQO211" s="145"/>
      <c r="QQP211" s="146"/>
      <c r="QQQ211" s="142"/>
      <c r="QQR211" s="143"/>
      <c r="QQS211" s="144"/>
      <c r="QQT211" s="124"/>
      <c r="QQU211" s="145"/>
      <c r="QQV211" s="145"/>
      <c r="QQW211" s="146"/>
      <c r="QQX211" s="142"/>
      <c r="QQY211" s="143"/>
      <c r="QQZ211" s="144"/>
      <c r="QRA211" s="124"/>
      <c r="QRB211" s="145"/>
      <c r="QRC211" s="145"/>
      <c r="QRD211" s="146"/>
      <c r="QRE211" s="142"/>
      <c r="QRF211" s="143"/>
      <c r="QRG211" s="144"/>
      <c r="QRH211" s="124"/>
      <c r="QRI211" s="145"/>
      <c r="QRJ211" s="145"/>
      <c r="QRK211" s="146"/>
      <c r="QRL211" s="142"/>
      <c r="QRM211" s="143"/>
      <c r="QRN211" s="144"/>
      <c r="QRO211" s="124"/>
      <c r="QRP211" s="145"/>
      <c r="QRQ211" s="145"/>
      <c r="QRR211" s="146"/>
      <c r="QRS211" s="142"/>
      <c r="QRT211" s="143"/>
      <c r="QRU211" s="144"/>
      <c r="QRV211" s="124"/>
      <c r="QRW211" s="145"/>
      <c r="QRX211" s="145"/>
      <c r="QRY211" s="146"/>
      <c r="QRZ211" s="142"/>
      <c r="QSA211" s="143"/>
      <c r="QSB211" s="144"/>
      <c r="QSC211" s="124"/>
      <c r="QSD211" s="145"/>
      <c r="QSE211" s="145"/>
      <c r="QSF211" s="146"/>
      <c r="QSG211" s="142"/>
      <c r="QSH211" s="143"/>
      <c r="QSI211" s="144"/>
      <c r="QSJ211" s="124"/>
      <c r="QSK211" s="145"/>
      <c r="QSL211" s="145"/>
      <c r="QSM211" s="146"/>
      <c r="QSN211" s="142"/>
      <c r="QSO211" s="143"/>
      <c r="QSP211" s="144"/>
      <c r="QSQ211" s="124"/>
      <c r="QSR211" s="145"/>
      <c r="QSS211" s="145"/>
      <c r="QST211" s="146"/>
      <c r="QSU211" s="142"/>
      <c r="QSV211" s="143"/>
      <c r="QSW211" s="144"/>
      <c r="QSX211" s="124"/>
      <c r="QSY211" s="145"/>
      <c r="QSZ211" s="145"/>
      <c r="QTA211" s="146"/>
      <c r="QTB211" s="142"/>
      <c r="QTC211" s="143"/>
      <c r="QTD211" s="144"/>
      <c r="QTE211" s="124"/>
      <c r="QTF211" s="145"/>
      <c r="QTG211" s="145"/>
      <c r="QTH211" s="146"/>
      <c r="QTI211" s="142"/>
      <c r="QTJ211" s="143"/>
      <c r="QTK211" s="144"/>
      <c r="QTL211" s="124"/>
      <c r="QTM211" s="145"/>
      <c r="QTN211" s="145"/>
      <c r="QTO211" s="146"/>
      <c r="QTP211" s="142"/>
      <c r="QTQ211" s="143"/>
      <c r="QTR211" s="144"/>
      <c r="QTS211" s="124"/>
      <c r="QTT211" s="145"/>
      <c r="QTU211" s="145"/>
      <c r="QTV211" s="146"/>
      <c r="QTW211" s="142"/>
      <c r="QTX211" s="143"/>
      <c r="QTY211" s="144"/>
      <c r="QTZ211" s="124"/>
      <c r="QUA211" s="145"/>
      <c r="QUB211" s="145"/>
      <c r="QUC211" s="146"/>
      <c r="QUD211" s="142"/>
      <c r="QUE211" s="143"/>
      <c r="QUF211" s="144"/>
      <c r="QUG211" s="124"/>
      <c r="QUH211" s="145"/>
      <c r="QUI211" s="145"/>
      <c r="QUJ211" s="146"/>
      <c r="QUK211" s="142"/>
      <c r="QUL211" s="143"/>
      <c r="QUM211" s="144"/>
      <c r="QUN211" s="124"/>
      <c r="QUO211" s="145"/>
      <c r="QUP211" s="145"/>
      <c r="QUQ211" s="146"/>
      <c r="QUR211" s="142"/>
      <c r="QUS211" s="143"/>
      <c r="QUT211" s="144"/>
      <c r="QUU211" s="124"/>
      <c r="QUV211" s="145"/>
      <c r="QUW211" s="145"/>
      <c r="QUX211" s="146"/>
      <c r="QUY211" s="142"/>
      <c r="QUZ211" s="143"/>
      <c r="QVA211" s="144"/>
      <c r="QVB211" s="124"/>
      <c r="QVC211" s="145"/>
      <c r="QVD211" s="145"/>
      <c r="QVE211" s="146"/>
      <c r="QVF211" s="142"/>
      <c r="QVG211" s="143"/>
      <c r="QVH211" s="144"/>
      <c r="QVI211" s="124"/>
      <c r="QVJ211" s="145"/>
      <c r="QVK211" s="145"/>
      <c r="QVL211" s="146"/>
      <c r="QVM211" s="142"/>
      <c r="QVN211" s="143"/>
      <c r="QVO211" s="144"/>
      <c r="QVP211" s="124"/>
      <c r="QVQ211" s="145"/>
      <c r="QVR211" s="145"/>
      <c r="QVS211" s="146"/>
      <c r="QVT211" s="142"/>
      <c r="QVU211" s="143"/>
      <c r="QVV211" s="144"/>
      <c r="QVW211" s="124"/>
      <c r="QVX211" s="145"/>
      <c r="QVY211" s="145"/>
      <c r="QVZ211" s="146"/>
      <c r="QWA211" s="142"/>
      <c r="QWB211" s="143"/>
      <c r="QWC211" s="144"/>
      <c r="QWD211" s="124"/>
      <c r="QWE211" s="145"/>
      <c r="QWF211" s="145"/>
      <c r="QWG211" s="146"/>
      <c r="QWH211" s="142"/>
      <c r="QWI211" s="143"/>
      <c r="QWJ211" s="144"/>
      <c r="QWK211" s="124"/>
      <c r="QWL211" s="145"/>
      <c r="QWM211" s="145"/>
      <c r="QWN211" s="146"/>
      <c r="QWO211" s="142"/>
      <c r="QWP211" s="143"/>
      <c r="QWQ211" s="144"/>
      <c r="QWR211" s="124"/>
      <c r="QWS211" s="145"/>
      <c r="QWT211" s="145"/>
      <c r="QWU211" s="146"/>
      <c r="QWV211" s="142"/>
      <c r="QWW211" s="143"/>
      <c r="QWX211" s="144"/>
      <c r="QWY211" s="124"/>
      <c r="QWZ211" s="145"/>
      <c r="QXA211" s="145"/>
      <c r="QXB211" s="146"/>
      <c r="QXC211" s="142"/>
      <c r="QXD211" s="143"/>
      <c r="QXE211" s="144"/>
      <c r="QXF211" s="124"/>
      <c r="QXG211" s="145"/>
      <c r="QXH211" s="145"/>
      <c r="QXI211" s="146"/>
      <c r="QXJ211" s="142"/>
      <c r="QXK211" s="143"/>
      <c r="QXL211" s="144"/>
      <c r="QXM211" s="124"/>
      <c r="QXN211" s="145"/>
      <c r="QXO211" s="145"/>
      <c r="QXP211" s="146"/>
      <c r="QXQ211" s="142"/>
      <c r="QXR211" s="143"/>
      <c r="QXS211" s="144"/>
      <c r="QXT211" s="124"/>
      <c r="QXU211" s="145"/>
      <c r="QXV211" s="145"/>
      <c r="QXW211" s="146"/>
      <c r="QXX211" s="142"/>
      <c r="QXY211" s="143"/>
      <c r="QXZ211" s="144"/>
      <c r="QYA211" s="124"/>
      <c r="QYB211" s="145"/>
      <c r="QYC211" s="145"/>
      <c r="QYD211" s="146"/>
      <c r="QYE211" s="142"/>
      <c r="QYF211" s="143"/>
      <c r="QYG211" s="144"/>
      <c r="QYH211" s="124"/>
      <c r="QYI211" s="145"/>
      <c r="QYJ211" s="145"/>
      <c r="QYK211" s="146"/>
      <c r="QYL211" s="142"/>
      <c r="QYM211" s="143"/>
      <c r="QYN211" s="144"/>
      <c r="QYO211" s="124"/>
      <c r="QYP211" s="145"/>
      <c r="QYQ211" s="145"/>
      <c r="QYR211" s="146"/>
      <c r="QYS211" s="142"/>
      <c r="QYT211" s="143"/>
      <c r="QYU211" s="144"/>
      <c r="QYV211" s="124"/>
      <c r="QYW211" s="145"/>
      <c r="QYX211" s="145"/>
      <c r="QYY211" s="146"/>
      <c r="QYZ211" s="142"/>
      <c r="QZA211" s="143"/>
      <c r="QZB211" s="144"/>
      <c r="QZC211" s="124"/>
      <c r="QZD211" s="145"/>
      <c r="QZE211" s="145"/>
      <c r="QZF211" s="146"/>
      <c r="QZG211" s="142"/>
      <c r="QZH211" s="143"/>
      <c r="QZI211" s="144"/>
      <c r="QZJ211" s="124"/>
      <c r="QZK211" s="145"/>
      <c r="QZL211" s="145"/>
      <c r="QZM211" s="146"/>
      <c r="QZN211" s="142"/>
      <c r="QZO211" s="143"/>
      <c r="QZP211" s="144"/>
      <c r="QZQ211" s="124"/>
      <c r="QZR211" s="145"/>
      <c r="QZS211" s="145"/>
      <c r="QZT211" s="146"/>
      <c r="QZU211" s="142"/>
      <c r="QZV211" s="143"/>
      <c r="QZW211" s="144"/>
      <c r="QZX211" s="124"/>
      <c r="QZY211" s="145"/>
      <c r="QZZ211" s="145"/>
      <c r="RAA211" s="146"/>
      <c r="RAB211" s="142"/>
      <c r="RAC211" s="143"/>
      <c r="RAD211" s="144"/>
      <c r="RAE211" s="124"/>
      <c r="RAF211" s="145"/>
      <c r="RAG211" s="145"/>
      <c r="RAH211" s="146"/>
      <c r="RAI211" s="142"/>
      <c r="RAJ211" s="143"/>
      <c r="RAK211" s="144"/>
      <c r="RAL211" s="124"/>
      <c r="RAM211" s="145"/>
      <c r="RAN211" s="145"/>
      <c r="RAO211" s="146"/>
      <c r="RAP211" s="142"/>
      <c r="RAQ211" s="143"/>
      <c r="RAR211" s="144"/>
      <c r="RAS211" s="124"/>
      <c r="RAT211" s="145"/>
      <c r="RAU211" s="145"/>
      <c r="RAV211" s="146"/>
      <c r="RAW211" s="142"/>
      <c r="RAX211" s="143"/>
      <c r="RAY211" s="144"/>
      <c r="RAZ211" s="124"/>
      <c r="RBA211" s="145"/>
      <c r="RBB211" s="145"/>
      <c r="RBC211" s="146"/>
      <c r="RBD211" s="142"/>
      <c r="RBE211" s="143"/>
      <c r="RBF211" s="144"/>
      <c r="RBG211" s="124"/>
      <c r="RBH211" s="145"/>
      <c r="RBI211" s="145"/>
      <c r="RBJ211" s="146"/>
      <c r="RBK211" s="142"/>
      <c r="RBL211" s="143"/>
      <c r="RBM211" s="144"/>
      <c r="RBN211" s="124"/>
      <c r="RBO211" s="145"/>
      <c r="RBP211" s="145"/>
      <c r="RBQ211" s="146"/>
      <c r="RBR211" s="142"/>
      <c r="RBS211" s="143"/>
      <c r="RBT211" s="144"/>
      <c r="RBU211" s="124"/>
      <c r="RBV211" s="145"/>
      <c r="RBW211" s="145"/>
      <c r="RBX211" s="146"/>
      <c r="RBY211" s="142"/>
      <c r="RBZ211" s="143"/>
      <c r="RCA211" s="144"/>
      <c r="RCB211" s="124"/>
      <c r="RCC211" s="145"/>
      <c r="RCD211" s="145"/>
      <c r="RCE211" s="146"/>
      <c r="RCF211" s="142"/>
      <c r="RCG211" s="143"/>
      <c r="RCH211" s="144"/>
      <c r="RCI211" s="124"/>
      <c r="RCJ211" s="145"/>
      <c r="RCK211" s="145"/>
      <c r="RCL211" s="146"/>
      <c r="RCM211" s="142"/>
      <c r="RCN211" s="143"/>
      <c r="RCO211" s="144"/>
      <c r="RCP211" s="124"/>
      <c r="RCQ211" s="145"/>
      <c r="RCR211" s="145"/>
      <c r="RCS211" s="146"/>
      <c r="RCT211" s="142"/>
      <c r="RCU211" s="143"/>
      <c r="RCV211" s="144"/>
      <c r="RCW211" s="124"/>
      <c r="RCX211" s="145"/>
      <c r="RCY211" s="145"/>
      <c r="RCZ211" s="146"/>
      <c r="RDA211" s="142"/>
      <c r="RDB211" s="143"/>
      <c r="RDC211" s="144"/>
      <c r="RDD211" s="124"/>
      <c r="RDE211" s="145"/>
      <c r="RDF211" s="145"/>
      <c r="RDG211" s="146"/>
      <c r="RDH211" s="142"/>
      <c r="RDI211" s="143"/>
      <c r="RDJ211" s="144"/>
      <c r="RDK211" s="124"/>
      <c r="RDL211" s="145"/>
      <c r="RDM211" s="145"/>
      <c r="RDN211" s="146"/>
      <c r="RDO211" s="142"/>
      <c r="RDP211" s="143"/>
      <c r="RDQ211" s="144"/>
      <c r="RDR211" s="124"/>
      <c r="RDS211" s="145"/>
      <c r="RDT211" s="145"/>
      <c r="RDU211" s="146"/>
      <c r="RDV211" s="142"/>
      <c r="RDW211" s="143"/>
      <c r="RDX211" s="144"/>
      <c r="RDY211" s="124"/>
      <c r="RDZ211" s="145"/>
      <c r="REA211" s="145"/>
      <c r="REB211" s="146"/>
      <c r="REC211" s="142"/>
      <c r="RED211" s="143"/>
      <c r="REE211" s="144"/>
      <c r="REF211" s="124"/>
      <c r="REG211" s="145"/>
      <c r="REH211" s="145"/>
      <c r="REI211" s="146"/>
      <c r="REJ211" s="142"/>
      <c r="REK211" s="143"/>
      <c r="REL211" s="144"/>
      <c r="REM211" s="124"/>
      <c r="REN211" s="145"/>
      <c r="REO211" s="145"/>
      <c r="REP211" s="146"/>
      <c r="REQ211" s="142"/>
      <c r="RER211" s="143"/>
      <c r="RES211" s="144"/>
      <c r="RET211" s="124"/>
      <c r="REU211" s="145"/>
      <c r="REV211" s="145"/>
      <c r="REW211" s="146"/>
      <c r="REX211" s="142"/>
      <c r="REY211" s="143"/>
      <c r="REZ211" s="144"/>
      <c r="RFA211" s="124"/>
      <c r="RFB211" s="145"/>
      <c r="RFC211" s="145"/>
      <c r="RFD211" s="146"/>
      <c r="RFE211" s="142"/>
      <c r="RFF211" s="143"/>
      <c r="RFG211" s="144"/>
      <c r="RFH211" s="124"/>
      <c r="RFI211" s="145"/>
      <c r="RFJ211" s="145"/>
      <c r="RFK211" s="146"/>
      <c r="RFL211" s="142"/>
      <c r="RFM211" s="143"/>
      <c r="RFN211" s="144"/>
      <c r="RFO211" s="124"/>
      <c r="RFP211" s="145"/>
      <c r="RFQ211" s="145"/>
      <c r="RFR211" s="146"/>
      <c r="RFS211" s="142"/>
      <c r="RFT211" s="143"/>
      <c r="RFU211" s="144"/>
      <c r="RFV211" s="124"/>
      <c r="RFW211" s="145"/>
      <c r="RFX211" s="145"/>
      <c r="RFY211" s="146"/>
      <c r="RFZ211" s="142"/>
      <c r="RGA211" s="143"/>
      <c r="RGB211" s="144"/>
      <c r="RGC211" s="124"/>
      <c r="RGD211" s="145"/>
      <c r="RGE211" s="145"/>
      <c r="RGF211" s="146"/>
      <c r="RGG211" s="142"/>
      <c r="RGH211" s="143"/>
      <c r="RGI211" s="144"/>
      <c r="RGJ211" s="124"/>
      <c r="RGK211" s="145"/>
      <c r="RGL211" s="145"/>
      <c r="RGM211" s="146"/>
      <c r="RGN211" s="142"/>
      <c r="RGO211" s="143"/>
      <c r="RGP211" s="144"/>
      <c r="RGQ211" s="124"/>
      <c r="RGR211" s="145"/>
      <c r="RGS211" s="145"/>
      <c r="RGT211" s="146"/>
      <c r="RGU211" s="142"/>
      <c r="RGV211" s="143"/>
      <c r="RGW211" s="144"/>
      <c r="RGX211" s="124"/>
      <c r="RGY211" s="145"/>
      <c r="RGZ211" s="145"/>
      <c r="RHA211" s="146"/>
      <c r="RHB211" s="142"/>
      <c r="RHC211" s="143"/>
      <c r="RHD211" s="144"/>
      <c r="RHE211" s="124"/>
      <c r="RHF211" s="145"/>
      <c r="RHG211" s="145"/>
      <c r="RHH211" s="146"/>
      <c r="RHI211" s="142"/>
      <c r="RHJ211" s="143"/>
      <c r="RHK211" s="144"/>
      <c r="RHL211" s="124"/>
      <c r="RHM211" s="145"/>
      <c r="RHN211" s="145"/>
      <c r="RHO211" s="146"/>
      <c r="RHP211" s="142"/>
      <c r="RHQ211" s="143"/>
      <c r="RHR211" s="144"/>
      <c r="RHS211" s="124"/>
      <c r="RHT211" s="145"/>
      <c r="RHU211" s="145"/>
      <c r="RHV211" s="146"/>
      <c r="RHW211" s="142"/>
      <c r="RHX211" s="143"/>
      <c r="RHY211" s="144"/>
      <c r="RHZ211" s="124"/>
      <c r="RIA211" s="145"/>
      <c r="RIB211" s="145"/>
      <c r="RIC211" s="146"/>
      <c r="RID211" s="142"/>
      <c r="RIE211" s="143"/>
      <c r="RIF211" s="144"/>
      <c r="RIG211" s="124"/>
      <c r="RIH211" s="145"/>
      <c r="RII211" s="145"/>
      <c r="RIJ211" s="146"/>
      <c r="RIK211" s="142"/>
      <c r="RIL211" s="143"/>
      <c r="RIM211" s="144"/>
      <c r="RIN211" s="124"/>
      <c r="RIO211" s="145"/>
      <c r="RIP211" s="145"/>
      <c r="RIQ211" s="146"/>
      <c r="RIR211" s="142"/>
      <c r="RIS211" s="143"/>
      <c r="RIT211" s="144"/>
      <c r="RIU211" s="124"/>
      <c r="RIV211" s="145"/>
      <c r="RIW211" s="145"/>
      <c r="RIX211" s="146"/>
      <c r="RIY211" s="142"/>
      <c r="RIZ211" s="143"/>
      <c r="RJA211" s="144"/>
      <c r="RJB211" s="124"/>
      <c r="RJC211" s="145"/>
      <c r="RJD211" s="145"/>
      <c r="RJE211" s="146"/>
      <c r="RJF211" s="142"/>
      <c r="RJG211" s="143"/>
      <c r="RJH211" s="144"/>
      <c r="RJI211" s="124"/>
      <c r="RJJ211" s="145"/>
      <c r="RJK211" s="145"/>
      <c r="RJL211" s="146"/>
      <c r="RJM211" s="142"/>
      <c r="RJN211" s="143"/>
      <c r="RJO211" s="144"/>
      <c r="RJP211" s="124"/>
      <c r="RJQ211" s="145"/>
      <c r="RJR211" s="145"/>
      <c r="RJS211" s="146"/>
      <c r="RJT211" s="142"/>
      <c r="RJU211" s="143"/>
      <c r="RJV211" s="144"/>
      <c r="RJW211" s="124"/>
      <c r="RJX211" s="145"/>
      <c r="RJY211" s="145"/>
      <c r="RJZ211" s="146"/>
      <c r="RKA211" s="142"/>
      <c r="RKB211" s="143"/>
      <c r="RKC211" s="144"/>
      <c r="RKD211" s="124"/>
      <c r="RKE211" s="145"/>
      <c r="RKF211" s="145"/>
      <c r="RKG211" s="146"/>
      <c r="RKH211" s="142"/>
      <c r="RKI211" s="143"/>
      <c r="RKJ211" s="144"/>
      <c r="RKK211" s="124"/>
      <c r="RKL211" s="145"/>
      <c r="RKM211" s="145"/>
      <c r="RKN211" s="146"/>
      <c r="RKO211" s="142"/>
      <c r="RKP211" s="143"/>
      <c r="RKQ211" s="144"/>
      <c r="RKR211" s="124"/>
      <c r="RKS211" s="145"/>
      <c r="RKT211" s="145"/>
      <c r="RKU211" s="146"/>
      <c r="RKV211" s="142"/>
      <c r="RKW211" s="143"/>
      <c r="RKX211" s="144"/>
      <c r="RKY211" s="124"/>
      <c r="RKZ211" s="145"/>
      <c r="RLA211" s="145"/>
      <c r="RLB211" s="146"/>
      <c r="RLC211" s="142"/>
      <c r="RLD211" s="143"/>
      <c r="RLE211" s="144"/>
      <c r="RLF211" s="124"/>
      <c r="RLG211" s="145"/>
      <c r="RLH211" s="145"/>
      <c r="RLI211" s="146"/>
      <c r="RLJ211" s="142"/>
      <c r="RLK211" s="143"/>
      <c r="RLL211" s="144"/>
      <c r="RLM211" s="124"/>
      <c r="RLN211" s="145"/>
      <c r="RLO211" s="145"/>
      <c r="RLP211" s="146"/>
      <c r="RLQ211" s="142"/>
      <c r="RLR211" s="143"/>
      <c r="RLS211" s="144"/>
      <c r="RLT211" s="124"/>
      <c r="RLU211" s="145"/>
      <c r="RLV211" s="145"/>
      <c r="RLW211" s="146"/>
      <c r="RLX211" s="142"/>
      <c r="RLY211" s="143"/>
      <c r="RLZ211" s="144"/>
      <c r="RMA211" s="124"/>
      <c r="RMB211" s="145"/>
      <c r="RMC211" s="145"/>
      <c r="RMD211" s="146"/>
      <c r="RME211" s="142"/>
      <c r="RMF211" s="143"/>
      <c r="RMG211" s="144"/>
      <c r="RMH211" s="124"/>
      <c r="RMI211" s="145"/>
      <c r="RMJ211" s="145"/>
      <c r="RMK211" s="146"/>
      <c r="RML211" s="142"/>
      <c r="RMM211" s="143"/>
      <c r="RMN211" s="144"/>
      <c r="RMO211" s="124"/>
      <c r="RMP211" s="145"/>
      <c r="RMQ211" s="145"/>
      <c r="RMR211" s="146"/>
      <c r="RMS211" s="142"/>
      <c r="RMT211" s="143"/>
      <c r="RMU211" s="144"/>
      <c r="RMV211" s="124"/>
      <c r="RMW211" s="145"/>
      <c r="RMX211" s="145"/>
      <c r="RMY211" s="146"/>
      <c r="RMZ211" s="142"/>
      <c r="RNA211" s="143"/>
      <c r="RNB211" s="144"/>
      <c r="RNC211" s="124"/>
      <c r="RND211" s="145"/>
      <c r="RNE211" s="145"/>
      <c r="RNF211" s="146"/>
      <c r="RNG211" s="142"/>
      <c r="RNH211" s="143"/>
      <c r="RNI211" s="144"/>
      <c r="RNJ211" s="124"/>
      <c r="RNK211" s="145"/>
      <c r="RNL211" s="145"/>
      <c r="RNM211" s="146"/>
      <c r="RNN211" s="142"/>
      <c r="RNO211" s="143"/>
      <c r="RNP211" s="144"/>
      <c r="RNQ211" s="124"/>
      <c r="RNR211" s="145"/>
      <c r="RNS211" s="145"/>
      <c r="RNT211" s="146"/>
      <c r="RNU211" s="142"/>
      <c r="RNV211" s="143"/>
      <c r="RNW211" s="144"/>
      <c r="RNX211" s="124"/>
      <c r="RNY211" s="145"/>
      <c r="RNZ211" s="145"/>
      <c r="ROA211" s="146"/>
      <c r="ROB211" s="142"/>
      <c r="ROC211" s="143"/>
      <c r="ROD211" s="144"/>
      <c r="ROE211" s="124"/>
      <c r="ROF211" s="145"/>
      <c r="ROG211" s="145"/>
      <c r="ROH211" s="146"/>
      <c r="ROI211" s="142"/>
      <c r="ROJ211" s="143"/>
      <c r="ROK211" s="144"/>
      <c r="ROL211" s="124"/>
      <c r="ROM211" s="145"/>
      <c r="RON211" s="145"/>
      <c r="ROO211" s="146"/>
      <c r="ROP211" s="142"/>
      <c r="ROQ211" s="143"/>
      <c r="ROR211" s="144"/>
      <c r="ROS211" s="124"/>
      <c r="ROT211" s="145"/>
      <c r="ROU211" s="145"/>
      <c r="ROV211" s="146"/>
      <c r="ROW211" s="142"/>
      <c r="ROX211" s="143"/>
      <c r="ROY211" s="144"/>
      <c r="ROZ211" s="124"/>
      <c r="RPA211" s="145"/>
      <c r="RPB211" s="145"/>
      <c r="RPC211" s="146"/>
      <c r="RPD211" s="142"/>
      <c r="RPE211" s="143"/>
      <c r="RPF211" s="144"/>
      <c r="RPG211" s="124"/>
      <c r="RPH211" s="145"/>
      <c r="RPI211" s="145"/>
      <c r="RPJ211" s="146"/>
      <c r="RPK211" s="142"/>
      <c r="RPL211" s="143"/>
      <c r="RPM211" s="144"/>
      <c r="RPN211" s="124"/>
      <c r="RPO211" s="145"/>
      <c r="RPP211" s="145"/>
      <c r="RPQ211" s="146"/>
      <c r="RPR211" s="142"/>
      <c r="RPS211" s="143"/>
      <c r="RPT211" s="144"/>
      <c r="RPU211" s="124"/>
      <c r="RPV211" s="145"/>
      <c r="RPW211" s="145"/>
      <c r="RPX211" s="146"/>
      <c r="RPY211" s="142"/>
      <c r="RPZ211" s="143"/>
      <c r="RQA211" s="144"/>
      <c r="RQB211" s="124"/>
      <c r="RQC211" s="145"/>
      <c r="RQD211" s="145"/>
      <c r="RQE211" s="146"/>
      <c r="RQF211" s="142"/>
      <c r="RQG211" s="143"/>
      <c r="RQH211" s="144"/>
      <c r="RQI211" s="124"/>
      <c r="RQJ211" s="145"/>
      <c r="RQK211" s="145"/>
      <c r="RQL211" s="146"/>
      <c r="RQM211" s="142"/>
      <c r="RQN211" s="143"/>
      <c r="RQO211" s="144"/>
      <c r="RQP211" s="124"/>
      <c r="RQQ211" s="145"/>
      <c r="RQR211" s="145"/>
      <c r="RQS211" s="146"/>
      <c r="RQT211" s="142"/>
      <c r="RQU211" s="143"/>
      <c r="RQV211" s="144"/>
      <c r="RQW211" s="124"/>
      <c r="RQX211" s="145"/>
      <c r="RQY211" s="145"/>
      <c r="RQZ211" s="146"/>
      <c r="RRA211" s="142"/>
      <c r="RRB211" s="143"/>
      <c r="RRC211" s="144"/>
      <c r="RRD211" s="124"/>
      <c r="RRE211" s="145"/>
      <c r="RRF211" s="145"/>
      <c r="RRG211" s="146"/>
      <c r="RRH211" s="142"/>
      <c r="RRI211" s="143"/>
      <c r="RRJ211" s="144"/>
      <c r="RRK211" s="124"/>
      <c r="RRL211" s="145"/>
      <c r="RRM211" s="145"/>
      <c r="RRN211" s="146"/>
      <c r="RRO211" s="142"/>
      <c r="RRP211" s="143"/>
      <c r="RRQ211" s="144"/>
      <c r="RRR211" s="124"/>
      <c r="RRS211" s="145"/>
      <c r="RRT211" s="145"/>
      <c r="RRU211" s="146"/>
      <c r="RRV211" s="142"/>
      <c r="RRW211" s="143"/>
      <c r="RRX211" s="144"/>
      <c r="RRY211" s="124"/>
      <c r="RRZ211" s="145"/>
      <c r="RSA211" s="145"/>
      <c r="RSB211" s="146"/>
      <c r="RSC211" s="142"/>
      <c r="RSD211" s="143"/>
      <c r="RSE211" s="144"/>
      <c r="RSF211" s="124"/>
      <c r="RSG211" s="145"/>
      <c r="RSH211" s="145"/>
      <c r="RSI211" s="146"/>
      <c r="RSJ211" s="142"/>
      <c r="RSK211" s="143"/>
      <c r="RSL211" s="144"/>
      <c r="RSM211" s="124"/>
      <c r="RSN211" s="145"/>
      <c r="RSO211" s="145"/>
      <c r="RSP211" s="146"/>
      <c r="RSQ211" s="142"/>
      <c r="RSR211" s="143"/>
      <c r="RSS211" s="144"/>
      <c r="RST211" s="124"/>
      <c r="RSU211" s="145"/>
      <c r="RSV211" s="145"/>
      <c r="RSW211" s="146"/>
      <c r="RSX211" s="142"/>
      <c r="RSY211" s="143"/>
      <c r="RSZ211" s="144"/>
      <c r="RTA211" s="124"/>
      <c r="RTB211" s="145"/>
      <c r="RTC211" s="145"/>
      <c r="RTD211" s="146"/>
      <c r="RTE211" s="142"/>
      <c r="RTF211" s="143"/>
      <c r="RTG211" s="144"/>
      <c r="RTH211" s="124"/>
      <c r="RTI211" s="145"/>
      <c r="RTJ211" s="145"/>
      <c r="RTK211" s="146"/>
      <c r="RTL211" s="142"/>
      <c r="RTM211" s="143"/>
      <c r="RTN211" s="144"/>
      <c r="RTO211" s="124"/>
      <c r="RTP211" s="145"/>
      <c r="RTQ211" s="145"/>
      <c r="RTR211" s="146"/>
      <c r="RTS211" s="142"/>
      <c r="RTT211" s="143"/>
      <c r="RTU211" s="144"/>
      <c r="RTV211" s="124"/>
      <c r="RTW211" s="145"/>
      <c r="RTX211" s="145"/>
      <c r="RTY211" s="146"/>
      <c r="RTZ211" s="142"/>
      <c r="RUA211" s="143"/>
      <c r="RUB211" s="144"/>
      <c r="RUC211" s="124"/>
      <c r="RUD211" s="145"/>
      <c r="RUE211" s="145"/>
      <c r="RUF211" s="146"/>
      <c r="RUG211" s="142"/>
      <c r="RUH211" s="143"/>
      <c r="RUI211" s="144"/>
      <c r="RUJ211" s="124"/>
      <c r="RUK211" s="145"/>
      <c r="RUL211" s="145"/>
      <c r="RUM211" s="146"/>
      <c r="RUN211" s="142"/>
      <c r="RUO211" s="143"/>
      <c r="RUP211" s="144"/>
      <c r="RUQ211" s="124"/>
      <c r="RUR211" s="145"/>
      <c r="RUS211" s="145"/>
      <c r="RUT211" s="146"/>
      <c r="RUU211" s="142"/>
      <c r="RUV211" s="143"/>
      <c r="RUW211" s="144"/>
      <c r="RUX211" s="124"/>
      <c r="RUY211" s="145"/>
      <c r="RUZ211" s="145"/>
      <c r="RVA211" s="146"/>
      <c r="RVB211" s="142"/>
      <c r="RVC211" s="143"/>
      <c r="RVD211" s="144"/>
      <c r="RVE211" s="124"/>
      <c r="RVF211" s="145"/>
      <c r="RVG211" s="145"/>
      <c r="RVH211" s="146"/>
      <c r="RVI211" s="142"/>
      <c r="RVJ211" s="143"/>
      <c r="RVK211" s="144"/>
      <c r="RVL211" s="124"/>
      <c r="RVM211" s="145"/>
      <c r="RVN211" s="145"/>
      <c r="RVO211" s="146"/>
      <c r="RVP211" s="142"/>
      <c r="RVQ211" s="143"/>
      <c r="RVR211" s="144"/>
      <c r="RVS211" s="124"/>
      <c r="RVT211" s="145"/>
      <c r="RVU211" s="145"/>
      <c r="RVV211" s="146"/>
      <c r="RVW211" s="142"/>
      <c r="RVX211" s="143"/>
      <c r="RVY211" s="144"/>
      <c r="RVZ211" s="124"/>
      <c r="RWA211" s="145"/>
      <c r="RWB211" s="145"/>
      <c r="RWC211" s="146"/>
      <c r="RWD211" s="142"/>
      <c r="RWE211" s="143"/>
      <c r="RWF211" s="144"/>
      <c r="RWG211" s="124"/>
      <c r="RWH211" s="145"/>
      <c r="RWI211" s="145"/>
      <c r="RWJ211" s="146"/>
      <c r="RWK211" s="142"/>
      <c r="RWL211" s="143"/>
      <c r="RWM211" s="144"/>
      <c r="RWN211" s="124"/>
      <c r="RWO211" s="145"/>
      <c r="RWP211" s="145"/>
      <c r="RWQ211" s="146"/>
      <c r="RWR211" s="142"/>
      <c r="RWS211" s="143"/>
      <c r="RWT211" s="144"/>
      <c r="RWU211" s="124"/>
      <c r="RWV211" s="145"/>
      <c r="RWW211" s="145"/>
      <c r="RWX211" s="146"/>
      <c r="RWY211" s="142"/>
      <c r="RWZ211" s="143"/>
      <c r="RXA211" s="144"/>
      <c r="RXB211" s="124"/>
      <c r="RXC211" s="145"/>
      <c r="RXD211" s="145"/>
      <c r="RXE211" s="146"/>
      <c r="RXF211" s="142"/>
      <c r="RXG211" s="143"/>
      <c r="RXH211" s="144"/>
      <c r="RXI211" s="124"/>
      <c r="RXJ211" s="145"/>
      <c r="RXK211" s="145"/>
      <c r="RXL211" s="146"/>
      <c r="RXM211" s="142"/>
      <c r="RXN211" s="143"/>
      <c r="RXO211" s="144"/>
      <c r="RXP211" s="124"/>
      <c r="RXQ211" s="145"/>
      <c r="RXR211" s="145"/>
      <c r="RXS211" s="146"/>
      <c r="RXT211" s="142"/>
      <c r="RXU211" s="143"/>
      <c r="RXV211" s="144"/>
      <c r="RXW211" s="124"/>
      <c r="RXX211" s="145"/>
      <c r="RXY211" s="145"/>
      <c r="RXZ211" s="146"/>
      <c r="RYA211" s="142"/>
      <c r="RYB211" s="143"/>
      <c r="RYC211" s="144"/>
      <c r="RYD211" s="124"/>
      <c r="RYE211" s="145"/>
      <c r="RYF211" s="145"/>
      <c r="RYG211" s="146"/>
      <c r="RYH211" s="142"/>
      <c r="RYI211" s="143"/>
      <c r="RYJ211" s="144"/>
      <c r="RYK211" s="124"/>
      <c r="RYL211" s="145"/>
      <c r="RYM211" s="145"/>
      <c r="RYN211" s="146"/>
      <c r="RYO211" s="142"/>
      <c r="RYP211" s="143"/>
      <c r="RYQ211" s="144"/>
      <c r="RYR211" s="124"/>
      <c r="RYS211" s="145"/>
      <c r="RYT211" s="145"/>
      <c r="RYU211" s="146"/>
      <c r="RYV211" s="142"/>
      <c r="RYW211" s="143"/>
      <c r="RYX211" s="144"/>
      <c r="RYY211" s="124"/>
      <c r="RYZ211" s="145"/>
      <c r="RZA211" s="145"/>
      <c r="RZB211" s="146"/>
      <c r="RZC211" s="142"/>
      <c r="RZD211" s="143"/>
      <c r="RZE211" s="144"/>
      <c r="RZF211" s="124"/>
      <c r="RZG211" s="145"/>
      <c r="RZH211" s="145"/>
      <c r="RZI211" s="146"/>
      <c r="RZJ211" s="142"/>
      <c r="RZK211" s="143"/>
      <c r="RZL211" s="144"/>
      <c r="RZM211" s="124"/>
      <c r="RZN211" s="145"/>
      <c r="RZO211" s="145"/>
      <c r="RZP211" s="146"/>
      <c r="RZQ211" s="142"/>
      <c r="RZR211" s="143"/>
      <c r="RZS211" s="144"/>
      <c r="RZT211" s="124"/>
      <c r="RZU211" s="145"/>
      <c r="RZV211" s="145"/>
      <c r="RZW211" s="146"/>
      <c r="RZX211" s="142"/>
      <c r="RZY211" s="143"/>
      <c r="RZZ211" s="144"/>
      <c r="SAA211" s="124"/>
      <c r="SAB211" s="145"/>
      <c r="SAC211" s="145"/>
      <c r="SAD211" s="146"/>
      <c r="SAE211" s="142"/>
      <c r="SAF211" s="143"/>
      <c r="SAG211" s="144"/>
      <c r="SAH211" s="124"/>
      <c r="SAI211" s="145"/>
      <c r="SAJ211" s="145"/>
      <c r="SAK211" s="146"/>
      <c r="SAL211" s="142"/>
      <c r="SAM211" s="143"/>
      <c r="SAN211" s="144"/>
      <c r="SAO211" s="124"/>
      <c r="SAP211" s="145"/>
      <c r="SAQ211" s="145"/>
      <c r="SAR211" s="146"/>
      <c r="SAS211" s="142"/>
      <c r="SAT211" s="143"/>
      <c r="SAU211" s="144"/>
      <c r="SAV211" s="124"/>
      <c r="SAW211" s="145"/>
      <c r="SAX211" s="145"/>
      <c r="SAY211" s="146"/>
      <c r="SAZ211" s="142"/>
      <c r="SBA211" s="143"/>
      <c r="SBB211" s="144"/>
      <c r="SBC211" s="124"/>
      <c r="SBD211" s="145"/>
      <c r="SBE211" s="145"/>
      <c r="SBF211" s="146"/>
      <c r="SBG211" s="142"/>
      <c r="SBH211" s="143"/>
      <c r="SBI211" s="144"/>
      <c r="SBJ211" s="124"/>
      <c r="SBK211" s="145"/>
      <c r="SBL211" s="145"/>
      <c r="SBM211" s="146"/>
      <c r="SBN211" s="142"/>
      <c r="SBO211" s="143"/>
      <c r="SBP211" s="144"/>
      <c r="SBQ211" s="124"/>
      <c r="SBR211" s="145"/>
      <c r="SBS211" s="145"/>
      <c r="SBT211" s="146"/>
      <c r="SBU211" s="142"/>
      <c r="SBV211" s="143"/>
      <c r="SBW211" s="144"/>
      <c r="SBX211" s="124"/>
      <c r="SBY211" s="145"/>
      <c r="SBZ211" s="145"/>
      <c r="SCA211" s="146"/>
      <c r="SCB211" s="142"/>
      <c r="SCC211" s="143"/>
      <c r="SCD211" s="144"/>
      <c r="SCE211" s="124"/>
      <c r="SCF211" s="145"/>
      <c r="SCG211" s="145"/>
      <c r="SCH211" s="146"/>
      <c r="SCI211" s="142"/>
      <c r="SCJ211" s="143"/>
      <c r="SCK211" s="144"/>
      <c r="SCL211" s="124"/>
      <c r="SCM211" s="145"/>
      <c r="SCN211" s="145"/>
      <c r="SCO211" s="146"/>
      <c r="SCP211" s="142"/>
      <c r="SCQ211" s="143"/>
      <c r="SCR211" s="144"/>
      <c r="SCS211" s="124"/>
      <c r="SCT211" s="145"/>
      <c r="SCU211" s="145"/>
      <c r="SCV211" s="146"/>
      <c r="SCW211" s="142"/>
      <c r="SCX211" s="143"/>
      <c r="SCY211" s="144"/>
      <c r="SCZ211" s="124"/>
      <c r="SDA211" s="145"/>
      <c r="SDB211" s="145"/>
      <c r="SDC211" s="146"/>
      <c r="SDD211" s="142"/>
      <c r="SDE211" s="143"/>
      <c r="SDF211" s="144"/>
      <c r="SDG211" s="124"/>
      <c r="SDH211" s="145"/>
      <c r="SDI211" s="145"/>
      <c r="SDJ211" s="146"/>
      <c r="SDK211" s="142"/>
      <c r="SDL211" s="143"/>
      <c r="SDM211" s="144"/>
      <c r="SDN211" s="124"/>
      <c r="SDO211" s="145"/>
      <c r="SDP211" s="145"/>
      <c r="SDQ211" s="146"/>
      <c r="SDR211" s="142"/>
      <c r="SDS211" s="143"/>
      <c r="SDT211" s="144"/>
      <c r="SDU211" s="124"/>
      <c r="SDV211" s="145"/>
      <c r="SDW211" s="145"/>
      <c r="SDX211" s="146"/>
      <c r="SDY211" s="142"/>
      <c r="SDZ211" s="143"/>
      <c r="SEA211" s="144"/>
      <c r="SEB211" s="124"/>
      <c r="SEC211" s="145"/>
      <c r="SED211" s="145"/>
      <c r="SEE211" s="146"/>
      <c r="SEF211" s="142"/>
      <c r="SEG211" s="143"/>
      <c r="SEH211" s="144"/>
      <c r="SEI211" s="124"/>
      <c r="SEJ211" s="145"/>
      <c r="SEK211" s="145"/>
      <c r="SEL211" s="146"/>
      <c r="SEM211" s="142"/>
      <c r="SEN211" s="143"/>
      <c r="SEO211" s="144"/>
      <c r="SEP211" s="124"/>
      <c r="SEQ211" s="145"/>
      <c r="SER211" s="145"/>
      <c r="SES211" s="146"/>
      <c r="SET211" s="142"/>
      <c r="SEU211" s="143"/>
      <c r="SEV211" s="144"/>
      <c r="SEW211" s="124"/>
      <c r="SEX211" s="145"/>
      <c r="SEY211" s="145"/>
      <c r="SEZ211" s="146"/>
      <c r="SFA211" s="142"/>
      <c r="SFB211" s="143"/>
      <c r="SFC211" s="144"/>
      <c r="SFD211" s="124"/>
      <c r="SFE211" s="145"/>
      <c r="SFF211" s="145"/>
      <c r="SFG211" s="146"/>
      <c r="SFH211" s="142"/>
      <c r="SFI211" s="143"/>
      <c r="SFJ211" s="144"/>
      <c r="SFK211" s="124"/>
      <c r="SFL211" s="145"/>
      <c r="SFM211" s="145"/>
      <c r="SFN211" s="146"/>
      <c r="SFO211" s="142"/>
      <c r="SFP211" s="143"/>
      <c r="SFQ211" s="144"/>
      <c r="SFR211" s="124"/>
      <c r="SFS211" s="145"/>
      <c r="SFT211" s="145"/>
      <c r="SFU211" s="146"/>
      <c r="SFV211" s="142"/>
      <c r="SFW211" s="143"/>
      <c r="SFX211" s="144"/>
      <c r="SFY211" s="124"/>
      <c r="SFZ211" s="145"/>
      <c r="SGA211" s="145"/>
      <c r="SGB211" s="146"/>
      <c r="SGC211" s="142"/>
      <c r="SGD211" s="143"/>
      <c r="SGE211" s="144"/>
      <c r="SGF211" s="124"/>
      <c r="SGG211" s="145"/>
      <c r="SGH211" s="145"/>
      <c r="SGI211" s="146"/>
      <c r="SGJ211" s="142"/>
      <c r="SGK211" s="143"/>
      <c r="SGL211" s="144"/>
      <c r="SGM211" s="124"/>
      <c r="SGN211" s="145"/>
      <c r="SGO211" s="145"/>
      <c r="SGP211" s="146"/>
      <c r="SGQ211" s="142"/>
      <c r="SGR211" s="143"/>
      <c r="SGS211" s="144"/>
      <c r="SGT211" s="124"/>
      <c r="SGU211" s="145"/>
      <c r="SGV211" s="145"/>
      <c r="SGW211" s="146"/>
      <c r="SGX211" s="142"/>
      <c r="SGY211" s="143"/>
      <c r="SGZ211" s="144"/>
      <c r="SHA211" s="124"/>
      <c r="SHB211" s="145"/>
      <c r="SHC211" s="145"/>
      <c r="SHD211" s="146"/>
      <c r="SHE211" s="142"/>
      <c r="SHF211" s="143"/>
      <c r="SHG211" s="144"/>
      <c r="SHH211" s="124"/>
      <c r="SHI211" s="145"/>
      <c r="SHJ211" s="145"/>
      <c r="SHK211" s="146"/>
      <c r="SHL211" s="142"/>
      <c r="SHM211" s="143"/>
      <c r="SHN211" s="144"/>
      <c r="SHO211" s="124"/>
      <c r="SHP211" s="145"/>
      <c r="SHQ211" s="145"/>
      <c r="SHR211" s="146"/>
      <c r="SHS211" s="142"/>
      <c r="SHT211" s="143"/>
      <c r="SHU211" s="144"/>
      <c r="SHV211" s="124"/>
      <c r="SHW211" s="145"/>
      <c r="SHX211" s="145"/>
      <c r="SHY211" s="146"/>
      <c r="SHZ211" s="142"/>
      <c r="SIA211" s="143"/>
      <c r="SIB211" s="144"/>
      <c r="SIC211" s="124"/>
      <c r="SID211" s="145"/>
      <c r="SIE211" s="145"/>
      <c r="SIF211" s="146"/>
      <c r="SIG211" s="142"/>
      <c r="SIH211" s="143"/>
      <c r="SII211" s="144"/>
      <c r="SIJ211" s="124"/>
      <c r="SIK211" s="145"/>
      <c r="SIL211" s="145"/>
      <c r="SIM211" s="146"/>
      <c r="SIN211" s="142"/>
      <c r="SIO211" s="143"/>
      <c r="SIP211" s="144"/>
      <c r="SIQ211" s="124"/>
      <c r="SIR211" s="145"/>
      <c r="SIS211" s="145"/>
      <c r="SIT211" s="146"/>
      <c r="SIU211" s="142"/>
      <c r="SIV211" s="143"/>
      <c r="SIW211" s="144"/>
      <c r="SIX211" s="124"/>
      <c r="SIY211" s="145"/>
      <c r="SIZ211" s="145"/>
      <c r="SJA211" s="146"/>
      <c r="SJB211" s="142"/>
      <c r="SJC211" s="143"/>
      <c r="SJD211" s="144"/>
      <c r="SJE211" s="124"/>
      <c r="SJF211" s="145"/>
      <c r="SJG211" s="145"/>
      <c r="SJH211" s="146"/>
      <c r="SJI211" s="142"/>
      <c r="SJJ211" s="143"/>
      <c r="SJK211" s="144"/>
      <c r="SJL211" s="124"/>
      <c r="SJM211" s="145"/>
      <c r="SJN211" s="145"/>
      <c r="SJO211" s="146"/>
      <c r="SJP211" s="142"/>
      <c r="SJQ211" s="143"/>
      <c r="SJR211" s="144"/>
      <c r="SJS211" s="124"/>
      <c r="SJT211" s="145"/>
      <c r="SJU211" s="145"/>
      <c r="SJV211" s="146"/>
      <c r="SJW211" s="142"/>
      <c r="SJX211" s="143"/>
      <c r="SJY211" s="144"/>
      <c r="SJZ211" s="124"/>
      <c r="SKA211" s="145"/>
      <c r="SKB211" s="145"/>
      <c r="SKC211" s="146"/>
      <c r="SKD211" s="142"/>
      <c r="SKE211" s="143"/>
      <c r="SKF211" s="144"/>
      <c r="SKG211" s="124"/>
      <c r="SKH211" s="145"/>
      <c r="SKI211" s="145"/>
      <c r="SKJ211" s="146"/>
      <c r="SKK211" s="142"/>
      <c r="SKL211" s="143"/>
      <c r="SKM211" s="144"/>
      <c r="SKN211" s="124"/>
      <c r="SKO211" s="145"/>
      <c r="SKP211" s="145"/>
      <c r="SKQ211" s="146"/>
      <c r="SKR211" s="142"/>
      <c r="SKS211" s="143"/>
      <c r="SKT211" s="144"/>
      <c r="SKU211" s="124"/>
      <c r="SKV211" s="145"/>
      <c r="SKW211" s="145"/>
      <c r="SKX211" s="146"/>
      <c r="SKY211" s="142"/>
      <c r="SKZ211" s="143"/>
      <c r="SLA211" s="144"/>
      <c r="SLB211" s="124"/>
      <c r="SLC211" s="145"/>
      <c r="SLD211" s="145"/>
      <c r="SLE211" s="146"/>
      <c r="SLF211" s="142"/>
      <c r="SLG211" s="143"/>
      <c r="SLH211" s="144"/>
      <c r="SLI211" s="124"/>
      <c r="SLJ211" s="145"/>
      <c r="SLK211" s="145"/>
      <c r="SLL211" s="146"/>
      <c r="SLM211" s="142"/>
      <c r="SLN211" s="143"/>
      <c r="SLO211" s="144"/>
      <c r="SLP211" s="124"/>
      <c r="SLQ211" s="145"/>
      <c r="SLR211" s="145"/>
      <c r="SLS211" s="146"/>
      <c r="SLT211" s="142"/>
      <c r="SLU211" s="143"/>
      <c r="SLV211" s="144"/>
      <c r="SLW211" s="124"/>
      <c r="SLX211" s="145"/>
      <c r="SLY211" s="145"/>
      <c r="SLZ211" s="146"/>
      <c r="SMA211" s="142"/>
      <c r="SMB211" s="143"/>
      <c r="SMC211" s="144"/>
      <c r="SMD211" s="124"/>
      <c r="SME211" s="145"/>
      <c r="SMF211" s="145"/>
      <c r="SMG211" s="146"/>
      <c r="SMH211" s="142"/>
      <c r="SMI211" s="143"/>
      <c r="SMJ211" s="144"/>
      <c r="SMK211" s="124"/>
      <c r="SML211" s="145"/>
      <c r="SMM211" s="145"/>
      <c r="SMN211" s="146"/>
      <c r="SMO211" s="142"/>
      <c r="SMP211" s="143"/>
      <c r="SMQ211" s="144"/>
      <c r="SMR211" s="124"/>
      <c r="SMS211" s="145"/>
      <c r="SMT211" s="145"/>
      <c r="SMU211" s="146"/>
      <c r="SMV211" s="142"/>
      <c r="SMW211" s="143"/>
      <c r="SMX211" s="144"/>
      <c r="SMY211" s="124"/>
      <c r="SMZ211" s="145"/>
      <c r="SNA211" s="145"/>
      <c r="SNB211" s="146"/>
      <c r="SNC211" s="142"/>
      <c r="SND211" s="143"/>
      <c r="SNE211" s="144"/>
      <c r="SNF211" s="124"/>
      <c r="SNG211" s="145"/>
      <c r="SNH211" s="145"/>
      <c r="SNI211" s="146"/>
      <c r="SNJ211" s="142"/>
      <c r="SNK211" s="143"/>
      <c r="SNL211" s="144"/>
      <c r="SNM211" s="124"/>
      <c r="SNN211" s="145"/>
      <c r="SNO211" s="145"/>
      <c r="SNP211" s="146"/>
      <c r="SNQ211" s="142"/>
      <c r="SNR211" s="143"/>
      <c r="SNS211" s="144"/>
      <c r="SNT211" s="124"/>
      <c r="SNU211" s="145"/>
      <c r="SNV211" s="145"/>
      <c r="SNW211" s="146"/>
      <c r="SNX211" s="142"/>
      <c r="SNY211" s="143"/>
      <c r="SNZ211" s="144"/>
      <c r="SOA211" s="124"/>
      <c r="SOB211" s="145"/>
      <c r="SOC211" s="145"/>
      <c r="SOD211" s="146"/>
      <c r="SOE211" s="142"/>
      <c r="SOF211" s="143"/>
      <c r="SOG211" s="144"/>
      <c r="SOH211" s="124"/>
      <c r="SOI211" s="145"/>
      <c r="SOJ211" s="145"/>
      <c r="SOK211" s="146"/>
      <c r="SOL211" s="142"/>
      <c r="SOM211" s="143"/>
      <c r="SON211" s="144"/>
      <c r="SOO211" s="124"/>
      <c r="SOP211" s="145"/>
      <c r="SOQ211" s="145"/>
      <c r="SOR211" s="146"/>
      <c r="SOS211" s="142"/>
      <c r="SOT211" s="143"/>
      <c r="SOU211" s="144"/>
      <c r="SOV211" s="124"/>
      <c r="SOW211" s="145"/>
      <c r="SOX211" s="145"/>
      <c r="SOY211" s="146"/>
      <c r="SOZ211" s="142"/>
      <c r="SPA211" s="143"/>
      <c r="SPB211" s="144"/>
      <c r="SPC211" s="124"/>
      <c r="SPD211" s="145"/>
      <c r="SPE211" s="145"/>
      <c r="SPF211" s="146"/>
      <c r="SPG211" s="142"/>
      <c r="SPH211" s="143"/>
      <c r="SPI211" s="144"/>
      <c r="SPJ211" s="124"/>
      <c r="SPK211" s="145"/>
      <c r="SPL211" s="145"/>
      <c r="SPM211" s="146"/>
      <c r="SPN211" s="142"/>
      <c r="SPO211" s="143"/>
      <c r="SPP211" s="144"/>
      <c r="SPQ211" s="124"/>
      <c r="SPR211" s="145"/>
      <c r="SPS211" s="145"/>
      <c r="SPT211" s="146"/>
      <c r="SPU211" s="142"/>
      <c r="SPV211" s="143"/>
      <c r="SPW211" s="144"/>
      <c r="SPX211" s="124"/>
      <c r="SPY211" s="145"/>
      <c r="SPZ211" s="145"/>
      <c r="SQA211" s="146"/>
      <c r="SQB211" s="142"/>
      <c r="SQC211" s="143"/>
      <c r="SQD211" s="144"/>
      <c r="SQE211" s="124"/>
      <c r="SQF211" s="145"/>
      <c r="SQG211" s="145"/>
      <c r="SQH211" s="146"/>
      <c r="SQI211" s="142"/>
      <c r="SQJ211" s="143"/>
      <c r="SQK211" s="144"/>
      <c r="SQL211" s="124"/>
      <c r="SQM211" s="145"/>
      <c r="SQN211" s="145"/>
      <c r="SQO211" s="146"/>
      <c r="SQP211" s="142"/>
      <c r="SQQ211" s="143"/>
      <c r="SQR211" s="144"/>
      <c r="SQS211" s="124"/>
      <c r="SQT211" s="145"/>
      <c r="SQU211" s="145"/>
      <c r="SQV211" s="146"/>
      <c r="SQW211" s="142"/>
      <c r="SQX211" s="143"/>
      <c r="SQY211" s="144"/>
      <c r="SQZ211" s="124"/>
      <c r="SRA211" s="145"/>
      <c r="SRB211" s="145"/>
      <c r="SRC211" s="146"/>
      <c r="SRD211" s="142"/>
      <c r="SRE211" s="143"/>
      <c r="SRF211" s="144"/>
      <c r="SRG211" s="124"/>
      <c r="SRH211" s="145"/>
      <c r="SRI211" s="145"/>
      <c r="SRJ211" s="146"/>
      <c r="SRK211" s="142"/>
      <c r="SRL211" s="143"/>
      <c r="SRM211" s="144"/>
      <c r="SRN211" s="124"/>
      <c r="SRO211" s="145"/>
      <c r="SRP211" s="145"/>
      <c r="SRQ211" s="146"/>
      <c r="SRR211" s="142"/>
      <c r="SRS211" s="143"/>
      <c r="SRT211" s="144"/>
      <c r="SRU211" s="124"/>
      <c r="SRV211" s="145"/>
      <c r="SRW211" s="145"/>
      <c r="SRX211" s="146"/>
      <c r="SRY211" s="142"/>
      <c r="SRZ211" s="143"/>
      <c r="SSA211" s="144"/>
      <c r="SSB211" s="124"/>
      <c r="SSC211" s="145"/>
      <c r="SSD211" s="145"/>
      <c r="SSE211" s="146"/>
      <c r="SSF211" s="142"/>
      <c r="SSG211" s="143"/>
      <c r="SSH211" s="144"/>
      <c r="SSI211" s="124"/>
      <c r="SSJ211" s="145"/>
      <c r="SSK211" s="145"/>
      <c r="SSL211" s="146"/>
      <c r="SSM211" s="142"/>
      <c r="SSN211" s="143"/>
      <c r="SSO211" s="144"/>
      <c r="SSP211" s="124"/>
      <c r="SSQ211" s="145"/>
      <c r="SSR211" s="145"/>
      <c r="SSS211" s="146"/>
      <c r="SST211" s="142"/>
      <c r="SSU211" s="143"/>
      <c r="SSV211" s="144"/>
      <c r="SSW211" s="124"/>
      <c r="SSX211" s="145"/>
      <c r="SSY211" s="145"/>
      <c r="SSZ211" s="146"/>
      <c r="STA211" s="142"/>
      <c r="STB211" s="143"/>
      <c r="STC211" s="144"/>
      <c r="STD211" s="124"/>
      <c r="STE211" s="145"/>
      <c r="STF211" s="145"/>
      <c r="STG211" s="146"/>
      <c r="STH211" s="142"/>
      <c r="STI211" s="143"/>
      <c r="STJ211" s="144"/>
      <c r="STK211" s="124"/>
      <c r="STL211" s="145"/>
      <c r="STM211" s="145"/>
      <c r="STN211" s="146"/>
      <c r="STO211" s="142"/>
      <c r="STP211" s="143"/>
      <c r="STQ211" s="144"/>
      <c r="STR211" s="124"/>
      <c r="STS211" s="145"/>
      <c r="STT211" s="145"/>
      <c r="STU211" s="146"/>
      <c r="STV211" s="142"/>
      <c r="STW211" s="143"/>
      <c r="STX211" s="144"/>
      <c r="STY211" s="124"/>
      <c r="STZ211" s="145"/>
      <c r="SUA211" s="145"/>
      <c r="SUB211" s="146"/>
      <c r="SUC211" s="142"/>
      <c r="SUD211" s="143"/>
      <c r="SUE211" s="144"/>
      <c r="SUF211" s="124"/>
      <c r="SUG211" s="145"/>
      <c r="SUH211" s="145"/>
      <c r="SUI211" s="146"/>
      <c r="SUJ211" s="142"/>
      <c r="SUK211" s="143"/>
      <c r="SUL211" s="144"/>
      <c r="SUM211" s="124"/>
      <c r="SUN211" s="145"/>
      <c r="SUO211" s="145"/>
      <c r="SUP211" s="146"/>
      <c r="SUQ211" s="142"/>
      <c r="SUR211" s="143"/>
      <c r="SUS211" s="144"/>
      <c r="SUT211" s="124"/>
      <c r="SUU211" s="145"/>
      <c r="SUV211" s="145"/>
      <c r="SUW211" s="146"/>
      <c r="SUX211" s="142"/>
      <c r="SUY211" s="143"/>
      <c r="SUZ211" s="144"/>
      <c r="SVA211" s="124"/>
      <c r="SVB211" s="145"/>
      <c r="SVC211" s="145"/>
      <c r="SVD211" s="146"/>
      <c r="SVE211" s="142"/>
      <c r="SVF211" s="143"/>
      <c r="SVG211" s="144"/>
      <c r="SVH211" s="124"/>
      <c r="SVI211" s="145"/>
      <c r="SVJ211" s="145"/>
      <c r="SVK211" s="146"/>
      <c r="SVL211" s="142"/>
      <c r="SVM211" s="143"/>
      <c r="SVN211" s="144"/>
      <c r="SVO211" s="124"/>
      <c r="SVP211" s="145"/>
      <c r="SVQ211" s="145"/>
      <c r="SVR211" s="146"/>
      <c r="SVS211" s="142"/>
      <c r="SVT211" s="143"/>
      <c r="SVU211" s="144"/>
      <c r="SVV211" s="124"/>
      <c r="SVW211" s="145"/>
      <c r="SVX211" s="145"/>
      <c r="SVY211" s="146"/>
      <c r="SVZ211" s="142"/>
      <c r="SWA211" s="143"/>
      <c r="SWB211" s="144"/>
      <c r="SWC211" s="124"/>
      <c r="SWD211" s="145"/>
      <c r="SWE211" s="145"/>
      <c r="SWF211" s="146"/>
      <c r="SWG211" s="142"/>
      <c r="SWH211" s="143"/>
      <c r="SWI211" s="144"/>
      <c r="SWJ211" s="124"/>
      <c r="SWK211" s="145"/>
      <c r="SWL211" s="145"/>
      <c r="SWM211" s="146"/>
      <c r="SWN211" s="142"/>
      <c r="SWO211" s="143"/>
      <c r="SWP211" s="144"/>
      <c r="SWQ211" s="124"/>
      <c r="SWR211" s="145"/>
      <c r="SWS211" s="145"/>
      <c r="SWT211" s="146"/>
      <c r="SWU211" s="142"/>
      <c r="SWV211" s="143"/>
      <c r="SWW211" s="144"/>
      <c r="SWX211" s="124"/>
      <c r="SWY211" s="145"/>
      <c r="SWZ211" s="145"/>
      <c r="SXA211" s="146"/>
      <c r="SXB211" s="142"/>
      <c r="SXC211" s="143"/>
      <c r="SXD211" s="144"/>
      <c r="SXE211" s="124"/>
      <c r="SXF211" s="145"/>
      <c r="SXG211" s="145"/>
      <c r="SXH211" s="146"/>
      <c r="SXI211" s="142"/>
      <c r="SXJ211" s="143"/>
      <c r="SXK211" s="144"/>
      <c r="SXL211" s="124"/>
      <c r="SXM211" s="145"/>
      <c r="SXN211" s="145"/>
      <c r="SXO211" s="146"/>
      <c r="SXP211" s="142"/>
      <c r="SXQ211" s="143"/>
      <c r="SXR211" s="144"/>
      <c r="SXS211" s="124"/>
      <c r="SXT211" s="145"/>
      <c r="SXU211" s="145"/>
      <c r="SXV211" s="146"/>
      <c r="SXW211" s="142"/>
      <c r="SXX211" s="143"/>
      <c r="SXY211" s="144"/>
      <c r="SXZ211" s="124"/>
      <c r="SYA211" s="145"/>
      <c r="SYB211" s="145"/>
      <c r="SYC211" s="146"/>
      <c r="SYD211" s="142"/>
      <c r="SYE211" s="143"/>
      <c r="SYF211" s="144"/>
      <c r="SYG211" s="124"/>
      <c r="SYH211" s="145"/>
      <c r="SYI211" s="145"/>
      <c r="SYJ211" s="146"/>
      <c r="SYK211" s="142"/>
      <c r="SYL211" s="143"/>
      <c r="SYM211" s="144"/>
      <c r="SYN211" s="124"/>
      <c r="SYO211" s="145"/>
      <c r="SYP211" s="145"/>
      <c r="SYQ211" s="146"/>
      <c r="SYR211" s="142"/>
      <c r="SYS211" s="143"/>
      <c r="SYT211" s="144"/>
      <c r="SYU211" s="124"/>
      <c r="SYV211" s="145"/>
      <c r="SYW211" s="145"/>
      <c r="SYX211" s="146"/>
      <c r="SYY211" s="142"/>
      <c r="SYZ211" s="143"/>
      <c r="SZA211" s="144"/>
      <c r="SZB211" s="124"/>
      <c r="SZC211" s="145"/>
      <c r="SZD211" s="145"/>
      <c r="SZE211" s="146"/>
      <c r="SZF211" s="142"/>
      <c r="SZG211" s="143"/>
      <c r="SZH211" s="144"/>
      <c r="SZI211" s="124"/>
      <c r="SZJ211" s="145"/>
      <c r="SZK211" s="145"/>
      <c r="SZL211" s="146"/>
      <c r="SZM211" s="142"/>
      <c r="SZN211" s="143"/>
      <c r="SZO211" s="144"/>
      <c r="SZP211" s="124"/>
      <c r="SZQ211" s="145"/>
      <c r="SZR211" s="145"/>
      <c r="SZS211" s="146"/>
      <c r="SZT211" s="142"/>
      <c r="SZU211" s="143"/>
      <c r="SZV211" s="144"/>
      <c r="SZW211" s="124"/>
      <c r="SZX211" s="145"/>
      <c r="SZY211" s="145"/>
      <c r="SZZ211" s="146"/>
      <c r="TAA211" s="142"/>
      <c r="TAB211" s="143"/>
      <c r="TAC211" s="144"/>
      <c r="TAD211" s="124"/>
      <c r="TAE211" s="145"/>
      <c r="TAF211" s="145"/>
      <c r="TAG211" s="146"/>
      <c r="TAH211" s="142"/>
      <c r="TAI211" s="143"/>
      <c r="TAJ211" s="144"/>
      <c r="TAK211" s="124"/>
      <c r="TAL211" s="145"/>
      <c r="TAM211" s="145"/>
      <c r="TAN211" s="146"/>
      <c r="TAO211" s="142"/>
      <c r="TAP211" s="143"/>
      <c r="TAQ211" s="144"/>
      <c r="TAR211" s="124"/>
      <c r="TAS211" s="145"/>
      <c r="TAT211" s="145"/>
      <c r="TAU211" s="146"/>
      <c r="TAV211" s="142"/>
      <c r="TAW211" s="143"/>
      <c r="TAX211" s="144"/>
      <c r="TAY211" s="124"/>
      <c r="TAZ211" s="145"/>
      <c r="TBA211" s="145"/>
      <c r="TBB211" s="146"/>
      <c r="TBC211" s="142"/>
      <c r="TBD211" s="143"/>
      <c r="TBE211" s="144"/>
      <c r="TBF211" s="124"/>
      <c r="TBG211" s="145"/>
      <c r="TBH211" s="145"/>
      <c r="TBI211" s="146"/>
      <c r="TBJ211" s="142"/>
      <c r="TBK211" s="143"/>
      <c r="TBL211" s="144"/>
      <c r="TBM211" s="124"/>
      <c r="TBN211" s="145"/>
      <c r="TBO211" s="145"/>
      <c r="TBP211" s="146"/>
      <c r="TBQ211" s="142"/>
      <c r="TBR211" s="143"/>
      <c r="TBS211" s="144"/>
      <c r="TBT211" s="124"/>
      <c r="TBU211" s="145"/>
      <c r="TBV211" s="145"/>
      <c r="TBW211" s="146"/>
      <c r="TBX211" s="142"/>
      <c r="TBY211" s="143"/>
      <c r="TBZ211" s="144"/>
      <c r="TCA211" s="124"/>
      <c r="TCB211" s="145"/>
      <c r="TCC211" s="145"/>
      <c r="TCD211" s="146"/>
      <c r="TCE211" s="142"/>
      <c r="TCF211" s="143"/>
      <c r="TCG211" s="144"/>
      <c r="TCH211" s="124"/>
      <c r="TCI211" s="145"/>
      <c r="TCJ211" s="145"/>
      <c r="TCK211" s="146"/>
      <c r="TCL211" s="142"/>
      <c r="TCM211" s="143"/>
      <c r="TCN211" s="144"/>
      <c r="TCO211" s="124"/>
      <c r="TCP211" s="145"/>
      <c r="TCQ211" s="145"/>
      <c r="TCR211" s="146"/>
      <c r="TCS211" s="142"/>
      <c r="TCT211" s="143"/>
      <c r="TCU211" s="144"/>
      <c r="TCV211" s="124"/>
      <c r="TCW211" s="145"/>
      <c r="TCX211" s="145"/>
      <c r="TCY211" s="146"/>
      <c r="TCZ211" s="142"/>
      <c r="TDA211" s="143"/>
      <c r="TDB211" s="144"/>
      <c r="TDC211" s="124"/>
      <c r="TDD211" s="145"/>
      <c r="TDE211" s="145"/>
      <c r="TDF211" s="146"/>
      <c r="TDG211" s="142"/>
      <c r="TDH211" s="143"/>
      <c r="TDI211" s="144"/>
      <c r="TDJ211" s="124"/>
      <c r="TDK211" s="145"/>
      <c r="TDL211" s="145"/>
      <c r="TDM211" s="146"/>
      <c r="TDN211" s="142"/>
      <c r="TDO211" s="143"/>
      <c r="TDP211" s="144"/>
      <c r="TDQ211" s="124"/>
      <c r="TDR211" s="145"/>
      <c r="TDS211" s="145"/>
      <c r="TDT211" s="146"/>
      <c r="TDU211" s="142"/>
      <c r="TDV211" s="143"/>
      <c r="TDW211" s="144"/>
      <c r="TDX211" s="124"/>
      <c r="TDY211" s="145"/>
      <c r="TDZ211" s="145"/>
      <c r="TEA211" s="146"/>
      <c r="TEB211" s="142"/>
      <c r="TEC211" s="143"/>
      <c r="TED211" s="144"/>
      <c r="TEE211" s="124"/>
      <c r="TEF211" s="145"/>
      <c r="TEG211" s="145"/>
      <c r="TEH211" s="146"/>
      <c r="TEI211" s="142"/>
      <c r="TEJ211" s="143"/>
      <c r="TEK211" s="144"/>
      <c r="TEL211" s="124"/>
      <c r="TEM211" s="145"/>
      <c r="TEN211" s="145"/>
      <c r="TEO211" s="146"/>
      <c r="TEP211" s="142"/>
      <c r="TEQ211" s="143"/>
      <c r="TER211" s="144"/>
      <c r="TES211" s="124"/>
      <c r="TET211" s="145"/>
      <c r="TEU211" s="145"/>
      <c r="TEV211" s="146"/>
      <c r="TEW211" s="142"/>
      <c r="TEX211" s="143"/>
      <c r="TEY211" s="144"/>
      <c r="TEZ211" s="124"/>
      <c r="TFA211" s="145"/>
      <c r="TFB211" s="145"/>
      <c r="TFC211" s="146"/>
      <c r="TFD211" s="142"/>
      <c r="TFE211" s="143"/>
      <c r="TFF211" s="144"/>
      <c r="TFG211" s="124"/>
      <c r="TFH211" s="145"/>
      <c r="TFI211" s="145"/>
      <c r="TFJ211" s="146"/>
      <c r="TFK211" s="142"/>
      <c r="TFL211" s="143"/>
      <c r="TFM211" s="144"/>
      <c r="TFN211" s="124"/>
      <c r="TFO211" s="145"/>
      <c r="TFP211" s="145"/>
      <c r="TFQ211" s="146"/>
      <c r="TFR211" s="142"/>
      <c r="TFS211" s="143"/>
      <c r="TFT211" s="144"/>
      <c r="TFU211" s="124"/>
      <c r="TFV211" s="145"/>
      <c r="TFW211" s="145"/>
      <c r="TFX211" s="146"/>
      <c r="TFY211" s="142"/>
      <c r="TFZ211" s="143"/>
      <c r="TGA211" s="144"/>
      <c r="TGB211" s="124"/>
      <c r="TGC211" s="145"/>
      <c r="TGD211" s="145"/>
      <c r="TGE211" s="146"/>
      <c r="TGF211" s="142"/>
      <c r="TGG211" s="143"/>
      <c r="TGH211" s="144"/>
      <c r="TGI211" s="124"/>
      <c r="TGJ211" s="145"/>
      <c r="TGK211" s="145"/>
      <c r="TGL211" s="146"/>
      <c r="TGM211" s="142"/>
      <c r="TGN211" s="143"/>
      <c r="TGO211" s="144"/>
      <c r="TGP211" s="124"/>
      <c r="TGQ211" s="145"/>
      <c r="TGR211" s="145"/>
      <c r="TGS211" s="146"/>
      <c r="TGT211" s="142"/>
      <c r="TGU211" s="143"/>
      <c r="TGV211" s="144"/>
      <c r="TGW211" s="124"/>
      <c r="TGX211" s="145"/>
      <c r="TGY211" s="145"/>
      <c r="TGZ211" s="146"/>
      <c r="THA211" s="142"/>
      <c r="THB211" s="143"/>
      <c r="THC211" s="144"/>
      <c r="THD211" s="124"/>
      <c r="THE211" s="145"/>
      <c r="THF211" s="145"/>
      <c r="THG211" s="146"/>
      <c r="THH211" s="142"/>
      <c r="THI211" s="143"/>
      <c r="THJ211" s="144"/>
      <c r="THK211" s="124"/>
      <c r="THL211" s="145"/>
      <c r="THM211" s="145"/>
      <c r="THN211" s="146"/>
      <c r="THO211" s="142"/>
      <c r="THP211" s="143"/>
      <c r="THQ211" s="144"/>
      <c r="THR211" s="124"/>
      <c r="THS211" s="145"/>
      <c r="THT211" s="145"/>
      <c r="THU211" s="146"/>
      <c r="THV211" s="142"/>
      <c r="THW211" s="143"/>
      <c r="THX211" s="144"/>
      <c r="THY211" s="124"/>
      <c r="THZ211" s="145"/>
      <c r="TIA211" s="145"/>
      <c r="TIB211" s="146"/>
      <c r="TIC211" s="142"/>
      <c r="TID211" s="143"/>
      <c r="TIE211" s="144"/>
      <c r="TIF211" s="124"/>
      <c r="TIG211" s="145"/>
      <c r="TIH211" s="145"/>
      <c r="TII211" s="146"/>
      <c r="TIJ211" s="142"/>
      <c r="TIK211" s="143"/>
      <c r="TIL211" s="144"/>
      <c r="TIM211" s="124"/>
      <c r="TIN211" s="145"/>
      <c r="TIO211" s="145"/>
      <c r="TIP211" s="146"/>
      <c r="TIQ211" s="142"/>
      <c r="TIR211" s="143"/>
      <c r="TIS211" s="144"/>
      <c r="TIT211" s="124"/>
      <c r="TIU211" s="145"/>
      <c r="TIV211" s="145"/>
      <c r="TIW211" s="146"/>
      <c r="TIX211" s="142"/>
      <c r="TIY211" s="143"/>
      <c r="TIZ211" s="144"/>
      <c r="TJA211" s="124"/>
      <c r="TJB211" s="145"/>
      <c r="TJC211" s="145"/>
      <c r="TJD211" s="146"/>
      <c r="TJE211" s="142"/>
      <c r="TJF211" s="143"/>
      <c r="TJG211" s="144"/>
      <c r="TJH211" s="124"/>
      <c r="TJI211" s="145"/>
      <c r="TJJ211" s="145"/>
      <c r="TJK211" s="146"/>
      <c r="TJL211" s="142"/>
      <c r="TJM211" s="143"/>
      <c r="TJN211" s="144"/>
      <c r="TJO211" s="124"/>
      <c r="TJP211" s="145"/>
      <c r="TJQ211" s="145"/>
      <c r="TJR211" s="146"/>
      <c r="TJS211" s="142"/>
      <c r="TJT211" s="143"/>
      <c r="TJU211" s="144"/>
      <c r="TJV211" s="124"/>
      <c r="TJW211" s="145"/>
      <c r="TJX211" s="145"/>
      <c r="TJY211" s="146"/>
      <c r="TJZ211" s="142"/>
      <c r="TKA211" s="143"/>
      <c r="TKB211" s="144"/>
      <c r="TKC211" s="124"/>
      <c r="TKD211" s="145"/>
      <c r="TKE211" s="145"/>
      <c r="TKF211" s="146"/>
      <c r="TKG211" s="142"/>
      <c r="TKH211" s="143"/>
      <c r="TKI211" s="144"/>
      <c r="TKJ211" s="124"/>
      <c r="TKK211" s="145"/>
      <c r="TKL211" s="145"/>
      <c r="TKM211" s="146"/>
      <c r="TKN211" s="142"/>
      <c r="TKO211" s="143"/>
      <c r="TKP211" s="144"/>
      <c r="TKQ211" s="124"/>
      <c r="TKR211" s="145"/>
      <c r="TKS211" s="145"/>
      <c r="TKT211" s="146"/>
      <c r="TKU211" s="142"/>
      <c r="TKV211" s="143"/>
      <c r="TKW211" s="144"/>
      <c r="TKX211" s="124"/>
      <c r="TKY211" s="145"/>
      <c r="TKZ211" s="145"/>
      <c r="TLA211" s="146"/>
      <c r="TLB211" s="142"/>
      <c r="TLC211" s="143"/>
      <c r="TLD211" s="144"/>
      <c r="TLE211" s="124"/>
      <c r="TLF211" s="145"/>
      <c r="TLG211" s="145"/>
      <c r="TLH211" s="146"/>
      <c r="TLI211" s="142"/>
      <c r="TLJ211" s="143"/>
      <c r="TLK211" s="144"/>
      <c r="TLL211" s="124"/>
      <c r="TLM211" s="145"/>
      <c r="TLN211" s="145"/>
      <c r="TLO211" s="146"/>
      <c r="TLP211" s="142"/>
      <c r="TLQ211" s="143"/>
      <c r="TLR211" s="144"/>
      <c r="TLS211" s="124"/>
      <c r="TLT211" s="145"/>
      <c r="TLU211" s="145"/>
      <c r="TLV211" s="146"/>
      <c r="TLW211" s="142"/>
      <c r="TLX211" s="143"/>
      <c r="TLY211" s="144"/>
      <c r="TLZ211" s="124"/>
      <c r="TMA211" s="145"/>
      <c r="TMB211" s="145"/>
      <c r="TMC211" s="146"/>
      <c r="TMD211" s="142"/>
      <c r="TME211" s="143"/>
      <c r="TMF211" s="144"/>
      <c r="TMG211" s="124"/>
      <c r="TMH211" s="145"/>
      <c r="TMI211" s="145"/>
      <c r="TMJ211" s="146"/>
      <c r="TMK211" s="142"/>
      <c r="TML211" s="143"/>
      <c r="TMM211" s="144"/>
      <c r="TMN211" s="124"/>
      <c r="TMO211" s="145"/>
      <c r="TMP211" s="145"/>
      <c r="TMQ211" s="146"/>
      <c r="TMR211" s="142"/>
      <c r="TMS211" s="143"/>
      <c r="TMT211" s="144"/>
      <c r="TMU211" s="124"/>
      <c r="TMV211" s="145"/>
      <c r="TMW211" s="145"/>
      <c r="TMX211" s="146"/>
      <c r="TMY211" s="142"/>
      <c r="TMZ211" s="143"/>
      <c r="TNA211" s="144"/>
      <c r="TNB211" s="124"/>
      <c r="TNC211" s="145"/>
      <c r="TND211" s="145"/>
      <c r="TNE211" s="146"/>
      <c r="TNF211" s="142"/>
      <c r="TNG211" s="143"/>
      <c r="TNH211" s="144"/>
      <c r="TNI211" s="124"/>
      <c r="TNJ211" s="145"/>
      <c r="TNK211" s="145"/>
      <c r="TNL211" s="146"/>
      <c r="TNM211" s="142"/>
      <c r="TNN211" s="143"/>
      <c r="TNO211" s="144"/>
      <c r="TNP211" s="124"/>
      <c r="TNQ211" s="145"/>
      <c r="TNR211" s="145"/>
      <c r="TNS211" s="146"/>
      <c r="TNT211" s="142"/>
      <c r="TNU211" s="143"/>
      <c r="TNV211" s="144"/>
      <c r="TNW211" s="124"/>
      <c r="TNX211" s="145"/>
      <c r="TNY211" s="145"/>
      <c r="TNZ211" s="146"/>
      <c r="TOA211" s="142"/>
      <c r="TOB211" s="143"/>
      <c r="TOC211" s="144"/>
      <c r="TOD211" s="124"/>
      <c r="TOE211" s="145"/>
      <c r="TOF211" s="145"/>
      <c r="TOG211" s="146"/>
      <c r="TOH211" s="142"/>
      <c r="TOI211" s="143"/>
      <c r="TOJ211" s="144"/>
      <c r="TOK211" s="124"/>
      <c r="TOL211" s="145"/>
      <c r="TOM211" s="145"/>
      <c r="TON211" s="146"/>
      <c r="TOO211" s="142"/>
      <c r="TOP211" s="143"/>
      <c r="TOQ211" s="144"/>
      <c r="TOR211" s="124"/>
      <c r="TOS211" s="145"/>
      <c r="TOT211" s="145"/>
      <c r="TOU211" s="146"/>
      <c r="TOV211" s="142"/>
      <c r="TOW211" s="143"/>
      <c r="TOX211" s="144"/>
      <c r="TOY211" s="124"/>
      <c r="TOZ211" s="145"/>
      <c r="TPA211" s="145"/>
      <c r="TPB211" s="146"/>
      <c r="TPC211" s="142"/>
      <c r="TPD211" s="143"/>
      <c r="TPE211" s="144"/>
      <c r="TPF211" s="124"/>
      <c r="TPG211" s="145"/>
      <c r="TPH211" s="145"/>
      <c r="TPI211" s="146"/>
      <c r="TPJ211" s="142"/>
      <c r="TPK211" s="143"/>
      <c r="TPL211" s="144"/>
      <c r="TPM211" s="124"/>
      <c r="TPN211" s="145"/>
      <c r="TPO211" s="145"/>
      <c r="TPP211" s="146"/>
      <c r="TPQ211" s="142"/>
      <c r="TPR211" s="143"/>
      <c r="TPS211" s="144"/>
      <c r="TPT211" s="124"/>
      <c r="TPU211" s="145"/>
      <c r="TPV211" s="145"/>
      <c r="TPW211" s="146"/>
      <c r="TPX211" s="142"/>
      <c r="TPY211" s="143"/>
      <c r="TPZ211" s="144"/>
      <c r="TQA211" s="124"/>
      <c r="TQB211" s="145"/>
      <c r="TQC211" s="145"/>
      <c r="TQD211" s="146"/>
      <c r="TQE211" s="142"/>
      <c r="TQF211" s="143"/>
      <c r="TQG211" s="144"/>
      <c r="TQH211" s="124"/>
      <c r="TQI211" s="145"/>
      <c r="TQJ211" s="145"/>
      <c r="TQK211" s="146"/>
      <c r="TQL211" s="142"/>
      <c r="TQM211" s="143"/>
      <c r="TQN211" s="144"/>
      <c r="TQO211" s="124"/>
      <c r="TQP211" s="145"/>
      <c r="TQQ211" s="145"/>
      <c r="TQR211" s="146"/>
      <c r="TQS211" s="142"/>
      <c r="TQT211" s="143"/>
      <c r="TQU211" s="144"/>
      <c r="TQV211" s="124"/>
      <c r="TQW211" s="145"/>
      <c r="TQX211" s="145"/>
      <c r="TQY211" s="146"/>
      <c r="TQZ211" s="142"/>
      <c r="TRA211" s="143"/>
      <c r="TRB211" s="144"/>
      <c r="TRC211" s="124"/>
      <c r="TRD211" s="145"/>
      <c r="TRE211" s="145"/>
      <c r="TRF211" s="146"/>
      <c r="TRG211" s="142"/>
      <c r="TRH211" s="143"/>
      <c r="TRI211" s="144"/>
      <c r="TRJ211" s="124"/>
      <c r="TRK211" s="145"/>
      <c r="TRL211" s="145"/>
      <c r="TRM211" s="146"/>
      <c r="TRN211" s="142"/>
      <c r="TRO211" s="143"/>
      <c r="TRP211" s="144"/>
      <c r="TRQ211" s="124"/>
      <c r="TRR211" s="145"/>
      <c r="TRS211" s="145"/>
      <c r="TRT211" s="146"/>
      <c r="TRU211" s="142"/>
      <c r="TRV211" s="143"/>
      <c r="TRW211" s="144"/>
      <c r="TRX211" s="124"/>
      <c r="TRY211" s="145"/>
      <c r="TRZ211" s="145"/>
      <c r="TSA211" s="146"/>
      <c r="TSB211" s="142"/>
      <c r="TSC211" s="143"/>
      <c r="TSD211" s="144"/>
      <c r="TSE211" s="124"/>
      <c r="TSF211" s="145"/>
      <c r="TSG211" s="145"/>
      <c r="TSH211" s="146"/>
      <c r="TSI211" s="142"/>
      <c r="TSJ211" s="143"/>
      <c r="TSK211" s="144"/>
      <c r="TSL211" s="124"/>
      <c r="TSM211" s="145"/>
      <c r="TSN211" s="145"/>
      <c r="TSO211" s="146"/>
      <c r="TSP211" s="142"/>
      <c r="TSQ211" s="143"/>
      <c r="TSR211" s="144"/>
      <c r="TSS211" s="124"/>
      <c r="TST211" s="145"/>
      <c r="TSU211" s="145"/>
      <c r="TSV211" s="146"/>
      <c r="TSW211" s="142"/>
      <c r="TSX211" s="143"/>
      <c r="TSY211" s="144"/>
      <c r="TSZ211" s="124"/>
      <c r="TTA211" s="145"/>
      <c r="TTB211" s="145"/>
      <c r="TTC211" s="146"/>
      <c r="TTD211" s="142"/>
      <c r="TTE211" s="143"/>
      <c r="TTF211" s="144"/>
      <c r="TTG211" s="124"/>
      <c r="TTH211" s="145"/>
      <c r="TTI211" s="145"/>
      <c r="TTJ211" s="146"/>
      <c r="TTK211" s="142"/>
      <c r="TTL211" s="143"/>
      <c r="TTM211" s="144"/>
      <c r="TTN211" s="124"/>
      <c r="TTO211" s="145"/>
      <c r="TTP211" s="145"/>
      <c r="TTQ211" s="146"/>
      <c r="TTR211" s="142"/>
      <c r="TTS211" s="143"/>
      <c r="TTT211" s="144"/>
      <c r="TTU211" s="124"/>
      <c r="TTV211" s="145"/>
      <c r="TTW211" s="145"/>
      <c r="TTX211" s="146"/>
      <c r="TTY211" s="142"/>
      <c r="TTZ211" s="143"/>
      <c r="TUA211" s="144"/>
      <c r="TUB211" s="124"/>
      <c r="TUC211" s="145"/>
      <c r="TUD211" s="145"/>
      <c r="TUE211" s="146"/>
      <c r="TUF211" s="142"/>
      <c r="TUG211" s="143"/>
      <c r="TUH211" s="144"/>
      <c r="TUI211" s="124"/>
      <c r="TUJ211" s="145"/>
      <c r="TUK211" s="145"/>
      <c r="TUL211" s="146"/>
      <c r="TUM211" s="142"/>
      <c r="TUN211" s="143"/>
      <c r="TUO211" s="144"/>
      <c r="TUP211" s="124"/>
      <c r="TUQ211" s="145"/>
      <c r="TUR211" s="145"/>
      <c r="TUS211" s="146"/>
      <c r="TUT211" s="142"/>
      <c r="TUU211" s="143"/>
      <c r="TUV211" s="144"/>
      <c r="TUW211" s="124"/>
      <c r="TUX211" s="145"/>
      <c r="TUY211" s="145"/>
      <c r="TUZ211" s="146"/>
      <c r="TVA211" s="142"/>
      <c r="TVB211" s="143"/>
      <c r="TVC211" s="144"/>
      <c r="TVD211" s="124"/>
      <c r="TVE211" s="145"/>
      <c r="TVF211" s="145"/>
      <c r="TVG211" s="146"/>
      <c r="TVH211" s="142"/>
      <c r="TVI211" s="143"/>
      <c r="TVJ211" s="144"/>
      <c r="TVK211" s="124"/>
      <c r="TVL211" s="145"/>
      <c r="TVM211" s="145"/>
      <c r="TVN211" s="146"/>
      <c r="TVO211" s="142"/>
      <c r="TVP211" s="143"/>
      <c r="TVQ211" s="144"/>
      <c r="TVR211" s="124"/>
      <c r="TVS211" s="145"/>
      <c r="TVT211" s="145"/>
      <c r="TVU211" s="146"/>
      <c r="TVV211" s="142"/>
      <c r="TVW211" s="143"/>
      <c r="TVX211" s="144"/>
      <c r="TVY211" s="124"/>
      <c r="TVZ211" s="145"/>
      <c r="TWA211" s="145"/>
      <c r="TWB211" s="146"/>
      <c r="TWC211" s="142"/>
      <c r="TWD211" s="143"/>
      <c r="TWE211" s="144"/>
      <c r="TWF211" s="124"/>
      <c r="TWG211" s="145"/>
      <c r="TWH211" s="145"/>
      <c r="TWI211" s="146"/>
      <c r="TWJ211" s="142"/>
      <c r="TWK211" s="143"/>
      <c r="TWL211" s="144"/>
      <c r="TWM211" s="124"/>
      <c r="TWN211" s="145"/>
      <c r="TWO211" s="145"/>
      <c r="TWP211" s="146"/>
      <c r="TWQ211" s="142"/>
      <c r="TWR211" s="143"/>
      <c r="TWS211" s="144"/>
      <c r="TWT211" s="124"/>
      <c r="TWU211" s="145"/>
      <c r="TWV211" s="145"/>
      <c r="TWW211" s="146"/>
      <c r="TWX211" s="142"/>
      <c r="TWY211" s="143"/>
      <c r="TWZ211" s="144"/>
      <c r="TXA211" s="124"/>
      <c r="TXB211" s="145"/>
      <c r="TXC211" s="145"/>
      <c r="TXD211" s="146"/>
      <c r="TXE211" s="142"/>
      <c r="TXF211" s="143"/>
      <c r="TXG211" s="144"/>
      <c r="TXH211" s="124"/>
      <c r="TXI211" s="145"/>
      <c r="TXJ211" s="145"/>
      <c r="TXK211" s="146"/>
      <c r="TXL211" s="142"/>
      <c r="TXM211" s="143"/>
      <c r="TXN211" s="144"/>
      <c r="TXO211" s="124"/>
      <c r="TXP211" s="145"/>
      <c r="TXQ211" s="145"/>
      <c r="TXR211" s="146"/>
      <c r="TXS211" s="142"/>
      <c r="TXT211" s="143"/>
      <c r="TXU211" s="144"/>
      <c r="TXV211" s="124"/>
      <c r="TXW211" s="145"/>
      <c r="TXX211" s="145"/>
      <c r="TXY211" s="146"/>
      <c r="TXZ211" s="142"/>
      <c r="TYA211" s="143"/>
      <c r="TYB211" s="144"/>
      <c r="TYC211" s="124"/>
      <c r="TYD211" s="145"/>
      <c r="TYE211" s="145"/>
      <c r="TYF211" s="146"/>
      <c r="TYG211" s="142"/>
      <c r="TYH211" s="143"/>
      <c r="TYI211" s="144"/>
      <c r="TYJ211" s="124"/>
      <c r="TYK211" s="145"/>
      <c r="TYL211" s="145"/>
      <c r="TYM211" s="146"/>
      <c r="TYN211" s="142"/>
      <c r="TYO211" s="143"/>
      <c r="TYP211" s="144"/>
      <c r="TYQ211" s="124"/>
      <c r="TYR211" s="145"/>
      <c r="TYS211" s="145"/>
      <c r="TYT211" s="146"/>
      <c r="TYU211" s="142"/>
      <c r="TYV211" s="143"/>
      <c r="TYW211" s="144"/>
      <c r="TYX211" s="124"/>
      <c r="TYY211" s="145"/>
      <c r="TYZ211" s="145"/>
      <c r="TZA211" s="146"/>
      <c r="TZB211" s="142"/>
      <c r="TZC211" s="143"/>
      <c r="TZD211" s="144"/>
      <c r="TZE211" s="124"/>
      <c r="TZF211" s="145"/>
      <c r="TZG211" s="145"/>
      <c r="TZH211" s="146"/>
      <c r="TZI211" s="142"/>
      <c r="TZJ211" s="143"/>
      <c r="TZK211" s="144"/>
      <c r="TZL211" s="124"/>
      <c r="TZM211" s="145"/>
      <c r="TZN211" s="145"/>
      <c r="TZO211" s="146"/>
      <c r="TZP211" s="142"/>
      <c r="TZQ211" s="143"/>
      <c r="TZR211" s="144"/>
      <c r="TZS211" s="124"/>
      <c r="TZT211" s="145"/>
      <c r="TZU211" s="145"/>
      <c r="TZV211" s="146"/>
      <c r="TZW211" s="142"/>
      <c r="TZX211" s="143"/>
      <c r="TZY211" s="144"/>
      <c r="TZZ211" s="124"/>
      <c r="UAA211" s="145"/>
      <c r="UAB211" s="145"/>
      <c r="UAC211" s="146"/>
      <c r="UAD211" s="142"/>
      <c r="UAE211" s="143"/>
      <c r="UAF211" s="144"/>
      <c r="UAG211" s="124"/>
      <c r="UAH211" s="145"/>
      <c r="UAI211" s="145"/>
      <c r="UAJ211" s="146"/>
      <c r="UAK211" s="142"/>
      <c r="UAL211" s="143"/>
      <c r="UAM211" s="144"/>
      <c r="UAN211" s="124"/>
      <c r="UAO211" s="145"/>
      <c r="UAP211" s="145"/>
      <c r="UAQ211" s="146"/>
      <c r="UAR211" s="142"/>
      <c r="UAS211" s="143"/>
      <c r="UAT211" s="144"/>
      <c r="UAU211" s="124"/>
      <c r="UAV211" s="145"/>
      <c r="UAW211" s="145"/>
      <c r="UAX211" s="146"/>
      <c r="UAY211" s="142"/>
      <c r="UAZ211" s="143"/>
      <c r="UBA211" s="144"/>
      <c r="UBB211" s="124"/>
      <c r="UBC211" s="145"/>
      <c r="UBD211" s="145"/>
      <c r="UBE211" s="146"/>
      <c r="UBF211" s="142"/>
      <c r="UBG211" s="143"/>
      <c r="UBH211" s="144"/>
      <c r="UBI211" s="124"/>
      <c r="UBJ211" s="145"/>
      <c r="UBK211" s="145"/>
      <c r="UBL211" s="146"/>
      <c r="UBM211" s="142"/>
      <c r="UBN211" s="143"/>
      <c r="UBO211" s="144"/>
      <c r="UBP211" s="124"/>
      <c r="UBQ211" s="145"/>
      <c r="UBR211" s="145"/>
      <c r="UBS211" s="146"/>
      <c r="UBT211" s="142"/>
      <c r="UBU211" s="143"/>
      <c r="UBV211" s="144"/>
      <c r="UBW211" s="124"/>
      <c r="UBX211" s="145"/>
      <c r="UBY211" s="145"/>
      <c r="UBZ211" s="146"/>
      <c r="UCA211" s="142"/>
      <c r="UCB211" s="143"/>
      <c r="UCC211" s="144"/>
      <c r="UCD211" s="124"/>
      <c r="UCE211" s="145"/>
      <c r="UCF211" s="145"/>
      <c r="UCG211" s="146"/>
      <c r="UCH211" s="142"/>
      <c r="UCI211" s="143"/>
      <c r="UCJ211" s="144"/>
      <c r="UCK211" s="124"/>
      <c r="UCL211" s="145"/>
      <c r="UCM211" s="145"/>
      <c r="UCN211" s="146"/>
      <c r="UCO211" s="142"/>
      <c r="UCP211" s="143"/>
      <c r="UCQ211" s="144"/>
      <c r="UCR211" s="124"/>
      <c r="UCS211" s="145"/>
      <c r="UCT211" s="145"/>
      <c r="UCU211" s="146"/>
      <c r="UCV211" s="142"/>
      <c r="UCW211" s="143"/>
      <c r="UCX211" s="144"/>
      <c r="UCY211" s="124"/>
      <c r="UCZ211" s="145"/>
      <c r="UDA211" s="145"/>
      <c r="UDB211" s="146"/>
      <c r="UDC211" s="142"/>
      <c r="UDD211" s="143"/>
      <c r="UDE211" s="144"/>
      <c r="UDF211" s="124"/>
      <c r="UDG211" s="145"/>
      <c r="UDH211" s="145"/>
      <c r="UDI211" s="146"/>
      <c r="UDJ211" s="142"/>
      <c r="UDK211" s="143"/>
      <c r="UDL211" s="144"/>
      <c r="UDM211" s="124"/>
      <c r="UDN211" s="145"/>
      <c r="UDO211" s="145"/>
      <c r="UDP211" s="146"/>
      <c r="UDQ211" s="142"/>
      <c r="UDR211" s="143"/>
      <c r="UDS211" s="144"/>
      <c r="UDT211" s="124"/>
      <c r="UDU211" s="145"/>
      <c r="UDV211" s="145"/>
      <c r="UDW211" s="146"/>
      <c r="UDX211" s="142"/>
      <c r="UDY211" s="143"/>
      <c r="UDZ211" s="144"/>
      <c r="UEA211" s="124"/>
      <c r="UEB211" s="145"/>
      <c r="UEC211" s="145"/>
      <c r="UED211" s="146"/>
      <c r="UEE211" s="142"/>
      <c r="UEF211" s="143"/>
      <c r="UEG211" s="144"/>
      <c r="UEH211" s="124"/>
      <c r="UEI211" s="145"/>
      <c r="UEJ211" s="145"/>
      <c r="UEK211" s="146"/>
      <c r="UEL211" s="142"/>
      <c r="UEM211" s="143"/>
      <c r="UEN211" s="144"/>
      <c r="UEO211" s="124"/>
      <c r="UEP211" s="145"/>
      <c r="UEQ211" s="145"/>
      <c r="UER211" s="146"/>
      <c r="UES211" s="142"/>
      <c r="UET211" s="143"/>
      <c r="UEU211" s="144"/>
      <c r="UEV211" s="124"/>
      <c r="UEW211" s="145"/>
      <c r="UEX211" s="145"/>
      <c r="UEY211" s="146"/>
      <c r="UEZ211" s="142"/>
      <c r="UFA211" s="143"/>
      <c r="UFB211" s="144"/>
      <c r="UFC211" s="124"/>
      <c r="UFD211" s="145"/>
      <c r="UFE211" s="145"/>
      <c r="UFF211" s="146"/>
      <c r="UFG211" s="142"/>
      <c r="UFH211" s="143"/>
      <c r="UFI211" s="144"/>
      <c r="UFJ211" s="124"/>
      <c r="UFK211" s="145"/>
      <c r="UFL211" s="145"/>
      <c r="UFM211" s="146"/>
      <c r="UFN211" s="142"/>
      <c r="UFO211" s="143"/>
      <c r="UFP211" s="144"/>
      <c r="UFQ211" s="124"/>
      <c r="UFR211" s="145"/>
      <c r="UFS211" s="145"/>
      <c r="UFT211" s="146"/>
      <c r="UFU211" s="142"/>
      <c r="UFV211" s="143"/>
      <c r="UFW211" s="144"/>
      <c r="UFX211" s="124"/>
      <c r="UFY211" s="145"/>
      <c r="UFZ211" s="145"/>
      <c r="UGA211" s="146"/>
      <c r="UGB211" s="142"/>
      <c r="UGC211" s="143"/>
      <c r="UGD211" s="144"/>
      <c r="UGE211" s="124"/>
      <c r="UGF211" s="145"/>
      <c r="UGG211" s="145"/>
      <c r="UGH211" s="146"/>
      <c r="UGI211" s="142"/>
      <c r="UGJ211" s="143"/>
      <c r="UGK211" s="144"/>
      <c r="UGL211" s="124"/>
      <c r="UGM211" s="145"/>
      <c r="UGN211" s="145"/>
      <c r="UGO211" s="146"/>
      <c r="UGP211" s="142"/>
      <c r="UGQ211" s="143"/>
      <c r="UGR211" s="144"/>
      <c r="UGS211" s="124"/>
      <c r="UGT211" s="145"/>
      <c r="UGU211" s="145"/>
      <c r="UGV211" s="146"/>
      <c r="UGW211" s="142"/>
      <c r="UGX211" s="143"/>
      <c r="UGY211" s="144"/>
      <c r="UGZ211" s="124"/>
      <c r="UHA211" s="145"/>
      <c r="UHB211" s="145"/>
      <c r="UHC211" s="146"/>
      <c r="UHD211" s="142"/>
      <c r="UHE211" s="143"/>
      <c r="UHF211" s="144"/>
      <c r="UHG211" s="124"/>
      <c r="UHH211" s="145"/>
      <c r="UHI211" s="145"/>
      <c r="UHJ211" s="146"/>
      <c r="UHK211" s="142"/>
      <c r="UHL211" s="143"/>
      <c r="UHM211" s="144"/>
      <c r="UHN211" s="124"/>
      <c r="UHO211" s="145"/>
      <c r="UHP211" s="145"/>
      <c r="UHQ211" s="146"/>
      <c r="UHR211" s="142"/>
      <c r="UHS211" s="143"/>
      <c r="UHT211" s="144"/>
      <c r="UHU211" s="124"/>
      <c r="UHV211" s="145"/>
      <c r="UHW211" s="145"/>
      <c r="UHX211" s="146"/>
      <c r="UHY211" s="142"/>
      <c r="UHZ211" s="143"/>
      <c r="UIA211" s="144"/>
      <c r="UIB211" s="124"/>
      <c r="UIC211" s="145"/>
      <c r="UID211" s="145"/>
      <c r="UIE211" s="146"/>
      <c r="UIF211" s="142"/>
      <c r="UIG211" s="143"/>
      <c r="UIH211" s="144"/>
      <c r="UII211" s="124"/>
      <c r="UIJ211" s="145"/>
      <c r="UIK211" s="145"/>
      <c r="UIL211" s="146"/>
      <c r="UIM211" s="142"/>
      <c r="UIN211" s="143"/>
      <c r="UIO211" s="144"/>
      <c r="UIP211" s="124"/>
      <c r="UIQ211" s="145"/>
      <c r="UIR211" s="145"/>
      <c r="UIS211" s="146"/>
      <c r="UIT211" s="142"/>
      <c r="UIU211" s="143"/>
      <c r="UIV211" s="144"/>
      <c r="UIW211" s="124"/>
      <c r="UIX211" s="145"/>
      <c r="UIY211" s="145"/>
      <c r="UIZ211" s="146"/>
      <c r="UJA211" s="142"/>
      <c r="UJB211" s="143"/>
      <c r="UJC211" s="144"/>
      <c r="UJD211" s="124"/>
      <c r="UJE211" s="145"/>
      <c r="UJF211" s="145"/>
      <c r="UJG211" s="146"/>
      <c r="UJH211" s="142"/>
      <c r="UJI211" s="143"/>
      <c r="UJJ211" s="144"/>
      <c r="UJK211" s="124"/>
      <c r="UJL211" s="145"/>
      <c r="UJM211" s="145"/>
      <c r="UJN211" s="146"/>
      <c r="UJO211" s="142"/>
      <c r="UJP211" s="143"/>
      <c r="UJQ211" s="144"/>
      <c r="UJR211" s="124"/>
      <c r="UJS211" s="145"/>
      <c r="UJT211" s="145"/>
      <c r="UJU211" s="146"/>
      <c r="UJV211" s="142"/>
      <c r="UJW211" s="143"/>
      <c r="UJX211" s="144"/>
      <c r="UJY211" s="124"/>
      <c r="UJZ211" s="145"/>
      <c r="UKA211" s="145"/>
      <c r="UKB211" s="146"/>
      <c r="UKC211" s="142"/>
      <c r="UKD211" s="143"/>
      <c r="UKE211" s="144"/>
      <c r="UKF211" s="124"/>
      <c r="UKG211" s="145"/>
      <c r="UKH211" s="145"/>
      <c r="UKI211" s="146"/>
      <c r="UKJ211" s="142"/>
      <c r="UKK211" s="143"/>
      <c r="UKL211" s="144"/>
      <c r="UKM211" s="124"/>
      <c r="UKN211" s="145"/>
      <c r="UKO211" s="145"/>
      <c r="UKP211" s="146"/>
      <c r="UKQ211" s="142"/>
      <c r="UKR211" s="143"/>
      <c r="UKS211" s="144"/>
      <c r="UKT211" s="124"/>
      <c r="UKU211" s="145"/>
      <c r="UKV211" s="145"/>
      <c r="UKW211" s="146"/>
      <c r="UKX211" s="142"/>
      <c r="UKY211" s="143"/>
      <c r="UKZ211" s="144"/>
      <c r="ULA211" s="124"/>
      <c r="ULB211" s="145"/>
      <c r="ULC211" s="145"/>
      <c r="ULD211" s="146"/>
      <c r="ULE211" s="142"/>
      <c r="ULF211" s="143"/>
      <c r="ULG211" s="144"/>
      <c r="ULH211" s="124"/>
      <c r="ULI211" s="145"/>
      <c r="ULJ211" s="145"/>
      <c r="ULK211" s="146"/>
      <c r="ULL211" s="142"/>
      <c r="ULM211" s="143"/>
      <c r="ULN211" s="144"/>
      <c r="ULO211" s="124"/>
      <c r="ULP211" s="145"/>
      <c r="ULQ211" s="145"/>
      <c r="ULR211" s="146"/>
      <c r="ULS211" s="142"/>
      <c r="ULT211" s="143"/>
      <c r="ULU211" s="144"/>
      <c r="ULV211" s="124"/>
      <c r="ULW211" s="145"/>
      <c r="ULX211" s="145"/>
      <c r="ULY211" s="146"/>
      <c r="ULZ211" s="142"/>
      <c r="UMA211" s="143"/>
      <c r="UMB211" s="144"/>
      <c r="UMC211" s="124"/>
      <c r="UMD211" s="145"/>
      <c r="UME211" s="145"/>
      <c r="UMF211" s="146"/>
      <c r="UMG211" s="142"/>
      <c r="UMH211" s="143"/>
      <c r="UMI211" s="144"/>
      <c r="UMJ211" s="124"/>
      <c r="UMK211" s="145"/>
      <c r="UML211" s="145"/>
      <c r="UMM211" s="146"/>
      <c r="UMN211" s="142"/>
      <c r="UMO211" s="143"/>
      <c r="UMP211" s="144"/>
      <c r="UMQ211" s="124"/>
      <c r="UMR211" s="145"/>
      <c r="UMS211" s="145"/>
      <c r="UMT211" s="146"/>
      <c r="UMU211" s="142"/>
      <c r="UMV211" s="143"/>
      <c r="UMW211" s="144"/>
      <c r="UMX211" s="124"/>
      <c r="UMY211" s="145"/>
      <c r="UMZ211" s="145"/>
      <c r="UNA211" s="146"/>
      <c r="UNB211" s="142"/>
      <c r="UNC211" s="143"/>
      <c r="UND211" s="144"/>
      <c r="UNE211" s="124"/>
      <c r="UNF211" s="145"/>
      <c r="UNG211" s="145"/>
      <c r="UNH211" s="146"/>
      <c r="UNI211" s="142"/>
      <c r="UNJ211" s="143"/>
      <c r="UNK211" s="144"/>
      <c r="UNL211" s="124"/>
      <c r="UNM211" s="145"/>
      <c r="UNN211" s="145"/>
      <c r="UNO211" s="146"/>
      <c r="UNP211" s="142"/>
      <c r="UNQ211" s="143"/>
      <c r="UNR211" s="144"/>
      <c r="UNS211" s="124"/>
      <c r="UNT211" s="145"/>
      <c r="UNU211" s="145"/>
      <c r="UNV211" s="146"/>
      <c r="UNW211" s="142"/>
      <c r="UNX211" s="143"/>
      <c r="UNY211" s="144"/>
      <c r="UNZ211" s="124"/>
      <c r="UOA211" s="145"/>
      <c r="UOB211" s="145"/>
      <c r="UOC211" s="146"/>
      <c r="UOD211" s="142"/>
      <c r="UOE211" s="143"/>
      <c r="UOF211" s="144"/>
      <c r="UOG211" s="124"/>
      <c r="UOH211" s="145"/>
      <c r="UOI211" s="145"/>
      <c r="UOJ211" s="146"/>
      <c r="UOK211" s="142"/>
      <c r="UOL211" s="143"/>
      <c r="UOM211" s="144"/>
      <c r="UON211" s="124"/>
      <c r="UOO211" s="145"/>
      <c r="UOP211" s="145"/>
      <c r="UOQ211" s="146"/>
      <c r="UOR211" s="142"/>
      <c r="UOS211" s="143"/>
      <c r="UOT211" s="144"/>
      <c r="UOU211" s="124"/>
      <c r="UOV211" s="145"/>
      <c r="UOW211" s="145"/>
      <c r="UOX211" s="146"/>
      <c r="UOY211" s="142"/>
      <c r="UOZ211" s="143"/>
      <c r="UPA211" s="144"/>
      <c r="UPB211" s="124"/>
      <c r="UPC211" s="145"/>
      <c r="UPD211" s="145"/>
      <c r="UPE211" s="146"/>
      <c r="UPF211" s="142"/>
      <c r="UPG211" s="143"/>
      <c r="UPH211" s="144"/>
      <c r="UPI211" s="124"/>
      <c r="UPJ211" s="145"/>
      <c r="UPK211" s="145"/>
      <c r="UPL211" s="146"/>
      <c r="UPM211" s="142"/>
      <c r="UPN211" s="143"/>
      <c r="UPO211" s="144"/>
      <c r="UPP211" s="124"/>
      <c r="UPQ211" s="145"/>
      <c r="UPR211" s="145"/>
      <c r="UPS211" s="146"/>
      <c r="UPT211" s="142"/>
      <c r="UPU211" s="143"/>
      <c r="UPV211" s="144"/>
      <c r="UPW211" s="124"/>
      <c r="UPX211" s="145"/>
      <c r="UPY211" s="145"/>
      <c r="UPZ211" s="146"/>
      <c r="UQA211" s="142"/>
      <c r="UQB211" s="143"/>
      <c r="UQC211" s="144"/>
      <c r="UQD211" s="124"/>
      <c r="UQE211" s="145"/>
      <c r="UQF211" s="145"/>
      <c r="UQG211" s="146"/>
      <c r="UQH211" s="142"/>
      <c r="UQI211" s="143"/>
      <c r="UQJ211" s="144"/>
      <c r="UQK211" s="124"/>
      <c r="UQL211" s="145"/>
      <c r="UQM211" s="145"/>
      <c r="UQN211" s="146"/>
      <c r="UQO211" s="142"/>
      <c r="UQP211" s="143"/>
      <c r="UQQ211" s="144"/>
      <c r="UQR211" s="124"/>
      <c r="UQS211" s="145"/>
      <c r="UQT211" s="145"/>
      <c r="UQU211" s="146"/>
      <c r="UQV211" s="142"/>
      <c r="UQW211" s="143"/>
      <c r="UQX211" s="144"/>
      <c r="UQY211" s="124"/>
      <c r="UQZ211" s="145"/>
      <c r="URA211" s="145"/>
      <c r="URB211" s="146"/>
      <c r="URC211" s="142"/>
      <c r="URD211" s="143"/>
      <c r="URE211" s="144"/>
      <c r="URF211" s="124"/>
      <c r="URG211" s="145"/>
      <c r="URH211" s="145"/>
      <c r="URI211" s="146"/>
      <c r="URJ211" s="142"/>
      <c r="URK211" s="143"/>
      <c r="URL211" s="144"/>
      <c r="URM211" s="124"/>
      <c r="URN211" s="145"/>
      <c r="URO211" s="145"/>
      <c r="URP211" s="146"/>
      <c r="URQ211" s="142"/>
      <c r="URR211" s="143"/>
      <c r="URS211" s="144"/>
      <c r="URT211" s="124"/>
      <c r="URU211" s="145"/>
      <c r="URV211" s="145"/>
      <c r="URW211" s="146"/>
      <c r="URX211" s="142"/>
      <c r="URY211" s="143"/>
      <c r="URZ211" s="144"/>
      <c r="USA211" s="124"/>
      <c r="USB211" s="145"/>
      <c r="USC211" s="145"/>
      <c r="USD211" s="146"/>
      <c r="USE211" s="142"/>
      <c r="USF211" s="143"/>
      <c r="USG211" s="144"/>
      <c r="USH211" s="124"/>
      <c r="USI211" s="145"/>
      <c r="USJ211" s="145"/>
      <c r="USK211" s="146"/>
      <c r="USL211" s="142"/>
      <c r="USM211" s="143"/>
      <c r="USN211" s="144"/>
      <c r="USO211" s="124"/>
      <c r="USP211" s="145"/>
      <c r="USQ211" s="145"/>
      <c r="USR211" s="146"/>
      <c r="USS211" s="142"/>
      <c r="UST211" s="143"/>
      <c r="USU211" s="144"/>
      <c r="USV211" s="124"/>
      <c r="USW211" s="145"/>
      <c r="USX211" s="145"/>
      <c r="USY211" s="146"/>
      <c r="USZ211" s="142"/>
      <c r="UTA211" s="143"/>
      <c r="UTB211" s="144"/>
      <c r="UTC211" s="124"/>
      <c r="UTD211" s="145"/>
      <c r="UTE211" s="145"/>
      <c r="UTF211" s="146"/>
      <c r="UTG211" s="142"/>
      <c r="UTH211" s="143"/>
      <c r="UTI211" s="144"/>
      <c r="UTJ211" s="124"/>
      <c r="UTK211" s="145"/>
      <c r="UTL211" s="145"/>
      <c r="UTM211" s="146"/>
      <c r="UTN211" s="142"/>
      <c r="UTO211" s="143"/>
      <c r="UTP211" s="144"/>
      <c r="UTQ211" s="124"/>
      <c r="UTR211" s="145"/>
      <c r="UTS211" s="145"/>
      <c r="UTT211" s="146"/>
      <c r="UTU211" s="142"/>
      <c r="UTV211" s="143"/>
      <c r="UTW211" s="144"/>
      <c r="UTX211" s="124"/>
      <c r="UTY211" s="145"/>
      <c r="UTZ211" s="145"/>
      <c r="UUA211" s="146"/>
      <c r="UUB211" s="142"/>
      <c r="UUC211" s="143"/>
      <c r="UUD211" s="144"/>
      <c r="UUE211" s="124"/>
      <c r="UUF211" s="145"/>
      <c r="UUG211" s="145"/>
      <c r="UUH211" s="146"/>
      <c r="UUI211" s="142"/>
      <c r="UUJ211" s="143"/>
      <c r="UUK211" s="144"/>
      <c r="UUL211" s="124"/>
      <c r="UUM211" s="145"/>
      <c r="UUN211" s="145"/>
      <c r="UUO211" s="146"/>
      <c r="UUP211" s="142"/>
      <c r="UUQ211" s="143"/>
      <c r="UUR211" s="144"/>
      <c r="UUS211" s="124"/>
      <c r="UUT211" s="145"/>
      <c r="UUU211" s="145"/>
      <c r="UUV211" s="146"/>
      <c r="UUW211" s="142"/>
      <c r="UUX211" s="143"/>
      <c r="UUY211" s="144"/>
      <c r="UUZ211" s="124"/>
      <c r="UVA211" s="145"/>
      <c r="UVB211" s="145"/>
      <c r="UVC211" s="146"/>
      <c r="UVD211" s="142"/>
      <c r="UVE211" s="143"/>
      <c r="UVF211" s="144"/>
      <c r="UVG211" s="124"/>
      <c r="UVH211" s="145"/>
      <c r="UVI211" s="145"/>
      <c r="UVJ211" s="146"/>
      <c r="UVK211" s="142"/>
      <c r="UVL211" s="143"/>
      <c r="UVM211" s="144"/>
      <c r="UVN211" s="124"/>
      <c r="UVO211" s="145"/>
      <c r="UVP211" s="145"/>
      <c r="UVQ211" s="146"/>
      <c r="UVR211" s="142"/>
      <c r="UVS211" s="143"/>
      <c r="UVT211" s="144"/>
      <c r="UVU211" s="124"/>
      <c r="UVV211" s="145"/>
      <c r="UVW211" s="145"/>
      <c r="UVX211" s="146"/>
      <c r="UVY211" s="142"/>
      <c r="UVZ211" s="143"/>
      <c r="UWA211" s="144"/>
      <c r="UWB211" s="124"/>
      <c r="UWC211" s="145"/>
      <c r="UWD211" s="145"/>
      <c r="UWE211" s="146"/>
      <c r="UWF211" s="142"/>
      <c r="UWG211" s="143"/>
      <c r="UWH211" s="144"/>
      <c r="UWI211" s="124"/>
      <c r="UWJ211" s="145"/>
      <c r="UWK211" s="145"/>
      <c r="UWL211" s="146"/>
      <c r="UWM211" s="142"/>
      <c r="UWN211" s="143"/>
      <c r="UWO211" s="144"/>
      <c r="UWP211" s="124"/>
      <c r="UWQ211" s="145"/>
      <c r="UWR211" s="145"/>
      <c r="UWS211" s="146"/>
      <c r="UWT211" s="142"/>
      <c r="UWU211" s="143"/>
      <c r="UWV211" s="144"/>
      <c r="UWW211" s="124"/>
      <c r="UWX211" s="145"/>
      <c r="UWY211" s="145"/>
      <c r="UWZ211" s="146"/>
      <c r="UXA211" s="142"/>
      <c r="UXB211" s="143"/>
      <c r="UXC211" s="144"/>
      <c r="UXD211" s="124"/>
      <c r="UXE211" s="145"/>
      <c r="UXF211" s="145"/>
      <c r="UXG211" s="146"/>
      <c r="UXH211" s="142"/>
      <c r="UXI211" s="143"/>
      <c r="UXJ211" s="144"/>
      <c r="UXK211" s="124"/>
      <c r="UXL211" s="145"/>
      <c r="UXM211" s="145"/>
      <c r="UXN211" s="146"/>
      <c r="UXO211" s="142"/>
      <c r="UXP211" s="143"/>
      <c r="UXQ211" s="144"/>
      <c r="UXR211" s="124"/>
      <c r="UXS211" s="145"/>
      <c r="UXT211" s="145"/>
      <c r="UXU211" s="146"/>
      <c r="UXV211" s="142"/>
      <c r="UXW211" s="143"/>
      <c r="UXX211" s="144"/>
      <c r="UXY211" s="124"/>
      <c r="UXZ211" s="145"/>
      <c r="UYA211" s="145"/>
      <c r="UYB211" s="146"/>
      <c r="UYC211" s="142"/>
      <c r="UYD211" s="143"/>
      <c r="UYE211" s="144"/>
      <c r="UYF211" s="124"/>
      <c r="UYG211" s="145"/>
      <c r="UYH211" s="145"/>
      <c r="UYI211" s="146"/>
      <c r="UYJ211" s="142"/>
      <c r="UYK211" s="143"/>
      <c r="UYL211" s="144"/>
      <c r="UYM211" s="124"/>
      <c r="UYN211" s="145"/>
      <c r="UYO211" s="145"/>
      <c r="UYP211" s="146"/>
      <c r="UYQ211" s="142"/>
      <c r="UYR211" s="143"/>
      <c r="UYS211" s="144"/>
      <c r="UYT211" s="124"/>
      <c r="UYU211" s="145"/>
      <c r="UYV211" s="145"/>
      <c r="UYW211" s="146"/>
      <c r="UYX211" s="142"/>
      <c r="UYY211" s="143"/>
      <c r="UYZ211" s="144"/>
      <c r="UZA211" s="124"/>
      <c r="UZB211" s="145"/>
      <c r="UZC211" s="145"/>
      <c r="UZD211" s="146"/>
      <c r="UZE211" s="142"/>
      <c r="UZF211" s="143"/>
      <c r="UZG211" s="144"/>
      <c r="UZH211" s="124"/>
      <c r="UZI211" s="145"/>
      <c r="UZJ211" s="145"/>
      <c r="UZK211" s="146"/>
      <c r="UZL211" s="142"/>
      <c r="UZM211" s="143"/>
      <c r="UZN211" s="144"/>
      <c r="UZO211" s="124"/>
      <c r="UZP211" s="145"/>
      <c r="UZQ211" s="145"/>
      <c r="UZR211" s="146"/>
      <c r="UZS211" s="142"/>
      <c r="UZT211" s="143"/>
      <c r="UZU211" s="144"/>
      <c r="UZV211" s="124"/>
      <c r="UZW211" s="145"/>
      <c r="UZX211" s="145"/>
      <c r="UZY211" s="146"/>
      <c r="UZZ211" s="142"/>
      <c r="VAA211" s="143"/>
      <c r="VAB211" s="144"/>
      <c r="VAC211" s="124"/>
      <c r="VAD211" s="145"/>
      <c r="VAE211" s="145"/>
      <c r="VAF211" s="146"/>
      <c r="VAG211" s="142"/>
      <c r="VAH211" s="143"/>
      <c r="VAI211" s="144"/>
      <c r="VAJ211" s="124"/>
      <c r="VAK211" s="145"/>
      <c r="VAL211" s="145"/>
      <c r="VAM211" s="146"/>
      <c r="VAN211" s="142"/>
      <c r="VAO211" s="143"/>
      <c r="VAP211" s="144"/>
      <c r="VAQ211" s="124"/>
      <c r="VAR211" s="145"/>
      <c r="VAS211" s="145"/>
      <c r="VAT211" s="146"/>
      <c r="VAU211" s="142"/>
      <c r="VAV211" s="143"/>
      <c r="VAW211" s="144"/>
      <c r="VAX211" s="124"/>
      <c r="VAY211" s="145"/>
      <c r="VAZ211" s="145"/>
      <c r="VBA211" s="146"/>
      <c r="VBB211" s="142"/>
      <c r="VBC211" s="143"/>
      <c r="VBD211" s="144"/>
      <c r="VBE211" s="124"/>
      <c r="VBF211" s="145"/>
      <c r="VBG211" s="145"/>
      <c r="VBH211" s="146"/>
      <c r="VBI211" s="142"/>
      <c r="VBJ211" s="143"/>
      <c r="VBK211" s="144"/>
      <c r="VBL211" s="124"/>
      <c r="VBM211" s="145"/>
      <c r="VBN211" s="145"/>
      <c r="VBO211" s="146"/>
      <c r="VBP211" s="142"/>
      <c r="VBQ211" s="143"/>
      <c r="VBR211" s="144"/>
      <c r="VBS211" s="124"/>
      <c r="VBT211" s="145"/>
      <c r="VBU211" s="145"/>
      <c r="VBV211" s="146"/>
      <c r="VBW211" s="142"/>
      <c r="VBX211" s="143"/>
      <c r="VBY211" s="144"/>
      <c r="VBZ211" s="124"/>
      <c r="VCA211" s="145"/>
      <c r="VCB211" s="145"/>
      <c r="VCC211" s="146"/>
      <c r="VCD211" s="142"/>
      <c r="VCE211" s="143"/>
      <c r="VCF211" s="144"/>
      <c r="VCG211" s="124"/>
      <c r="VCH211" s="145"/>
      <c r="VCI211" s="145"/>
      <c r="VCJ211" s="146"/>
      <c r="VCK211" s="142"/>
      <c r="VCL211" s="143"/>
      <c r="VCM211" s="144"/>
      <c r="VCN211" s="124"/>
      <c r="VCO211" s="145"/>
      <c r="VCP211" s="145"/>
      <c r="VCQ211" s="146"/>
      <c r="VCR211" s="142"/>
      <c r="VCS211" s="143"/>
      <c r="VCT211" s="144"/>
      <c r="VCU211" s="124"/>
      <c r="VCV211" s="145"/>
      <c r="VCW211" s="145"/>
      <c r="VCX211" s="146"/>
      <c r="VCY211" s="142"/>
      <c r="VCZ211" s="143"/>
      <c r="VDA211" s="144"/>
      <c r="VDB211" s="124"/>
      <c r="VDC211" s="145"/>
      <c r="VDD211" s="145"/>
      <c r="VDE211" s="146"/>
      <c r="VDF211" s="142"/>
      <c r="VDG211" s="143"/>
      <c r="VDH211" s="144"/>
      <c r="VDI211" s="124"/>
      <c r="VDJ211" s="145"/>
      <c r="VDK211" s="145"/>
      <c r="VDL211" s="146"/>
      <c r="VDM211" s="142"/>
      <c r="VDN211" s="143"/>
      <c r="VDO211" s="144"/>
      <c r="VDP211" s="124"/>
      <c r="VDQ211" s="145"/>
      <c r="VDR211" s="145"/>
      <c r="VDS211" s="146"/>
      <c r="VDT211" s="142"/>
      <c r="VDU211" s="143"/>
      <c r="VDV211" s="144"/>
      <c r="VDW211" s="124"/>
      <c r="VDX211" s="145"/>
      <c r="VDY211" s="145"/>
      <c r="VDZ211" s="146"/>
      <c r="VEA211" s="142"/>
      <c r="VEB211" s="143"/>
      <c r="VEC211" s="144"/>
      <c r="VED211" s="124"/>
      <c r="VEE211" s="145"/>
      <c r="VEF211" s="145"/>
      <c r="VEG211" s="146"/>
      <c r="VEH211" s="142"/>
      <c r="VEI211" s="143"/>
      <c r="VEJ211" s="144"/>
      <c r="VEK211" s="124"/>
      <c r="VEL211" s="145"/>
      <c r="VEM211" s="145"/>
      <c r="VEN211" s="146"/>
      <c r="VEO211" s="142"/>
      <c r="VEP211" s="143"/>
      <c r="VEQ211" s="144"/>
      <c r="VER211" s="124"/>
      <c r="VES211" s="145"/>
      <c r="VET211" s="145"/>
      <c r="VEU211" s="146"/>
      <c r="VEV211" s="142"/>
      <c r="VEW211" s="143"/>
      <c r="VEX211" s="144"/>
      <c r="VEY211" s="124"/>
      <c r="VEZ211" s="145"/>
      <c r="VFA211" s="145"/>
      <c r="VFB211" s="146"/>
      <c r="VFC211" s="142"/>
      <c r="VFD211" s="143"/>
      <c r="VFE211" s="144"/>
      <c r="VFF211" s="124"/>
      <c r="VFG211" s="145"/>
      <c r="VFH211" s="145"/>
      <c r="VFI211" s="146"/>
      <c r="VFJ211" s="142"/>
      <c r="VFK211" s="143"/>
      <c r="VFL211" s="144"/>
      <c r="VFM211" s="124"/>
      <c r="VFN211" s="145"/>
      <c r="VFO211" s="145"/>
      <c r="VFP211" s="146"/>
      <c r="VFQ211" s="142"/>
      <c r="VFR211" s="143"/>
      <c r="VFS211" s="144"/>
      <c r="VFT211" s="124"/>
      <c r="VFU211" s="145"/>
      <c r="VFV211" s="145"/>
      <c r="VFW211" s="146"/>
      <c r="VFX211" s="142"/>
      <c r="VFY211" s="143"/>
      <c r="VFZ211" s="144"/>
      <c r="VGA211" s="124"/>
      <c r="VGB211" s="145"/>
      <c r="VGC211" s="145"/>
      <c r="VGD211" s="146"/>
      <c r="VGE211" s="142"/>
      <c r="VGF211" s="143"/>
      <c r="VGG211" s="144"/>
      <c r="VGH211" s="124"/>
      <c r="VGI211" s="145"/>
      <c r="VGJ211" s="145"/>
      <c r="VGK211" s="146"/>
      <c r="VGL211" s="142"/>
      <c r="VGM211" s="143"/>
      <c r="VGN211" s="144"/>
      <c r="VGO211" s="124"/>
      <c r="VGP211" s="145"/>
      <c r="VGQ211" s="145"/>
      <c r="VGR211" s="146"/>
      <c r="VGS211" s="142"/>
      <c r="VGT211" s="143"/>
      <c r="VGU211" s="144"/>
      <c r="VGV211" s="124"/>
      <c r="VGW211" s="145"/>
      <c r="VGX211" s="145"/>
      <c r="VGY211" s="146"/>
      <c r="VGZ211" s="142"/>
      <c r="VHA211" s="143"/>
      <c r="VHB211" s="144"/>
      <c r="VHC211" s="124"/>
      <c r="VHD211" s="145"/>
      <c r="VHE211" s="145"/>
      <c r="VHF211" s="146"/>
      <c r="VHG211" s="142"/>
      <c r="VHH211" s="143"/>
      <c r="VHI211" s="144"/>
      <c r="VHJ211" s="124"/>
      <c r="VHK211" s="145"/>
      <c r="VHL211" s="145"/>
      <c r="VHM211" s="146"/>
      <c r="VHN211" s="142"/>
      <c r="VHO211" s="143"/>
      <c r="VHP211" s="144"/>
      <c r="VHQ211" s="124"/>
      <c r="VHR211" s="145"/>
      <c r="VHS211" s="145"/>
      <c r="VHT211" s="146"/>
      <c r="VHU211" s="142"/>
      <c r="VHV211" s="143"/>
      <c r="VHW211" s="144"/>
      <c r="VHX211" s="124"/>
      <c r="VHY211" s="145"/>
      <c r="VHZ211" s="145"/>
      <c r="VIA211" s="146"/>
      <c r="VIB211" s="142"/>
      <c r="VIC211" s="143"/>
      <c r="VID211" s="144"/>
      <c r="VIE211" s="124"/>
      <c r="VIF211" s="145"/>
      <c r="VIG211" s="145"/>
      <c r="VIH211" s="146"/>
      <c r="VII211" s="142"/>
      <c r="VIJ211" s="143"/>
      <c r="VIK211" s="144"/>
      <c r="VIL211" s="124"/>
      <c r="VIM211" s="145"/>
      <c r="VIN211" s="145"/>
      <c r="VIO211" s="146"/>
      <c r="VIP211" s="142"/>
      <c r="VIQ211" s="143"/>
      <c r="VIR211" s="144"/>
      <c r="VIS211" s="124"/>
      <c r="VIT211" s="145"/>
      <c r="VIU211" s="145"/>
      <c r="VIV211" s="146"/>
      <c r="VIW211" s="142"/>
      <c r="VIX211" s="143"/>
      <c r="VIY211" s="144"/>
      <c r="VIZ211" s="124"/>
      <c r="VJA211" s="145"/>
      <c r="VJB211" s="145"/>
      <c r="VJC211" s="146"/>
      <c r="VJD211" s="142"/>
      <c r="VJE211" s="143"/>
      <c r="VJF211" s="144"/>
      <c r="VJG211" s="124"/>
      <c r="VJH211" s="145"/>
      <c r="VJI211" s="145"/>
      <c r="VJJ211" s="146"/>
      <c r="VJK211" s="142"/>
      <c r="VJL211" s="143"/>
      <c r="VJM211" s="144"/>
      <c r="VJN211" s="124"/>
      <c r="VJO211" s="145"/>
      <c r="VJP211" s="145"/>
      <c r="VJQ211" s="146"/>
      <c r="VJR211" s="142"/>
      <c r="VJS211" s="143"/>
      <c r="VJT211" s="144"/>
      <c r="VJU211" s="124"/>
      <c r="VJV211" s="145"/>
      <c r="VJW211" s="145"/>
      <c r="VJX211" s="146"/>
      <c r="VJY211" s="142"/>
      <c r="VJZ211" s="143"/>
      <c r="VKA211" s="144"/>
      <c r="VKB211" s="124"/>
      <c r="VKC211" s="145"/>
      <c r="VKD211" s="145"/>
      <c r="VKE211" s="146"/>
      <c r="VKF211" s="142"/>
      <c r="VKG211" s="143"/>
      <c r="VKH211" s="144"/>
      <c r="VKI211" s="124"/>
      <c r="VKJ211" s="145"/>
      <c r="VKK211" s="145"/>
      <c r="VKL211" s="146"/>
      <c r="VKM211" s="142"/>
      <c r="VKN211" s="143"/>
      <c r="VKO211" s="144"/>
      <c r="VKP211" s="124"/>
      <c r="VKQ211" s="145"/>
      <c r="VKR211" s="145"/>
      <c r="VKS211" s="146"/>
      <c r="VKT211" s="142"/>
      <c r="VKU211" s="143"/>
      <c r="VKV211" s="144"/>
      <c r="VKW211" s="124"/>
      <c r="VKX211" s="145"/>
      <c r="VKY211" s="145"/>
      <c r="VKZ211" s="146"/>
      <c r="VLA211" s="142"/>
      <c r="VLB211" s="143"/>
      <c r="VLC211" s="144"/>
      <c r="VLD211" s="124"/>
      <c r="VLE211" s="145"/>
      <c r="VLF211" s="145"/>
      <c r="VLG211" s="146"/>
      <c r="VLH211" s="142"/>
      <c r="VLI211" s="143"/>
      <c r="VLJ211" s="144"/>
      <c r="VLK211" s="124"/>
      <c r="VLL211" s="145"/>
      <c r="VLM211" s="145"/>
      <c r="VLN211" s="146"/>
      <c r="VLO211" s="142"/>
      <c r="VLP211" s="143"/>
      <c r="VLQ211" s="144"/>
      <c r="VLR211" s="124"/>
      <c r="VLS211" s="145"/>
      <c r="VLT211" s="145"/>
      <c r="VLU211" s="146"/>
      <c r="VLV211" s="142"/>
      <c r="VLW211" s="143"/>
      <c r="VLX211" s="144"/>
      <c r="VLY211" s="124"/>
      <c r="VLZ211" s="145"/>
      <c r="VMA211" s="145"/>
      <c r="VMB211" s="146"/>
      <c r="VMC211" s="142"/>
      <c r="VMD211" s="143"/>
      <c r="VME211" s="144"/>
      <c r="VMF211" s="124"/>
      <c r="VMG211" s="145"/>
      <c r="VMH211" s="145"/>
      <c r="VMI211" s="146"/>
      <c r="VMJ211" s="142"/>
      <c r="VMK211" s="143"/>
      <c r="VML211" s="144"/>
      <c r="VMM211" s="124"/>
      <c r="VMN211" s="145"/>
      <c r="VMO211" s="145"/>
      <c r="VMP211" s="146"/>
      <c r="VMQ211" s="142"/>
      <c r="VMR211" s="143"/>
      <c r="VMS211" s="144"/>
      <c r="VMT211" s="124"/>
      <c r="VMU211" s="145"/>
      <c r="VMV211" s="145"/>
      <c r="VMW211" s="146"/>
      <c r="VMX211" s="142"/>
      <c r="VMY211" s="143"/>
      <c r="VMZ211" s="144"/>
      <c r="VNA211" s="124"/>
      <c r="VNB211" s="145"/>
      <c r="VNC211" s="145"/>
      <c r="VND211" s="146"/>
      <c r="VNE211" s="142"/>
      <c r="VNF211" s="143"/>
      <c r="VNG211" s="144"/>
      <c r="VNH211" s="124"/>
      <c r="VNI211" s="145"/>
      <c r="VNJ211" s="145"/>
      <c r="VNK211" s="146"/>
      <c r="VNL211" s="142"/>
      <c r="VNM211" s="143"/>
      <c r="VNN211" s="144"/>
      <c r="VNO211" s="124"/>
      <c r="VNP211" s="145"/>
      <c r="VNQ211" s="145"/>
      <c r="VNR211" s="146"/>
      <c r="VNS211" s="142"/>
      <c r="VNT211" s="143"/>
      <c r="VNU211" s="144"/>
      <c r="VNV211" s="124"/>
      <c r="VNW211" s="145"/>
      <c r="VNX211" s="145"/>
      <c r="VNY211" s="146"/>
      <c r="VNZ211" s="142"/>
      <c r="VOA211" s="143"/>
      <c r="VOB211" s="144"/>
      <c r="VOC211" s="124"/>
      <c r="VOD211" s="145"/>
      <c r="VOE211" s="145"/>
      <c r="VOF211" s="146"/>
      <c r="VOG211" s="142"/>
      <c r="VOH211" s="143"/>
      <c r="VOI211" s="144"/>
      <c r="VOJ211" s="124"/>
      <c r="VOK211" s="145"/>
      <c r="VOL211" s="145"/>
      <c r="VOM211" s="146"/>
      <c r="VON211" s="142"/>
      <c r="VOO211" s="143"/>
      <c r="VOP211" s="144"/>
      <c r="VOQ211" s="124"/>
      <c r="VOR211" s="145"/>
      <c r="VOS211" s="145"/>
      <c r="VOT211" s="146"/>
      <c r="VOU211" s="142"/>
      <c r="VOV211" s="143"/>
      <c r="VOW211" s="144"/>
      <c r="VOX211" s="124"/>
      <c r="VOY211" s="145"/>
      <c r="VOZ211" s="145"/>
      <c r="VPA211" s="146"/>
      <c r="VPB211" s="142"/>
      <c r="VPC211" s="143"/>
      <c r="VPD211" s="144"/>
      <c r="VPE211" s="124"/>
      <c r="VPF211" s="145"/>
      <c r="VPG211" s="145"/>
      <c r="VPH211" s="146"/>
      <c r="VPI211" s="142"/>
      <c r="VPJ211" s="143"/>
      <c r="VPK211" s="144"/>
      <c r="VPL211" s="124"/>
      <c r="VPM211" s="145"/>
      <c r="VPN211" s="145"/>
      <c r="VPO211" s="146"/>
      <c r="VPP211" s="142"/>
      <c r="VPQ211" s="143"/>
      <c r="VPR211" s="144"/>
      <c r="VPS211" s="124"/>
      <c r="VPT211" s="145"/>
      <c r="VPU211" s="145"/>
      <c r="VPV211" s="146"/>
      <c r="VPW211" s="142"/>
      <c r="VPX211" s="143"/>
      <c r="VPY211" s="144"/>
      <c r="VPZ211" s="124"/>
      <c r="VQA211" s="145"/>
      <c r="VQB211" s="145"/>
      <c r="VQC211" s="146"/>
      <c r="VQD211" s="142"/>
      <c r="VQE211" s="143"/>
      <c r="VQF211" s="144"/>
      <c r="VQG211" s="124"/>
      <c r="VQH211" s="145"/>
      <c r="VQI211" s="145"/>
      <c r="VQJ211" s="146"/>
      <c r="VQK211" s="142"/>
      <c r="VQL211" s="143"/>
      <c r="VQM211" s="144"/>
      <c r="VQN211" s="124"/>
      <c r="VQO211" s="145"/>
      <c r="VQP211" s="145"/>
      <c r="VQQ211" s="146"/>
      <c r="VQR211" s="142"/>
      <c r="VQS211" s="143"/>
      <c r="VQT211" s="144"/>
      <c r="VQU211" s="124"/>
      <c r="VQV211" s="145"/>
      <c r="VQW211" s="145"/>
      <c r="VQX211" s="146"/>
      <c r="VQY211" s="142"/>
      <c r="VQZ211" s="143"/>
      <c r="VRA211" s="144"/>
      <c r="VRB211" s="124"/>
      <c r="VRC211" s="145"/>
      <c r="VRD211" s="145"/>
      <c r="VRE211" s="146"/>
      <c r="VRF211" s="142"/>
      <c r="VRG211" s="143"/>
      <c r="VRH211" s="144"/>
      <c r="VRI211" s="124"/>
      <c r="VRJ211" s="145"/>
      <c r="VRK211" s="145"/>
      <c r="VRL211" s="146"/>
      <c r="VRM211" s="142"/>
      <c r="VRN211" s="143"/>
      <c r="VRO211" s="144"/>
      <c r="VRP211" s="124"/>
      <c r="VRQ211" s="145"/>
      <c r="VRR211" s="145"/>
      <c r="VRS211" s="146"/>
      <c r="VRT211" s="142"/>
      <c r="VRU211" s="143"/>
      <c r="VRV211" s="144"/>
      <c r="VRW211" s="124"/>
      <c r="VRX211" s="145"/>
      <c r="VRY211" s="145"/>
      <c r="VRZ211" s="146"/>
      <c r="VSA211" s="142"/>
      <c r="VSB211" s="143"/>
      <c r="VSC211" s="144"/>
      <c r="VSD211" s="124"/>
      <c r="VSE211" s="145"/>
      <c r="VSF211" s="145"/>
      <c r="VSG211" s="146"/>
      <c r="VSH211" s="142"/>
      <c r="VSI211" s="143"/>
      <c r="VSJ211" s="144"/>
      <c r="VSK211" s="124"/>
      <c r="VSL211" s="145"/>
      <c r="VSM211" s="145"/>
      <c r="VSN211" s="146"/>
      <c r="VSO211" s="142"/>
      <c r="VSP211" s="143"/>
      <c r="VSQ211" s="144"/>
      <c r="VSR211" s="124"/>
      <c r="VSS211" s="145"/>
      <c r="VST211" s="145"/>
      <c r="VSU211" s="146"/>
      <c r="VSV211" s="142"/>
      <c r="VSW211" s="143"/>
      <c r="VSX211" s="144"/>
      <c r="VSY211" s="124"/>
      <c r="VSZ211" s="145"/>
      <c r="VTA211" s="145"/>
      <c r="VTB211" s="146"/>
      <c r="VTC211" s="142"/>
      <c r="VTD211" s="143"/>
      <c r="VTE211" s="144"/>
      <c r="VTF211" s="124"/>
      <c r="VTG211" s="145"/>
      <c r="VTH211" s="145"/>
      <c r="VTI211" s="146"/>
      <c r="VTJ211" s="142"/>
      <c r="VTK211" s="143"/>
      <c r="VTL211" s="144"/>
      <c r="VTM211" s="124"/>
      <c r="VTN211" s="145"/>
      <c r="VTO211" s="145"/>
      <c r="VTP211" s="146"/>
      <c r="VTQ211" s="142"/>
      <c r="VTR211" s="143"/>
      <c r="VTS211" s="144"/>
      <c r="VTT211" s="124"/>
      <c r="VTU211" s="145"/>
      <c r="VTV211" s="145"/>
      <c r="VTW211" s="146"/>
      <c r="VTX211" s="142"/>
      <c r="VTY211" s="143"/>
      <c r="VTZ211" s="144"/>
      <c r="VUA211" s="124"/>
      <c r="VUB211" s="145"/>
      <c r="VUC211" s="145"/>
      <c r="VUD211" s="146"/>
      <c r="VUE211" s="142"/>
      <c r="VUF211" s="143"/>
      <c r="VUG211" s="144"/>
      <c r="VUH211" s="124"/>
      <c r="VUI211" s="145"/>
      <c r="VUJ211" s="145"/>
      <c r="VUK211" s="146"/>
      <c r="VUL211" s="142"/>
      <c r="VUM211" s="143"/>
      <c r="VUN211" s="144"/>
      <c r="VUO211" s="124"/>
      <c r="VUP211" s="145"/>
      <c r="VUQ211" s="145"/>
      <c r="VUR211" s="146"/>
      <c r="VUS211" s="142"/>
      <c r="VUT211" s="143"/>
      <c r="VUU211" s="144"/>
      <c r="VUV211" s="124"/>
      <c r="VUW211" s="145"/>
      <c r="VUX211" s="145"/>
      <c r="VUY211" s="146"/>
      <c r="VUZ211" s="142"/>
      <c r="VVA211" s="143"/>
      <c r="VVB211" s="144"/>
      <c r="VVC211" s="124"/>
      <c r="VVD211" s="145"/>
      <c r="VVE211" s="145"/>
      <c r="VVF211" s="146"/>
      <c r="VVG211" s="142"/>
      <c r="VVH211" s="143"/>
      <c r="VVI211" s="144"/>
      <c r="VVJ211" s="124"/>
      <c r="VVK211" s="145"/>
      <c r="VVL211" s="145"/>
      <c r="VVM211" s="146"/>
      <c r="VVN211" s="142"/>
      <c r="VVO211" s="143"/>
      <c r="VVP211" s="144"/>
      <c r="VVQ211" s="124"/>
      <c r="VVR211" s="145"/>
      <c r="VVS211" s="145"/>
      <c r="VVT211" s="146"/>
      <c r="VVU211" s="142"/>
      <c r="VVV211" s="143"/>
      <c r="VVW211" s="144"/>
      <c r="VVX211" s="124"/>
      <c r="VVY211" s="145"/>
      <c r="VVZ211" s="145"/>
      <c r="VWA211" s="146"/>
      <c r="VWB211" s="142"/>
      <c r="VWC211" s="143"/>
      <c r="VWD211" s="144"/>
      <c r="VWE211" s="124"/>
      <c r="VWF211" s="145"/>
      <c r="VWG211" s="145"/>
      <c r="VWH211" s="146"/>
      <c r="VWI211" s="142"/>
      <c r="VWJ211" s="143"/>
      <c r="VWK211" s="144"/>
      <c r="VWL211" s="124"/>
      <c r="VWM211" s="145"/>
      <c r="VWN211" s="145"/>
      <c r="VWO211" s="146"/>
      <c r="VWP211" s="142"/>
      <c r="VWQ211" s="143"/>
      <c r="VWR211" s="144"/>
      <c r="VWS211" s="124"/>
      <c r="VWT211" s="145"/>
      <c r="VWU211" s="145"/>
      <c r="VWV211" s="146"/>
      <c r="VWW211" s="142"/>
      <c r="VWX211" s="143"/>
      <c r="VWY211" s="144"/>
      <c r="VWZ211" s="124"/>
      <c r="VXA211" s="145"/>
      <c r="VXB211" s="145"/>
      <c r="VXC211" s="146"/>
      <c r="VXD211" s="142"/>
      <c r="VXE211" s="143"/>
      <c r="VXF211" s="144"/>
      <c r="VXG211" s="124"/>
      <c r="VXH211" s="145"/>
      <c r="VXI211" s="145"/>
      <c r="VXJ211" s="146"/>
      <c r="VXK211" s="142"/>
      <c r="VXL211" s="143"/>
      <c r="VXM211" s="144"/>
      <c r="VXN211" s="124"/>
      <c r="VXO211" s="145"/>
      <c r="VXP211" s="145"/>
      <c r="VXQ211" s="146"/>
      <c r="VXR211" s="142"/>
      <c r="VXS211" s="143"/>
      <c r="VXT211" s="144"/>
      <c r="VXU211" s="124"/>
      <c r="VXV211" s="145"/>
      <c r="VXW211" s="145"/>
      <c r="VXX211" s="146"/>
      <c r="VXY211" s="142"/>
      <c r="VXZ211" s="143"/>
      <c r="VYA211" s="144"/>
      <c r="VYB211" s="124"/>
      <c r="VYC211" s="145"/>
      <c r="VYD211" s="145"/>
      <c r="VYE211" s="146"/>
      <c r="VYF211" s="142"/>
      <c r="VYG211" s="143"/>
      <c r="VYH211" s="144"/>
      <c r="VYI211" s="124"/>
      <c r="VYJ211" s="145"/>
      <c r="VYK211" s="145"/>
      <c r="VYL211" s="146"/>
      <c r="VYM211" s="142"/>
      <c r="VYN211" s="143"/>
      <c r="VYO211" s="144"/>
      <c r="VYP211" s="124"/>
      <c r="VYQ211" s="145"/>
      <c r="VYR211" s="145"/>
      <c r="VYS211" s="146"/>
      <c r="VYT211" s="142"/>
      <c r="VYU211" s="143"/>
      <c r="VYV211" s="144"/>
      <c r="VYW211" s="124"/>
      <c r="VYX211" s="145"/>
      <c r="VYY211" s="145"/>
      <c r="VYZ211" s="146"/>
      <c r="VZA211" s="142"/>
      <c r="VZB211" s="143"/>
      <c r="VZC211" s="144"/>
      <c r="VZD211" s="124"/>
      <c r="VZE211" s="145"/>
      <c r="VZF211" s="145"/>
      <c r="VZG211" s="146"/>
      <c r="VZH211" s="142"/>
      <c r="VZI211" s="143"/>
      <c r="VZJ211" s="144"/>
      <c r="VZK211" s="124"/>
      <c r="VZL211" s="145"/>
      <c r="VZM211" s="145"/>
      <c r="VZN211" s="146"/>
      <c r="VZO211" s="142"/>
      <c r="VZP211" s="143"/>
      <c r="VZQ211" s="144"/>
      <c r="VZR211" s="124"/>
      <c r="VZS211" s="145"/>
      <c r="VZT211" s="145"/>
      <c r="VZU211" s="146"/>
      <c r="VZV211" s="142"/>
      <c r="VZW211" s="143"/>
      <c r="VZX211" s="144"/>
      <c r="VZY211" s="124"/>
      <c r="VZZ211" s="145"/>
      <c r="WAA211" s="145"/>
      <c r="WAB211" s="146"/>
      <c r="WAC211" s="142"/>
      <c r="WAD211" s="143"/>
      <c r="WAE211" s="144"/>
      <c r="WAF211" s="124"/>
      <c r="WAG211" s="145"/>
      <c r="WAH211" s="145"/>
      <c r="WAI211" s="146"/>
      <c r="WAJ211" s="142"/>
      <c r="WAK211" s="143"/>
      <c r="WAL211" s="144"/>
      <c r="WAM211" s="124"/>
      <c r="WAN211" s="145"/>
      <c r="WAO211" s="145"/>
      <c r="WAP211" s="146"/>
      <c r="WAQ211" s="142"/>
      <c r="WAR211" s="143"/>
      <c r="WAS211" s="144"/>
      <c r="WAT211" s="124"/>
      <c r="WAU211" s="145"/>
      <c r="WAV211" s="145"/>
      <c r="WAW211" s="146"/>
      <c r="WAX211" s="142"/>
      <c r="WAY211" s="143"/>
      <c r="WAZ211" s="144"/>
      <c r="WBA211" s="124"/>
      <c r="WBB211" s="145"/>
      <c r="WBC211" s="145"/>
      <c r="WBD211" s="146"/>
      <c r="WBE211" s="142"/>
      <c r="WBF211" s="143"/>
      <c r="WBG211" s="144"/>
      <c r="WBH211" s="124"/>
      <c r="WBI211" s="145"/>
      <c r="WBJ211" s="145"/>
      <c r="WBK211" s="146"/>
      <c r="WBL211" s="142"/>
      <c r="WBM211" s="143"/>
      <c r="WBN211" s="144"/>
      <c r="WBO211" s="124"/>
      <c r="WBP211" s="145"/>
      <c r="WBQ211" s="145"/>
      <c r="WBR211" s="146"/>
      <c r="WBS211" s="142"/>
      <c r="WBT211" s="143"/>
      <c r="WBU211" s="144"/>
      <c r="WBV211" s="124"/>
      <c r="WBW211" s="145"/>
      <c r="WBX211" s="145"/>
      <c r="WBY211" s="146"/>
      <c r="WBZ211" s="142"/>
      <c r="WCA211" s="143"/>
      <c r="WCB211" s="144"/>
      <c r="WCC211" s="124"/>
      <c r="WCD211" s="145"/>
      <c r="WCE211" s="145"/>
      <c r="WCF211" s="146"/>
      <c r="WCG211" s="142"/>
      <c r="WCH211" s="143"/>
      <c r="WCI211" s="144"/>
      <c r="WCJ211" s="124"/>
      <c r="WCK211" s="145"/>
      <c r="WCL211" s="145"/>
      <c r="WCM211" s="146"/>
      <c r="WCN211" s="142"/>
      <c r="WCO211" s="143"/>
      <c r="WCP211" s="144"/>
      <c r="WCQ211" s="124"/>
      <c r="WCR211" s="145"/>
      <c r="WCS211" s="145"/>
      <c r="WCT211" s="146"/>
      <c r="WCU211" s="142"/>
      <c r="WCV211" s="143"/>
      <c r="WCW211" s="144"/>
      <c r="WCX211" s="124"/>
      <c r="WCY211" s="145"/>
      <c r="WCZ211" s="145"/>
      <c r="WDA211" s="146"/>
      <c r="WDB211" s="142"/>
      <c r="WDC211" s="143"/>
      <c r="WDD211" s="144"/>
      <c r="WDE211" s="124"/>
      <c r="WDF211" s="145"/>
      <c r="WDG211" s="145"/>
      <c r="WDH211" s="146"/>
      <c r="WDI211" s="142"/>
      <c r="WDJ211" s="143"/>
      <c r="WDK211" s="144"/>
      <c r="WDL211" s="124"/>
      <c r="WDM211" s="145"/>
      <c r="WDN211" s="145"/>
      <c r="WDO211" s="146"/>
      <c r="WDP211" s="142"/>
      <c r="WDQ211" s="143"/>
      <c r="WDR211" s="144"/>
      <c r="WDS211" s="124"/>
      <c r="WDT211" s="145"/>
      <c r="WDU211" s="145"/>
      <c r="WDV211" s="146"/>
      <c r="WDW211" s="142"/>
      <c r="WDX211" s="143"/>
      <c r="WDY211" s="144"/>
      <c r="WDZ211" s="124"/>
      <c r="WEA211" s="145"/>
      <c r="WEB211" s="145"/>
      <c r="WEC211" s="146"/>
      <c r="WED211" s="142"/>
      <c r="WEE211" s="143"/>
      <c r="WEF211" s="144"/>
      <c r="WEG211" s="124"/>
      <c r="WEH211" s="145"/>
      <c r="WEI211" s="145"/>
      <c r="WEJ211" s="146"/>
      <c r="WEK211" s="142"/>
      <c r="WEL211" s="143"/>
      <c r="WEM211" s="144"/>
      <c r="WEN211" s="124"/>
      <c r="WEO211" s="145"/>
      <c r="WEP211" s="145"/>
      <c r="WEQ211" s="146"/>
      <c r="WER211" s="142"/>
      <c r="WES211" s="143"/>
      <c r="WET211" s="144"/>
      <c r="WEU211" s="124"/>
      <c r="WEV211" s="145"/>
      <c r="WEW211" s="145"/>
      <c r="WEX211" s="146"/>
      <c r="WEY211" s="142"/>
      <c r="WEZ211" s="143"/>
      <c r="WFA211" s="144"/>
      <c r="WFB211" s="124"/>
      <c r="WFC211" s="145"/>
      <c r="WFD211" s="145"/>
      <c r="WFE211" s="146"/>
      <c r="WFF211" s="142"/>
      <c r="WFG211" s="143"/>
      <c r="WFH211" s="144"/>
      <c r="WFI211" s="124"/>
      <c r="WFJ211" s="145"/>
      <c r="WFK211" s="145"/>
      <c r="WFL211" s="146"/>
      <c r="WFM211" s="142"/>
      <c r="WFN211" s="143"/>
      <c r="WFO211" s="144"/>
      <c r="WFP211" s="124"/>
      <c r="WFQ211" s="145"/>
      <c r="WFR211" s="145"/>
      <c r="WFS211" s="146"/>
      <c r="WFT211" s="142"/>
      <c r="WFU211" s="143"/>
      <c r="WFV211" s="144"/>
      <c r="WFW211" s="124"/>
      <c r="WFX211" s="145"/>
      <c r="WFY211" s="145"/>
      <c r="WFZ211" s="146"/>
      <c r="WGA211" s="142"/>
      <c r="WGB211" s="143"/>
      <c r="WGC211" s="144"/>
      <c r="WGD211" s="124"/>
      <c r="WGE211" s="145"/>
      <c r="WGF211" s="145"/>
      <c r="WGG211" s="146"/>
      <c r="WGH211" s="142"/>
      <c r="WGI211" s="143"/>
      <c r="WGJ211" s="144"/>
      <c r="WGK211" s="124"/>
      <c r="WGL211" s="145"/>
      <c r="WGM211" s="145"/>
      <c r="WGN211" s="146"/>
      <c r="WGO211" s="142"/>
      <c r="WGP211" s="143"/>
      <c r="WGQ211" s="144"/>
      <c r="WGR211" s="124"/>
      <c r="WGS211" s="145"/>
      <c r="WGT211" s="145"/>
      <c r="WGU211" s="146"/>
      <c r="WGV211" s="142"/>
      <c r="WGW211" s="143"/>
      <c r="WGX211" s="144"/>
      <c r="WGY211" s="124"/>
      <c r="WGZ211" s="145"/>
      <c r="WHA211" s="145"/>
      <c r="WHB211" s="146"/>
      <c r="WHC211" s="142"/>
      <c r="WHD211" s="143"/>
      <c r="WHE211" s="144"/>
      <c r="WHF211" s="124"/>
      <c r="WHG211" s="145"/>
      <c r="WHH211" s="145"/>
      <c r="WHI211" s="146"/>
      <c r="WHJ211" s="142"/>
      <c r="WHK211" s="143"/>
      <c r="WHL211" s="144"/>
      <c r="WHM211" s="124"/>
      <c r="WHN211" s="145"/>
      <c r="WHO211" s="145"/>
      <c r="WHP211" s="146"/>
      <c r="WHQ211" s="142"/>
      <c r="WHR211" s="143"/>
      <c r="WHS211" s="144"/>
      <c r="WHT211" s="124"/>
      <c r="WHU211" s="145"/>
      <c r="WHV211" s="145"/>
      <c r="WHW211" s="146"/>
      <c r="WHX211" s="142"/>
      <c r="WHY211" s="143"/>
      <c r="WHZ211" s="144"/>
      <c r="WIA211" s="124"/>
      <c r="WIB211" s="145"/>
      <c r="WIC211" s="145"/>
      <c r="WID211" s="146"/>
      <c r="WIE211" s="142"/>
      <c r="WIF211" s="143"/>
      <c r="WIG211" s="144"/>
      <c r="WIH211" s="124"/>
      <c r="WII211" s="145"/>
      <c r="WIJ211" s="145"/>
      <c r="WIK211" s="146"/>
      <c r="WIL211" s="142"/>
      <c r="WIM211" s="143"/>
      <c r="WIN211" s="144"/>
      <c r="WIO211" s="124"/>
      <c r="WIP211" s="145"/>
      <c r="WIQ211" s="145"/>
      <c r="WIR211" s="146"/>
      <c r="WIS211" s="142"/>
      <c r="WIT211" s="143"/>
      <c r="WIU211" s="144"/>
      <c r="WIV211" s="124"/>
      <c r="WIW211" s="145"/>
      <c r="WIX211" s="145"/>
      <c r="WIY211" s="146"/>
      <c r="WIZ211" s="142"/>
      <c r="WJA211" s="143"/>
      <c r="WJB211" s="144"/>
      <c r="WJC211" s="124"/>
      <c r="WJD211" s="145"/>
      <c r="WJE211" s="145"/>
      <c r="WJF211" s="146"/>
      <c r="WJG211" s="142"/>
      <c r="WJH211" s="143"/>
      <c r="WJI211" s="144"/>
      <c r="WJJ211" s="124"/>
      <c r="WJK211" s="145"/>
      <c r="WJL211" s="145"/>
      <c r="WJM211" s="146"/>
      <c r="WJN211" s="142"/>
      <c r="WJO211" s="143"/>
      <c r="WJP211" s="144"/>
      <c r="WJQ211" s="124"/>
      <c r="WJR211" s="145"/>
      <c r="WJS211" s="145"/>
      <c r="WJT211" s="146"/>
      <c r="WJU211" s="142"/>
      <c r="WJV211" s="143"/>
      <c r="WJW211" s="144"/>
      <c r="WJX211" s="124"/>
      <c r="WJY211" s="145"/>
      <c r="WJZ211" s="145"/>
      <c r="WKA211" s="146"/>
      <c r="WKB211" s="142"/>
      <c r="WKC211" s="143"/>
      <c r="WKD211" s="144"/>
      <c r="WKE211" s="124"/>
      <c r="WKF211" s="145"/>
      <c r="WKG211" s="145"/>
      <c r="WKH211" s="146"/>
      <c r="WKI211" s="142"/>
      <c r="WKJ211" s="143"/>
      <c r="WKK211" s="144"/>
      <c r="WKL211" s="124"/>
      <c r="WKM211" s="145"/>
      <c r="WKN211" s="145"/>
      <c r="WKO211" s="146"/>
      <c r="WKP211" s="142"/>
      <c r="WKQ211" s="143"/>
      <c r="WKR211" s="144"/>
      <c r="WKS211" s="124"/>
      <c r="WKT211" s="145"/>
      <c r="WKU211" s="145"/>
      <c r="WKV211" s="146"/>
      <c r="WKW211" s="142"/>
      <c r="WKX211" s="143"/>
      <c r="WKY211" s="144"/>
      <c r="WKZ211" s="124"/>
      <c r="WLA211" s="145"/>
      <c r="WLB211" s="145"/>
      <c r="WLC211" s="146"/>
      <c r="WLD211" s="142"/>
      <c r="WLE211" s="143"/>
      <c r="WLF211" s="144"/>
      <c r="WLG211" s="124"/>
      <c r="WLH211" s="145"/>
      <c r="WLI211" s="145"/>
      <c r="WLJ211" s="146"/>
      <c r="WLK211" s="142"/>
      <c r="WLL211" s="143"/>
      <c r="WLM211" s="144"/>
      <c r="WLN211" s="124"/>
      <c r="WLO211" s="145"/>
      <c r="WLP211" s="145"/>
      <c r="WLQ211" s="146"/>
      <c r="WLR211" s="142"/>
      <c r="WLS211" s="143"/>
      <c r="WLT211" s="144"/>
      <c r="WLU211" s="124"/>
      <c r="WLV211" s="145"/>
      <c r="WLW211" s="145"/>
      <c r="WLX211" s="146"/>
      <c r="WLY211" s="142"/>
      <c r="WLZ211" s="143"/>
      <c r="WMA211" s="144"/>
      <c r="WMB211" s="124"/>
      <c r="WMC211" s="145"/>
      <c r="WMD211" s="145"/>
      <c r="WME211" s="146"/>
      <c r="WMF211" s="142"/>
      <c r="WMG211" s="143"/>
      <c r="WMH211" s="144"/>
      <c r="WMI211" s="124"/>
      <c r="WMJ211" s="145"/>
      <c r="WMK211" s="145"/>
      <c r="WML211" s="146"/>
      <c r="WMM211" s="142"/>
      <c r="WMN211" s="143"/>
      <c r="WMO211" s="144"/>
      <c r="WMP211" s="124"/>
      <c r="WMQ211" s="145"/>
      <c r="WMR211" s="145"/>
      <c r="WMS211" s="146"/>
      <c r="WMT211" s="142"/>
      <c r="WMU211" s="143"/>
      <c r="WMV211" s="144"/>
      <c r="WMW211" s="124"/>
      <c r="WMX211" s="145"/>
      <c r="WMY211" s="145"/>
      <c r="WMZ211" s="146"/>
      <c r="WNA211" s="142"/>
      <c r="WNB211" s="143"/>
      <c r="WNC211" s="144"/>
      <c r="WND211" s="124"/>
      <c r="WNE211" s="145"/>
      <c r="WNF211" s="145"/>
      <c r="WNG211" s="146"/>
      <c r="WNH211" s="142"/>
      <c r="WNI211" s="143"/>
      <c r="WNJ211" s="144"/>
      <c r="WNK211" s="124"/>
      <c r="WNL211" s="145"/>
      <c r="WNM211" s="145"/>
      <c r="WNN211" s="146"/>
      <c r="WNO211" s="142"/>
      <c r="WNP211" s="143"/>
      <c r="WNQ211" s="144"/>
      <c r="WNR211" s="124"/>
      <c r="WNS211" s="145"/>
      <c r="WNT211" s="145"/>
      <c r="WNU211" s="146"/>
      <c r="WNV211" s="142"/>
      <c r="WNW211" s="143"/>
      <c r="WNX211" s="144"/>
      <c r="WNY211" s="124"/>
      <c r="WNZ211" s="145"/>
      <c r="WOA211" s="145"/>
      <c r="WOB211" s="146"/>
      <c r="WOC211" s="142"/>
      <c r="WOD211" s="143"/>
      <c r="WOE211" s="144"/>
      <c r="WOF211" s="124"/>
      <c r="WOG211" s="145"/>
      <c r="WOH211" s="145"/>
      <c r="WOI211" s="146"/>
      <c r="WOJ211" s="142"/>
      <c r="WOK211" s="143"/>
      <c r="WOL211" s="144"/>
      <c r="WOM211" s="124"/>
      <c r="WON211" s="145"/>
      <c r="WOO211" s="145"/>
      <c r="WOP211" s="146"/>
      <c r="WOQ211" s="142"/>
      <c r="WOR211" s="143"/>
      <c r="WOS211" s="144"/>
      <c r="WOT211" s="124"/>
      <c r="WOU211" s="145"/>
      <c r="WOV211" s="145"/>
      <c r="WOW211" s="146"/>
      <c r="WOX211" s="142"/>
      <c r="WOY211" s="143"/>
      <c r="WOZ211" s="144"/>
      <c r="WPA211" s="124"/>
      <c r="WPB211" s="145"/>
      <c r="WPC211" s="145"/>
      <c r="WPD211" s="146"/>
      <c r="WPE211" s="142"/>
      <c r="WPF211" s="143"/>
      <c r="WPG211" s="144"/>
      <c r="WPH211" s="124"/>
      <c r="WPI211" s="145"/>
      <c r="WPJ211" s="145"/>
      <c r="WPK211" s="146"/>
      <c r="WPL211" s="142"/>
      <c r="WPM211" s="143"/>
      <c r="WPN211" s="144"/>
      <c r="WPO211" s="124"/>
      <c r="WPP211" s="145"/>
      <c r="WPQ211" s="145"/>
      <c r="WPR211" s="146"/>
      <c r="WPS211" s="142"/>
      <c r="WPT211" s="143"/>
      <c r="WPU211" s="144"/>
      <c r="WPV211" s="124"/>
      <c r="WPW211" s="145"/>
      <c r="WPX211" s="145"/>
      <c r="WPY211" s="146"/>
      <c r="WPZ211" s="142"/>
      <c r="WQA211" s="143"/>
      <c r="WQB211" s="144"/>
      <c r="WQC211" s="124"/>
      <c r="WQD211" s="145"/>
      <c r="WQE211" s="145"/>
      <c r="WQF211" s="146"/>
      <c r="WQG211" s="142"/>
      <c r="WQH211" s="143"/>
      <c r="WQI211" s="144"/>
      <c r="WQJ211" s="124"/>
      <c r="WQK211" s="145"/>
      <c r="WQL211" s="145"/>
      <c r="WQM211" s="146"/>
      <c r="WQN211" s="142"/>
      <c r="WQO211" s="143"/>
      <c r="WQP211" s="144"/>
      <c r="WQQ211" s="124"/>
      <c r="WQR211" s="145"/>
      <c r="WQS211" s="145"/>
      <c r="WQT211" s="146"/>
      <c r="WQU211" s="142"/>
      <c r="WQV211" s="143"/>
      <c r="WQW211" s="144"/>
      <c r="WQX211" s="124"/>
      <c r="WQY211" s="145"/>
      <c r="WQZ211" s="145"/>
      <c r="WRA211" s="146"/>
      <c r="WRB211" s="142"/>
      <c r="WRC211" s="143"/>
      <c r="WRD211" s="144"/>
      <c r="WRE211" s="124"/>
      <c r="WRF211" s="145"/>
      <c r="WRG211" s="145"/>
      <c r="WRH211" s="146"/>
      <c r="WRI211" s="142"/>
      <c r="WRJ211" s="143"/>
      <c r="WRK211" s="144"/>
      <c r="WRL211" s="124"/>
      <c r="WRM211" s="145"/>
      <c r="WRN211" s="145"/>
      <c r="WRO211" s="146"/>
      <c r="WRP211" s="142"/>
      <c r="WRQ211" s="143"/>
      <c r="WRR211" s="144"/>
      <c r="WRS211" s="124"/>
      <c r="WRT211" s="145"/>
      <c r="WRU211" s="145"/>
      <c r="WRV211" s="146"/>
      <c r="WRW211" s="142"/>
      <c r="WRX211" s="143"/>
      <c r="WRY211" s="144"/>
      <c r="WRZ211" s="124"/>
      <c r="WSA211" s="145"/>
      <c r="WSB211" s="145"/>
      <c r="WSC211" s="146"/>
      <c r="WSD211" s="142"/>
      <c r="WSE211" s="143"/>
      <c r="WSF211" s="144"/>
      <c r="WSG211" s="124"/>
      <c r="WSH211" s="145"/>
      <c r="WSI211" s="145"/>
      <c r="WSJ211" s="146"/>
      <c r="WSK211" s="142"/>
      <c r="WSL211" s="143"/>
      <c r="WSM211" s="144"/>
      <c r="WSN211" s="124"/>
      <c r="WSO211" s="145"/>
      <c r="WSP211" s="145"/>
      <c r="WSQ211" s="146"/>
      <c r="WSR211" s="142"/>
      <c r="WSS211" s="143"/>
      <c r="WST211" s="144"/>
      <c r="WSU211" s="124"/>
      <c r="WSV211" s="145"/>
      <c r="WSW211" s="145"/>
      <c r="WSX211" s="146"/>
      <c r="WSY211" s="142"/>
      <c r="WSZ211" s="143"/>
      <c r="WTA211" s="144"/>
      <c r="WTB211" s="124"/>
      <c r="WTC211" s="145"/>
      <c r="WTD211" s="145"/>
      <c r="WTE211" s="146"/>
      <c r="WTF211" s="142"/>
      <c r="WTG211" s="143"/>
      <c r="WTH211" s="144"/>
      <c r="WTI211" s="124"/>
      <c r="WTJ211" s="145"/>
      <c r="WTK211" s="145"/>
      <c r="WTL211" s="146"/>
      <c r="WTM211" s="142"/>
      <c r="WTN211" s="143"/>
      <c r="WTO211" s="144"/>
      <c r="WTP211" s="124"/>
      <c r="WTQ211" s="145"/>
      <c r="WTR211" s="145"/>
      <c r="WTS211" s="146"/>
      <c r="WTT211" s="142"/>
      <c r="WTU211" s="143"/>
      <c r="WTV211" s="144"/>
      <c r="WTW211" s="124"/>
      <c r="WTX211" s="145"/>
      <c r="WTY211" s="145"/>
      <c r="WTZ211" s="146"/>
      <c r="WUA211" s="142"/>
      <c r="WUB211" s="143"/>
      <c r="WUC211" s="144"/>
      <c r="WUD211" s="124"/>
      <c r="WUE211" s="145"/>
      <c r="WUF211" s="145"/>
      <c r="WUG211" s="146"/>
      <c r="WUH211" s="142"/>
      <c r="WUI211" s="143"/>
      <c r="WUJ211" s="144"/>
      <c r="WUK211" s="124"/>
      <c r="WUL211" s="145"/>
      <c r="WUM211" s="145"/>
      <c r="WUN211" s="146"/>
      <c r="WUO211" s="142"/>
      <c r="WUP211" s="143"/>
      <c r="WUQ211" s="144"/>
      <c r="WUR211" s="124"/>
      <c r="WUS211" s="145"/>
      <c r="WUT211" s="145"/>
      <c r="WUU211" s="146"/>
      <c r="WUV211" s="142"/>
      <c r="WUW211" s="143"/>
      <c r="WUX211" s="144"/>
      <c r="WUY211" s="124"/>
      <c r="WUZ211" s="145"/>
      <c r="WVA211" s="145"/>
      <c r="WVB211" s="146"/>
      <c r="WVC211" s="142"/>
      <c r="WVD211" s="143"/>
      <c r="WVE211" s="144"/>
      <c r="WVF211" s="124"/>
      <c r="WVG211" s="145"/>
      <c r="WVH211" s="145"/>
      <c r="WVI211" s="146"/>
      <c r="WVJ211" s="142"/>
      <c r="WVK211" s="143"/>
      <c r="WVL211" s="144"/>
      <c r="WVM211" s="124"/>
      <c r="WVN211" s="145"/>
      <c r="WVO211" s="145"/>
      <c r="WVP211" s="146"/>
      <c r="WVQ211" s="142"/>
      <c r="WVR211" s="143"/>
      <c r="WVS211" s="144"/>
      <c r="WVT211" s="124"/>
      <c r="WVU211" s="145"/>
      <c r="WVV211" s="145"/>
      <c r="WVW211" s="146"/>
      <c r="WVX211" s="142"/>
      <c r="WVY211" s="143"/>
      <c r="WVZ211" s="144"/>
      <c r="WWA211" s="124"/>
      <c r="WWB211" s="145"/>
      <c r="WWC211" s="145"/>
      <c r="WWD211" s="146"/>
      <c r="WWE211" s="142"/>
      <c r="WWF211" s="143"/>
      <c r="WWG211" s="144"/>
      <c r="WWH211" s="124"/>
      <c r="WWI211" s="145"/>
      <c r="WWJ211" s="145"/>
      <c r="WWK211" s="146"/>
      <c r="WWL211" s="142"/>
      <c r="WWM211" s="143"/>
      <c r="WWN211" s="144"/>
      <c r="WWO211" s="124"/>
      <c r="WWP211" s="145"/>
      <c r="WWQ211" s="145"/>
      <c r="WWR211" s="146"/>
      <c r="WWS211" s="142"/>
      <c r="WWT211" s="143"/>
      <c r="WWU211" s="144"/>
      <c r="WWV211" s="124"/>
      <c r="WWW211" s="145"/>
      <c r="WWX211" s="145"/>
      <c r="WWY211" s="146"/>
      <c r="WWZ211" s="142"/>
      <c r="WXA211" s="143"/>
      <c r="WXB211" s="144"/>
      <c r="WXC211" s="124"/>
      <c r="WXD211" s="145"/>
      <c r="WXE211" s="145"/>
      <c r="WXF211" s="146"/>
      <c r="WXG211" s="142"/>
      <c r="WXH211" s="143"/>
      <c r="WXI211" s="144"/>
      <c r="WXJ211" s="124"/>
      <c r="WXK211" s="145"/>
      <c r="WXL211" s="145"/>
      <c r="WXM211" s="146"/>
      <c r="WXN211" s="142"/>
      <c r="WXO211" s="143"/>
      <c r="WXP211" s="144"/>
      <c r="WXQ211" s="124"/>
      <c r="WXR211" s="145"/>
      <c r="WXS211" s="145"/>
      <c r="WXT211" s="146"/>
      <c r="WXU211" s="142"/>
      <c r="WXV211" s="143"/>
      <c r="WXW211" s="144"/>
      <c r="WXX211" s="124"/>
      <c r="WXY211" s="145"/>
      <c r="WXZ211" s="145"/>
      <c r="WYA211" s="146"/>
      <c r="WYB211" s="142"/>
      <c r="WYC211" s="143"/>
      <c r="WYD211" s="144"/>
      <c r="WYE211" s="124"/>
      <c r="WYF211" s="145"/>
      <c r="WYG211" s="145"/>
      <c r="WYH211" s="146"/>
      <c r="WYI211" s="142"/>
      <c r="WYJ211" s="143"/>
      <c r="WYK211" s="144"/>
      <c r="WYL211" s="124"/>
      <c r="WYM211" s="145"/>
      <c r="WYN211" s="145"/>
      <c r="WYO211" s="146"/>
      <c r="WYP211" s="142"/>
      <c r="WYQ211" s="143"/>
      <c r="WYR211" s="144"/>
      <c r="WYS211" s="124"/>
      <c r="WYT211" s="145"/>
      <c r="WYU211" s="145"/>
      <c r="WYV211" s="146"/>
      <c r="WYW211" s="142"/>
      <c r="WYX211" s="143"/>
      <c r="WYY211" s="144"/>
      <c r="WYZ211" s="124"/>
      <c r="WZA211" s="145"/>
      <c r="WZB211" s="145"/>
      <c r="WZC211" s="146"/>
      <c r="WZD211" s="142"/>
      <c r="WZE211" s="143"/>
      <c r="WZF211" s="144"/>
      <c r="WZG211" s="124"/>
      <c r="WZH211" s="145"/>
      <c r="WZI211" s="145"/>
      <c r="WZJ211" s="146"/>
      <c r="WZK211" s="142"/>
      <c r="WZL211" s="143"/>
      <c r="WZM211" s="144"/>
      <c r="WZN211" s="124"/>
      <c r="WZO211" s="145"/>
      <c r="WZP211" s="145"/>
      <c r="WZQ211" s="146"/>
      <c r="WZR211" s="142"/>
      <c r="WZS211" s="143"/>
      <c r="WZT211" s="144"/>
      <c r="WZU211" s="124"/>
      <c r="WZV211" s="145"/>
      <c r="WZW211" s="145"/>
      <c r="WZX211" s="146"/>
      <c r="WZY211" s="142"/>
      <c r="WZZ211" s="143"/>
      <c r="XAA211" s="144"/>
      <c r="XAB211" s="124"/>
      <c r="XAC211" s="145"/>
      <c r="XAD211" s="145"/>
      <c r="XAE211" s="146"/>
      <c r="XAF211" s="142"/>
      <c r="XAG211" s="143"/>
      <c r="XAH211" s="144"/>
      <c r="XAI211" s="124"/>
      <c r="XAJ211" s="145"/>
      <c r="XAK211" s="145"/>
      <c r="XAL211" s="146"/>
      <c r="XAM211" s="142"/>
      <c r="XAN211" s="143"/>
      <c r="XAO211" s="144"/>
      <c r="XAP211" s="124"/>
      <c r="XAQ211" s="145"/>
      <c r="XAR211" s="145"/>
      <c r="XAS211" s="146"/>
      <c r="XAT211" s="142"/>
      <c r="XAU211" s="143"/>
      <c r="XAV211" s="144"/>
      <c r="XAW211" s="124"/>
      <c r="XAX211" s="145"/>
      <c r="XAY211" s="145"/>
      <c r="XAZ211" s="146"/>
      <c r="XBA211" s="142"/>
      <c r="XBB211" s="143"/>
      <c r="XBC211" s="144"/>
      <c r="XBD211" s="124"/>
      <c r="XBE211" s="145"/>
      <c r="XBF211" s="145"/>
      <c r="XBG211" s="146"/>
      <c r="XBH211" s="142"/>
      <c r="XBI211" s="143"/>
      <c r="XBJ211" s="144"/>
      <c r="XBK211" s="124"/>
      <c r="XBL211" s="145"/>
      <c r="XBM211" s="145"/>
      <c r="XBN211" s="146"/>
      <c r="XBO211" s="142"/>
      <c r="XBP211" s="143"/>
      <c r="XBQ211" s="144"/>
      <c r="XBR211" s="124"/>
      <c r="XBS211" s="145"/>
      <c r="XBT211" s="145"/>
      <c r="XBU211" s="146"/>
      <c r="XBV211" s="142"/>
      <c r="XBW211" s="143"/>
      <c r="XBX211" s="144"/>
      <c r="XBY211" s="124"/>
      <c r="XBZ211" s="145"/>
      <c r="XCA211" s="145"/>
      <c r="XCB211" s="146"/>
      <c r="XCC211" s="142"/>
      <c r="XCD211" s="143"/>
      <c r="XCE211" s="144"/>
      <c r="XCF211" s="124"/>
      <c r="XCG211" s="145"/>
      <c r="XCH211" s="145"/>
      <c r="XCI211" s="146"/>
      <c r="XCJ211" s="142"/>
      <c r="XCK211" s="143"/>
      <c r="XCL211" s="144"/>
      <c r="XCM211" s="124"/>
      <c r="XCN211" s="145"/>
      <c r="XCO211" s="145"/>
      <c r="XCP211" s="146"/>
      <c r="XCQ211" s="142"/>
      <c r="XCR211" s="143"/>
      <c r="XCS211" s="144"/>
      <c r="XCT211" s="124"/>
      <c r="XCU211" s="145"/>
      <c r="XCV211" s="145"/>
      <c r="XCW211" s="146"/>
      <c r="XCX211" s="142"/>
      <c r="XCY211" s="143"/>
      <c r="XCZ211" s="144"/>
      <c r="XDA211" s="124"/>
      <c r="XDB211" s="145"/>
      <c r="XDC211" s="145"/>
      <c r="XDD211" s="146"/>
      <c r="XDE211" s="142"/>
      <c r="XDF211" s="143"/>
      <c r="XDG211" s="144"/>
      <c r="XDH211" s="124"/>
      <c r="XDI211" s="145"/>
      <c r="XDJ211" s="145"/>
      <c r="XDK211" s="146"/>
      <c r="XDL211" s="142"/>
      <c r="XDM211" s="143"/>
      <c r="XDN211" s="144"/>
      <c r="XDO211" s="124"/>
      <c r="XDP211" s="145"/>
      <c r="XDQ211" s="145"/>
      <c r="XDR211" s="146"/>
      <c r="XDS211" s="142"/>
      <c r="XDT211" s="143"/>
      <c r="XDU211" s="144"/>
      <c r="XDV211" s="124"/>
      <c r="XDW211" s="145"/>
      <c r="XDX211" s="145"/>
      <c r="XDY211" s="146"/>
      <c r="XDZ211" s="142"/>
      <c r="XEA211" s="143"/>
      <c r="XEB211" s="144"/>
      <c r="XEC211" s="124"/>
      <c r="XED211" s="145"/>
      <c r="XEE211" s="145"/>
      <c r="XEF211" s="146"/>
      <c r="XEG211" s="142"/>
      <c r="XEH211" s="143"/>
      <c r="XEI211" s="144"/>
      <c r="XEJ211" s="124"/>
      <c r="XEK211" s="145"/>
      <c r="XEL211" s="145"/>
      <c r="XEM211" s="146"/>
      <c r="XEN211" s="142"/>
      <c r="XEO211" s="143"/>
      <c r="XEP211" s="144"/>
      <c r="XEQ211" s="124"/>
      <c r="XER211" s="145"/>
      <c r="XES211" s="145"/>
      <c r="XET211" s="146"/>
      <c r="XEU211" s="142"/>
      <c r="XEV211" s="143"/>
      <c r="XEW211" s="144"/>
      <c r="XEX211" s="124"/>
      <c r="XEY211" s="145"/>
      <c r="XEZ211" s="145"/>
      <c r="XFA211" s="146"/>
      <c r="XFB211" s="142"/>
      <c r="XFC211" s="143"/>
      <c r="XFD211" s="144"/>
    </row>
    <row r="212" spans="1:16384" s="70" customFormat="1" hidden="1">
      <c r="A212" s="560" t="s">
        <v>626</v>
      </c>
      <c r="B212" s="114" t="s">
        <v>634</v>
      </c>
      <c r="C212" s="114"/>
      <c r="D212" s="119"/>
      <c r="E212" s="121">
        <v>150</v>
      </c>
      <c r="F212" s="125">
        <v>46300</v>
      </c>
      <c r="G212" s="350">
        <v>46300</v>
      </c>
      <c r="H212" s="125" t="s">
        <v>19</v>
      </c>
      <c r="I212" s="142"/>
      <c r="J212" s="567"/>
      <c r="K212" s="568"/>
      <c r="L212" s="124"/>
      <c r="M212" s="113"/>
      <c r="N212" s="145"/>
      <c r="O212" s="146"/>
      <c r="P212" s="142"/>
      <c r="Q212" s="143"/>
      <c r="R212" s="144"/>
      <c r="S212" s="124"/>
      <c r="T212" s="145"/>
      <c r="U212" s="145"/>
      <c r="V212" s="146"/>
      <c r="W212" s="142"/>
      <c r="X212" s="143"/>
      <c r="Y212" s="144"/>
      <c r="Z212" s="124"/>
      <c r="AA212" s="145"/>
      <c r="AB212" s="145"/>
      <c r="AC212" s="146"/>
      <c r="AD212" s="142"/>
      <c r="AE212" s="143"/>
      <c r="AF212" s="144"/>
      <c r="AG212" s="124"/>
      <c r="AH212" s="145"/>
      <c r="AI212" s="145"/>
      <c r="AJ212" s="146"/>
      <c r="AK212" s="142"/>
      <c r="AL212" s="143"/>
      <c r="AM212" s="144"/>
      <c r="AN212" s="124"/>
      <c r="AO212" s="145"/>
      <c r="AP212" s="145"/>
      <c r="AQ212" s="146"/>
      <c r="AR212" s="142"/>
      <c r="AS212" s="143"/>
      <c r="AT212" s="144"/>
      <c r="AU212" s="124"/>
      <c r="AV212" s="145"/>
      <c r="AW212" s="145"/>
      <c r="AX212" s="146"/>
      <c r="AY212" s="142"/>
      <c r="AZ212" s="143"/>
      <c r="BA212" s="144"/>
      <c r="BB212" s="124"/>
      <c r="BC212" s="145"/>
      <c r="BD212" s="145"/>
      <c r="BE212" s="146"/>
      <c r="BF212" s="142"/>
      <c r="BG212" s="143"/>
      <c r="BH212" s="144"/>
      <c r="BI212" s="124"/>
      <c r="BJ212" s="145"/>
      <c r="BK212" s="145"/>
      <c r="BL212" s="146"/>
      <c r="BM212" s="142"/>
      <c r="BN212" s="143"/>
      <c r="BO212" s="144"/>
      <c r="BP212" s="124"/>
      <c r="BQ212" s="145"/>
      <c r="BR212" s="145"/>
      <c r="BS212" s="146"/>
      <c r="BT212" s="142"/>
      <c r="BU212" s="143"/>
      <c r="BV212" s="144"/>
      <c r="BW212" s="124"/>
      <c r="BX212" s="145"/>
      <c r="BY212" s="145"/>
      <c r="BZ212" s="146"/>
      <c r="CA212" s="142"/>
      <c r="CB212" s="143"/>
      <c r="CC212" s="144"/>
      <c r="CD212" s="124"/>
      <c r="CE212" s="145"/>
      <c r="CF212" s="145"/>
      <c r="CG212" s="146"/>
      <c r="CH212" s="142"/>
      <c r="CI212" s="143"/>
      <c r="CJ212" s="144"/>
      <c r="CK212" s="124"/>
      <c r="CL212" s="145"/>
      <c r="CM212" s="145"/>
      <c r="CN212" s="146"/>
      <c r="CO212" s="142"/>
      <c r="CP212" s="143"/>
      <c r="CQ212" s="144"/>
      <c r="CR212" s="124"/>
      <c r="CS212" s="145"/>
      <c r="CT212" s="145"/>
      <c r="CU212" s="146"/>
      <c r="CV212" s="142"/>
      <c r="CW212" s="143"/>
      <c r="CX212" s="144"/>
      <c r="CY212" s="124"/>
      <c r="CZ212" s="145"/>
      <c r="DA212" s="145"/>
      <c r="DB212" s="146"/>
      <c r="DC212" s="142"/>
      <c r="DD212" s="143"/>
      <c r="DE212" s="144"/>
      <c r="DF212" s="124"/>
      <c r="DG212" s="145"/>
      <c r="DH212" s="145"/>
      <c r="DI212" s="146"/>
      <c r="DJ212" s="142"/>
      <c r="DK212" s="143"/>
      <c r="DL212" s="144"/>
      <c r="DM212" s="124"/>
      <c r="DN212" s="145"/>
      <c r="DO212" s="145"/>
      <c r="DP212" s="146"/>
      <c r="DQ212" s="142"/>
      <c r="DR212" s="143"/>
      <c r="DS212" s="144"/>
      <c r="DT212" s="124"/>
      <c r="DU212" s="145"/>
      <c r="DV212" s="145"/>
      <c r="DW212" s="146"/>
      <c r="DX212" s="142"/>
      <c r="DY212" s="143"/>
      <c r="DZ212" s="144"/>
      <c r="EA212" s="124"/>
      <c r="EB212" s="145"/>
      <c r="EC212" s="145"/>
      <c r="ED212" s="146"/>
      <c r="EE212" s="142"/>
      <c r="EF212" s="143"/>
      <c r="EG212" s="144"/>
      <c r="EH212" s="124"/>
      <c r="EI212" s="145"/>
      <c r="EJ212" s="145"/>
      <c r="EK212" s="146"/>
      <c r="EL212" s="142"/>
      <c r="EM212" s="143"/>
      <c r="EN212" s="144"/>
      <c r="EO212" s="124"/>
      <c r="EP212" s="145"/>
      <c r="EQ212" s="145"/>
      <c r="ER212" s="146"/>
      <c r="ES212" s="142"/>
      <c r="ET212" s="143"/>
      <c r="EU212" s="144"/>
      <c r="EV212" s="124"/>
      <c r="EW212" s="145"/>
      <c r="EX212" s="145"/>
      <c r="EY212" s="146"/>
      <c r="EZ212" s="142"/>
      <c r="FA212" s="143"/>
      <c r="FB212" s="144"/>
      <c r="FC212" s="124"/>
      <c r="FD212" s="145"/>
      <c r="FE212" s="145"/>
      <c r="FF212" s="146"/>
      <c r="FG212" s="142"/>
      <c r="FH212" s="143"/>
      <c r="FI212" s="144"/>
      <c r="FJ212" s="124"/>
      <c r="FK212" s="145"/>
      <c r="FL212" s="145"/>
      <c r="FM212" s="146"/>
      <c r="FN212" s="142"/>
      <c r="FO212" s="143"/>
      <c r="FP212" s="144"/>
      <c r="FQ212" s="124"/>
      <c r="FR212" s="145"/>
      <c r="FS212" s="145"/>
      <c r="FT212" s="146"/>
      <c r="FU212" s="142"/>
      <c r="FV212" s="143"/>
      <c r="FW212" s="144"/>
      <c r="FX212" s="124"/>
      <c r="FY212" s="145"/>
      <c r="FZ212" s="145"/>
      <c r="GA212" s="146"/>
      <c r="GB212" s="142"/>
      <c r="GC212" s="143"/>
      <c r="GD212" s="144"/>
      <c r="GE212" s="124"/>
      <c r="GF212" s="145"/>
      <c r="GG212" s="145"/>
      <c r="GH212" s="146"/>
      <c r="GI212" s="142"/>
      <c r="GJ212" s="143"/>
      <c r="GK212" s="144"/>
      <c r="GL212" s="124"/>
      <c r="GM212" s="145"/>
      <c r="GN212" s="145"/>
      <c r="GO212" s="146"/>
      <c r="GP212" s="142"/>
      <c r="GQ212" s="143"/>
      <c r="GR212" s="144"/>
      <c r="GS212" s="124"/>
      <c r="GT212" s="145"/>
      <c r="GU212" s="145"/>
      <c r="GV212" s="146"/>
      <c r="GW212" s="142"/>
      <c r="GX212" s="143"/>
      <c r="GY212" s="144"/>
      <c r="GZ212" s="124"/>
      <c r="HA212" s="145"/>
      <c r="HB212" s="145"/>
      <c r="HC212" s="146"/>
      <c r="HD212" s="142"/>
      <c r="HE212" s="143"/>
      <c r="HF212" s="144"/>
      <c r="HG212" s="124"/>
      <c r="HH212" s="145"/>
      <c r="HI212" s="145"/>
      <c r="HJ212" s="146"/>
      <c r="HK212" s="142"/>
      <c r="HL212" s="143"/>
      <c r="HM212" s="144"/>
      <c r="HN212" s="124"/>
      <c r="HO212" s="145"/>
      <c r="HP212" s="145"/>
      <c r="HQ212" s="146"/>
      <c r="HR212" s="142"/>
      <c r="HS212" s="143"/>
      <c r="HT212" s="144"/>
      <c r="HU212" s="124"/>
      <c r="HV212" s="145"/>
      <c r="HW212" s="145"/>
      <c r="HX212" s="146"/>
      <c r="HY212" s="142"/>
      <c r="HZ212" s="143"/>
      <c r="IA212" s="144"/>
      <c r="IB212" s="124"/>
      <c r="IC212" s="145"/>
      <c r="ID212" s="145"/>
      <c r="IE212" s="146"/>
      <c r="IF212" s="142"/>
      <c r="IG212" s="143"/>
      <c r="IH212" s="144"/>
      <c r="II212" s="124"/>
      <c r="IJ212" s="145"/>
      <c r="IK212" s="145"/>
      <c r="IL212" s="146"/>
      <c r="IM212" s="142"/>
      <c r="IN212" s="143"/>
      <c r="IO212" s="144"/>
      <c r="IP212" s="124"/>
      <c r="IQ212" s="145"/>
      <c r="IR212" s="145"/>
      <c r="IS212" s="146"/>
      <c r="IT212" s="142"/>
      <c r="IU212" s="143"/>
      <c r="IV212" s="144"/>
      <c r="IW212" s="124"/>
      <c r="IX212" s="145"/>
      <c r="IY212" s="145"/>
      <c r="IZ212" s="146"/>
      <c r="JA212" s="142"/>
      <c r="JB212" s="143"/>
      <c r="JC212" s="144"/>
      <c r="JD212" s="124"/>
      <c r="JE212" s="145"/>
      <c r="JF212" s="145"/>
      <c r="JG212" s="146"/>
      <c r="JH212" s="142"/>
      <c r="JI212" s="143"/>
      <c r="JJ212" s="144"/>
      <c r="JK212" s="124"/>
      <c r="JL212" s="145"/>
      <c r="JM212" s="145"/>
      <c r="JN212" s="146"/>
      <c r="JO212" s="142"/>
      <c r="JP212" s="143"/>
      <c r="JQ212" s="144"/>
      <c r="JR212" s="124"/>
      <c r="JS212" s="145"/>
      <c r="JT212" s="145"/>
      <c r="JU212" s="146"/>
      <c r="JV212" s="142"/>
      <c r="JW212" s="143"/>
      <c r="JX212" s="144"/>
      <c r="JY212" s="124"/>
      <c r="JZ212" s="145"/>
      <c r="KA212" s="145"/>
      <c r="KB212" s="146"/>
      <c r="KC212" s="142"/>
      <c r="KD212" s="143"/>
      <c r="KE212" s="144"/>
      <c r="KF212" s="124"/>
      <c r="KG212" s="145"/>
      <c r="KH212" s="145"/>
      <c r="KI212" s="146"/>
      <c r="KJ212" s="142"/>
      <c r="KK212" s="143"/>
      <c r="KL212" s="144"/>
      <c r="KM212" s="124"/>
      <c r="KN212" s="145"/>
      <c r="KO212" s="145"/>
      <c r="KP212" s="146"/>
      <c r="KQ212" s="142"/>
      <c r="KR212" s="143"/>
      <c r="KS212" s="144"/>
      <c r="KT212" s="124"/>
      <c r="KU212" s="145"/>
      <c r="KV212" s="145"/>
      <c r="KW212" s="146"/>
      <c r="KX212" s="142"/>
      <c r="KY212" s="143"/>
      <c r="KZ212" s="144"/>
      <c r="LA212" s="124"/>
      <c r="LB212" s="145"/>
      <c r="LC212" s="145"/>
      <c r="LD212" s="146"/>
      <c r="LE212" s="142"/>
      <c r="LF212" s="143"/>
      <c r="LG212" s="144"/>
      <c r="LH212" s="124"/>
      <c r="LI212" s="145"/>
      <c r="LJ212" s="145"/>
      <c r="LK212" s="146"/>
      <c r="LL212" s="142"/>
      <c r="LM212" s="143"/>
      <c r="LN212" s="144"/>
      <c r="LO212" s="124"/>
      <c r="LP212" s="145"/>
      <c r="LQ212" s="145"/>
      <c r="LR212" s="146"/>
      <c r="LS212" s="142"/>
      <c r="LT212" s="143"/>
      <c r="LU212" s="144"/>
      <c r="LV212" s="124"/>
      <c r="LW212" s="145"/>
      <c r="LX212" s="145"/>
      <c r="LY212" s="146"/>
      <c r="LZ212" s="142"/>
      <c r="MA212" s="143"/>
      <c r="MB212" s="144"/>
      <c r="MC212" s="124"/>
      <c r="MD212" s="145"/>
      <c r="ME212" s="145"/>
      <c r="MF212" s="146"/>
      <c r="MG212" s="142"/>
      <c r="MH212" s="143"/>
      <c r="MI212" s="144"/>
      <c r="MJ212" s="124"/>
      <c r="MK212" s="145"/>
      <c r="ML212" s="145"/>
      <c r="MM212" s="146"/>
      <c r="MN212" s="142"/>
      <c r="MO212" s="143"/>
      <c r="MP212" s="144"/>
      <c r="MQ212" s="124"/>
      <c r="MR212" s="145"/>
      <c r="MS212" s="145"/>
      <c r="MT212" s="146"/>
      <c r="MU212" s="142"/>
      <c r="MV212" s="143"/>
      <c r="MW212" s="144"/>
      <c r="MX212" s="124"/>
      <c r="MY212" s="145"/>
      <c r="MZ212" s="145"/>
      <c r="NA212" s="146"/>
      <c r="NB212" s="142"/>
      <c r="NC212" s="143"/>
      <c r="ND212" s="144"/>
      <c r="NE212" s="124"/>
      <c r="NF212" s="145"/>
      <c r="NG212" s="145"/>
      <c r="NH212" s="146"/>
      <c r="NI212" s="142"/>
      <c r="NJ212" s="143"/>
      <c r="NK212" s="144"/>
      <c r="NL212" s="124"/>
      <c r="NM212" s="145"/>
      <c r="NN212" s="145"/>
      <c r="NO212" s="146"/>
      <c r="NP212" s="142"/>
      <c r="NQ212" s="143"/>
      <c r="NR212" s="144"/>
      <c r="NS212" s="124"/>
      <c r="NT212" s="145"/>
      <c r="NU212" s="145"/>
      <c r="NV212" s="146"/>
      <c r="NW212" s="142"/>
      <c r="NX212" s="143"/>
      <c r="NY212" s="144"/>
      <c r="NZ212" s="124"/>
      <c r="OA212" s="145"/>
      <c r="OB212" s="145"/>
      <c r="OC212" s="146"/>
      <c r="OD212" s="142"/>
      <c r="OE212" s="143"/>
      <c r="OF212" s="144"/>
      <c r="OG212" s="124"/>
      <c r="OH212" s="145"/>
      <c r="OI212" s="145"/>
      <c r="OJ212" s="146"/>
      <c r="OK212" s="142"/>
      <c r="OL212" s="143"/>
      <c r="OM212" s="144"/>
      <c r="ON212" s="124"/>
      <c r="OO212" s="145"/>
      <c r="OP212" s="145"/>
      <c r="OQ212" s="146"/>
      <c r="OR212" s="142"/>
      <c r="OS212" s="143"/>
      <c r="OT212" s="144"/>
      <c r="OU212" s="124"/>
      <c r="OV212" s="145"/>
      <c r="OW212" s="145"/>
      <c r="OX212" s="146"/>
      <c r="OY212" s="142"/>
      <c r="OZ212" s="143"/>
      <c r="PA212" s="144"/>
      <c r="PB212" s="124"/>
      <c r="PC212" s="145"/>
      <c r="PD212" s="145"/>
      <c r="PE212" s="146"/>
      <c r="PF212" s="142"/>
      <c r="PG212" s="143"/>
      <c r="PH212" s="144"/>
      <c r="PI212" s="124"/>
      <c r="PJ212" s="145"/>
      <c r="PK212" s="145"/>
      <c r="PL212" s="146"/>
      <c r="PM212" s="142"/>
      <c r="PN212" s="143"/>
      <c r="PO212" s="144"/>
      <c r="PP212" s="124"/>
      <c r="PQ212" s="145"/>
      <c r="PR212" s="145"/>
      <c r="PS212" s="146"/>
      <c r="PT212" s="142"/>
      <c r="PU212" s="143"/>
      <c r="PV212" s="144"/>
      <c r="PW212" s="124"/>
      <c r="PX212" s="145"/>
      <c r="PY212" s="145"/>
      <c r="PZ212" s="146"/>
      <c r="QA212" s="142"/>
      <c r="QB212" s="143"/>
      <c r="QC212" s="144"/>
      <c r="QD212" s="124"/>
      <c r="QE212" s="145"/>
      <c r="QF212" s="145"/>
      <c r="QG212" s="146"/>
      <c r="QH212" s="142"/>
      <c r="QI212" s="143"/>
      <c r="QJ212" s="144"/>
      <c r="QK212" s="124"/>
      <c r="QL212" s="145"/>
      <c r="QM212" s="145"/>
      <c r="QN212" s="146"/>
      <c r="QO212" s="142"/>
      <c r="QP212" s="143"/>
      <c r="QQ212" s="144"/>
      <c r="QR212" s="124"/>
      <c r="QS212" s="145"/>
      <c r="QT212" s="145"/>
      <c r="QU212" s="146"/>
      <c r="QV212" s="142"/>
      <c r="QW212" s="143"/>
      <c r="QX212" s="144"/>
      <c r="QY212" s="124"/>
      <c r="QZ212" s="145"/>
      <c r="RA212" s="145"/>
      <c r="RB212" s="146"/>
      <c r="RC212" s="142"/>
      <c r="RD212" s="143"/>
      <c r="RE212" s="144"/>
      <c r="RF212" s="124"/>
      <c r="RG212" s="145"/>
      <c r="RH212" s="145"/>
      <c r="RI212" s="146"/>
      <c r="RJ212" s="142"/>
      <c r="RK212" s="143"/>
      <c r="RL212" s="144"/>
      <c r="RM212" s="124"/>
      <c r="RN212" s="145"/>
      <c r="RO212" s="145"/>
      <c r="RP212" s="146"/>
      <c r="RQ212" s="142"/>
      <c r="RR212" s="143"/>
      <c r="RS212" s="144"/>
      <c r="RT212" s="124"/>
      <c r="RU212" s="145"/>
      <c r="RV212" s="145"/>
      <c r="RW212" s="146"/>
      <c r="RX212" s="142"/>
      <c r="RY212" s="143"/>
      <c r="RZ212" s="144"/>
      <c r="SA212" s="124"/>
      <c r="SB212" s="145"/>
      <c r="SC212" s="145"/>
      <c r="SD212" s="146"/>
      <c r="SE212" s="142"/>
      <c r="SF212" s="143"/>
      <c r="SG212" s="144"/>
      <c r="SH212" s="124"/>
      <c r="SI212" s="145"/>
      <c r="SJ212" s="145"/>
      <c r="SK212" s="146"/>
      <c r="SL212" s="142"/>
      <c r="SM212" s="143"/>
      <c r="SN212" s="144"/>
      <c r="SO212" s="124"/>
      <c r="SP212" s="145"/>
      <c r="SQ212" s="145"/>
      <c r="SR212" s="146"/>
      <c r="SS212" s="142"/>
      <c r="ST212" s="143"/>
      <c r="SU212" s="144"/>
      <c r="SV212" s="124"/>
      <c r="SW212" s="145"/>
      <c r="SX212" s="145"/>
      <c r="SY212" s="146"/>
      <c r="SZ212" s="142"/>
      <c r="TA212" s="143"/>
      <c r="TB212" s="144"/>
      <c r="TC212" s="124"/>
      <c r="TD212" s="145"/>
      <c r="TE212" s="145"/>
      <c r="TF212" s="146"/>
      <c r="TG212" s="142"/>
      <c r="TH212" s="143"/>
      <c r="TI212" s="144"/>
      <c r="TJ212" s="124"/>
      <c r="TK212" s="145"/>
      <c r="TL212" s="145"/>
      <c r="TM212" s="146"/>
      <c r="TN212" s="142"/>
      <c r="TO212" s="143"/>
      <c r="TP212" s="144"/>
      <c r="TQ212" s="124"/>
      <c r="TR212" s="145"/>
      <c r="TS212" s="145"/>
      <c r="TT212" s="146"/>
      <c r="TU212" s="142"/>
      <c r="TV212" s="143"/>
      <c r="TW212" s="144"/>
      <c r="TX212" s="124"/>
      <c r="TY212" s="145"/>
      <c r="TZ212" s="145"/>
      <c r="UA212" s="146"/>
      <c r="UB212" s="142"/>
      <c r="UC212" s="143"/>
      <c r="UD212" s="144"/>
      <c r="UE212" s="124"/>
      <c r="UF212" s="145"/>
      <c r="UG212" s="145"/>
      <c r="UH212" s="146"/>
      <c r="UI212" s="142"/>
      <c r="UJ212" s="143"/>
      <c r="UK212" s="144"/>
      <c r="UL212" s="124"/>
      <c r="UM212" s="145"/>
      <c r="UN212" s="145"/>
      <c r="UO212" s="146"/>
      <c r="UP212" s="142"/>
      <c r="UQ212" s="143"/>
      <c r="UR212" s="144"/>
      <c r="US212" s="124"/>
      <c r="UT212" s="145"/>
      <c r="UU212" s="145"/>
      <c r="UV212" s="146"/>
      <c r="UW212" s="142"/>
      <c r="UX212" s="143"/>
      <c r="UY212" s="144"/>
      <c r="UZ212" s="124"/>
      <c r="VA212" s="145"/>
      <c r="VB212" s="145"/>
      <c r="VC212" s="146"/>
      <c r="VD212" s="142"/>
      <c r="VE212" s="143"/>
      <c r="VF212" s="144"/>
      <c r="VG212" s="124"/>
      <c r="VH212" s="145"/>
      <c r="VI212" s="145"/>
      <c r="VJ212" s="146"/>
      <c r="VK212" s="142"/>
      <c r="VL212" s="143"/>
      <c r="VM212" s="144"/>
      <c r="VN212" s="124"/>
      <c r="VO212" s="145"/>
      <c r="VP212" s="145"/>
      <c r="VQ212" s="146"/>
      <c r="VR212" s="142"/>
      <c r="VS212" s="143"/>
      <c r="VT212" s="144"/>
      <c r="VU212" s="124"/>
      <c r="VV212" s="145"/>
      <c r="VW212" s="145"/>
      <c r="VX212" s="146"/>
      <c r="VY212" s="142"/>
      <c r="VZ212" s="143"/>
      <c r="WA212" s="144"/>
      <c r="WB212" s="124"/>
      <c r="WC212" s="145"/>
      <c r="WD212" s="145"/>
      <c r="WE212" s="146"/>
      <c r="WF212" s="142"/>
      <c r="WG212" s="143"/>
      <c r="WH212" s="144"/>
      <c r="WI212" s="124"/>
      <c r="WJ212" s="145"/>
      <c r="WK212" s="145"/>
      <c r="WL212" s="146"/>
      <c r="WM212" s="142"/>
      <c r="WN212" s="143"/>
      <c r="WO212" s="144"/>
      <c r="WP212" s="124"/>
      <c r="WQ212" s="145"/>
      <c r="WR212" s="145"/>
      <c r="WS212" s="146"/>
      <c r="WT212" s="142"/>
      <c r="WU212" s="143"/>
      <c r="WV212" s="144"/>
      <c r="WW212" s="124"/>
      <c r="WX212" s="145"/>
      <c r="WY212" s="145"/>
      <c r="WZ212" s="146"/>
      <c r="XA212" s="142"/>
      <c r="XB212" s="143"/>
      <c r="XC212" s="144"/>
      <c r="XD212" s="124"/>
      <c r="XE212" s="145"/>
      <c r="XF212" s="145"/>
      <c r="XG212" s="146"/>
      <c r="XH212" s="142"/>
      <c r="XI212" s="143"/>
      <c r="XJ212" s="144"/>
      <c r="XK212" s="124"/>
      <c r="XL212" s="145"/>
      <c r="XM212" s="145"/>
      <c r="XN212" s="146"/>
      <c r="XO212" s="142"/>
      <c r="XP212" s="143"/>
      <c r="XQ212" s="144"/>
      <c r="XR212" s="124"/>
      <c r="XS212" s="145"/>
      <c r="XT212" s="145"/>
      <c r="XU212" s="146"/>
      <c r="XV212" s="142"/>
      <c r="XW212" s="143"/>
      <c r="XX212" s="144"/>
      <c r="XY212" s="124"/>
      <c r="XZ212" s="145"/>
      <c r="YA212" s="145"/>
      <c r="YB212" s="146"/>
      <c r="YC212" s="142"/>
      <c r="YD212" s="143"/>
      <c r="YE212" s="144"/>
      <c r="YF212" s="124"/>
      <c r="YG212" s="145"/>
      <c r="YH212" s="145"/>
      <c r="YI212" s="146"/>
      <c r="YJ212" s="142"/>
      <c r="YK212" s="143"/>
      <c r="YL212" s="144"/>
      <c r="YM212" s="124"/>
      <c r="YN212" s="145"/>
      <c r="YO212" s="145"/>
      <c r="YP212" s="146"/>
      <c r="YQ212" s="142"/>
      <c r="YR212" s="143"/>
      <c r="YS212" s="144"/>
      <c r="YT212" s="124"/>
      <c r="YU212" s="145"/>
      <c r="YV212" s="145"/>
      <c r="YW212" s="146"/>
      <c r="YX212" s="142"/>
      <c r="YY212" s="143"/>
      <c r="YZ212" s="144"/>
      <c r="ZA212" s="124"/>
      <c r="ZB212" s="145"/>
      <c r="ZC212" s="145"/>
      <c r="ZD212" s="146"/>
      <c r="ZE212" s="142"/>
      <c r="ZF212" s="143"/>
      <c r="ZG212" s="144"/>
      <c r="ZH212" s="124"/>
      <c r="ZI212" s="145"/>
      <c r="ZJ212" s="145"/>
      <c r="ZK212" s="146"/>
      <c r="ZL212" s="142"/>
      <c r="ZM212" s="143"/>
      <c r="ZN212" s="144"/>
      <c r="ZO212" s="124"/>
      <c r="ZP212" s="145"/>
      <c r="ZQ212" s="145"/>
      <c r="ZR212" s="146"/>
      <c r="ZS212" s="142"/>
      <c r="ZT212" s="143"/>
      <c r="ZU212" s="144"/>
      <c r="ZV212" s="124"/>
      <c r="ZW212" s="145"/>
      <c r="ZX212" s="145"/>
      <c r="ZY212" s="146"/>
      <c r="ZZ212" s="142"/>
      <c r="AAA212" s="143"/>
      <c r="AAB212" s="144"/>
      <c r="AAC212" s="124"/>
      <c r="AAD212" s="145"/>
      <c r="AAE212" s="145"/>
      <c r="AAF212" s="146"/>
      <c r="AAG212" s="142"/>
      <c r="AAH212" s="143"/>
      <c r="AAI212" s="144"/>
      <c r="AAJ212" s="124"/>
      <c r="AAK212" s="145"/>
      <c r="AAL212" s="145"/>
      <c r="AAM212" s="146"/>
      <c r="AAN212" s="142"/>
      <c r="AAO212" s="143"/>
      <c r="AAP212" s="144"/>
      <c r="AAQ212" s="124"/>
      <c r="AAR212" s="145"/>
      <c r="AAS212" s="145"/>
      <c r="AAT212" s="146"/>
      <c r="AAU212" s="142"/>
      <c r="AAV212" s="143"/>
      <c r="AAW212" s="144"/>
      <c r="AAX212" s="124"/>
      <c r="AAY212" s="145"/>
      <c r="AAZ212" s="145"/>
      <c r="ABA212" s="146"/>
      <c r="ABB212" s="142"/>
      <c r="ABC212" s="143"/>
      <c r="ABD212" s="144"/>
      <c r="ABE212" s="124"/>
      <c r="ABF212" s="145"/>
      <c r="ABG212" s="145"/>
      <c r="ABH212" s="146"/>
      <c r="ABI212" s="142"/>
      <c r="ABJ212" s="143"/>
      <c r="ABK212" s="144"/>
      <c r="ABL212" s="124"/>
      <c r="ABM212" s="145"/>
      <c r="ABN212" s="145"/>
      <c r="ABO212" s="146"/>
      <c r="ABP212" s="142"/>
      <c r="ABQ212" s="143"/>
      <c r="ABR212" s="144"/>
      <c r="ABS212" s="124"/>
      <c r="ABT212" s="145"/>
      <c r="ABU212" s="145"/>
      <c r="ABV212" s="146"/>
      <c r="ABW212" s="142"/>
      <c r="ABX212" s="143"/>
      <c r="ABY212" s="144"/>
      <c r="ABZ212" s="124"/>
      <c r="ACA212" s="145"/>
      <c r="ACB212" s="145"/>
      <c r="ACC212" s="146"/>
      <c r="ACD212" s="142"/>
      <c r="ACE212" s="143"/>
      <c r="ACF212" s="144"/>
      <c r="ACG212" s="124"/>
      <c r="ACH212" s="145"/>
      <c r="ACI212" s="145"/>
      <c r="ACJ212" s="146"/>
      <c r="ACK212" s="142"/>
      <c r="ACL212" s="143"/>
      <c r="ACM212" s="144"/>
      <c r="ACN212" s="124"/>
      <c r="ACO212" s="145"/>
      <c r="ACP212" s="145"/>
      <c r="ACQ212" s="146"/>
      <c r="ACR212" s="142"/>
      <c r="ACS212" s="143"/>
      <c r="ACT212" s="144"/>
      <c r="ACU212" s="124"/>
      <c r="ACV212" s="145"/>
      <c r="ACW212" s="145"/>
      <c r="ACX212" s="146"/>
      <c r="ACY212" s="142"/>
      <c r="ACZ212" s="143"/>
      <c r="ADA212" s="144"/>
      <c r="ADB212" s="124"/>
      <c r="ADC212" s="145"/>
      <c r="ADD212" s="145"/>
      <c r="ADE212" s="146"/>
      <c r="ADF212" s="142"/>
      <c r="ADG212" s="143"/>
      <c r="ADH212" s="144"/>
      <c r="ADI212" s="124"/>
      <c r="ADJ212" s="145"/>
      <c r="ADK212" s="145"/>
      <c r="ADL212" s="146"/>
      <c r="ADM212" s="142"/>
      <c r="ADN212" s="143"/>
      <c r="ADO212" s="144"/>
      <c r="ADP212" s="124"/>
      <c r="ADQ212" s="145"/>
      <c r="ADR212" s="145"/>
      <c r="ADS212" s="146"/>
      <c r="ADT212" s="142"/>
      <c r="ADU212" s="143"/>
      <c r="ADV212" s="144"/>
      <c r="ADW212" s="124"/>
      <c r="ADX212" s="145"/>
      <c r="ADY212" s="145"/>
      <c r="ADZ212" s="146"/>
      <c r="AEA212" s="142"/>
      <c r="AEB212" s="143"/>
      <c r="AEC212" s="144"/>
      <c r="AED212" s="124"/>
      <c r="AEE212" s="145"/>
      <c r="AEF212" s="145"/>
      <c r="AEG212" s="146"/>
      <c r="AEH212" s="142"/>
      <c r="AEI212" s="143"/>
      <c r="AEJ212" s="144"/>
      <c r="AEK212" s="124"/>
      <c r="AEL212" s="145"/>
      <c r="AEM212" s="145"/>
      <c r="AEN212" s="146"/>
      <c r="AEO212" s="142"/>
      <c r="AEP212" s="143"/>
      <c r="AEQ212" s="144"/>
      <c r="AER212" s="124"/>
      <c r="AES212" s="145"/>
      <c r="AET212" s="145"/>
      <c r="AEU212" s="146"/>
      <c r="AEV212" s="142"/>
      <c r="AEW212" s="143"/>
      <c r="AEX212" s="144"/>
      <c r="AEY212" s="124"/>
      <c r="AEZ212" s="145"/>
      <c r="AFA212" s="145"/>
      <c r="AFB212" s="146"/>
      <c r="AFC212" s="142"/>
      <c r="AFD212" s="143"/>
      <c r="AFE212" s="144"/>
      <c r="AFF212" s="124"/>
      <c r="AFG212" s="145"/>
      <c r="AFH212" s="145"/>
      <c r="AFI212" s="146"/>
      <c r="AFJ212" s="142"/>
      <c r="AFK212" s="143"/>
      <c r="AFL212" s="144"/>
      <c r="AFM212" s="124"/>
      <c r="AFN212" s="145"/>
      <c r="AFO212" s="145"/>
      <c r="AFP212" s="146"/>
      <c r="AFQ212" s="142"/>
      <c r="AFR212" s="143"/>
      <c r="AFS212" s="144"/>
      <c r="AFT212" s="124"/>
      <c r="AFU212" s="145"/>
      <c r="AFV212" s="145"/>
      <c r="AFW212" s="146"/>
      <c r="AFX212" s="142"/>
      <c r="AFY212" s="143"/>
      <c r="AFZ212" s="144"/>
      <c r="AGA212" s="124"/>
      <c r="AGB212" s="145"/>
      <c r="AGC212" s="145"/>
      <c r="AGD212" s="146"/>
      <c r="AGE212" s="142"/>
      <c r="AGF212" s="143"/>
      <c r="AGG212" s="144"/>
      <c r="AGH212" s="124"/>
      <c r="AGI212" s="145"/>
      <c r="AGJ212" s="145"/>
      <c r="AGK212" s="146"/>
      <c r="AGL212" s="142"/>
      <c r="AGM212" s="143"/>
      <c r="AGN212" s="144"/>
      <c r="AGO212" s="124"/>
      <c r="AGP212" s="145"/>
      <c r="AGQ212" s="145"/>
      <c r="AGR212" s="146"/>
      <c r="AGS212" s="142"/>
      <c r="AGT212" s="143"/>
      <c r="AGU212" s="144"/>
      <c r="AGV212" s="124"/>
      <c r="AGW212" s="145"/>
      <c r="AGX212" s="145"/>
      <c r="AGY212" s="146"/>
      <c r="AGZ212" s="142"/>
      <c r="AHA212" s="143"/>
      <c r="AHB212" s="144"/>
      <c r="AHC212" s="124"/>
      <c r="AHD212" s="145"/>
      <c r="AHE212" s="145"/>
      <c r="AHF212" s="146"/>
      <c r="AHG212" s="142"/>
      <c r="AHH212" s="143"/>
      <c r="AHI212" s="144"/>
      <c r="AHJ212" s="124"/>
      <c r="AHK212" s="145"/>
      <c r="AHL212" s="145"/>
      <c r="AHM212" s="146"/>
      <c r="AHN212" s="142"/>
      <c r="AHO212" s="143"/>
      <c r="AHP212" s="144"/>
      <c r="AHQ212" s="124"/>
      <c r="AHR212" s="145"/>
      <c r="AHS212" s="145"/>
      <c r="AHT212" s="146"/>
      <c r="AHU212" s="142"/>
      <c r="AHV212" s="143"/>
      <c r="AHW212" s="144"/>
      <c r="AHX212" s="124"/>
      <c r="AHY212" s="145"/>
      <c r="AHZ212" s="145"/>
      <c r="AIA212" s="146"/>
      <c r="AIB212" s="142"/>
      <c r="AIC212" s="143"/>
      <c r="AID212" s="144"/>
      <c r="AIE212" s="124"/>
      <c r="AIF212" s="145"/>
      <c r="AIG212" s="145"/>
      <c r="AIH212" s="146"/>
      <c r="AII212" s="142"/>
      <c r="AIJ212" s="143"/>
      <c r="AIK212" s="144"/>
      <c r="AIL212" s="124"/>
      <c r="AIM212" s="145"/>
      <c r="AIN212" s="145"/>
      <c r="AIO212" s="146"/>
      <c r="AIP212" s="142"/>
      <c r="AIQ212" s="143"/>
      <c r="AIR212" s="144"/>
      <c r="AIS212" s="124"/>
      <c r="AIT212" s="145"/>
      <c r="AIU212" s="145"/>
      <c r="AIV212" s="146"/>
      <c r="AIW212" s="142"/>
      <c r="AIX212" s="143"/>
      <c r="AIY212" s="144"/>
      <c r="AIZ212" s="124"/>
      <c r="AJA212" s="145"/>
      <c r="AJB212" s="145"/>
      <c r="AJC212" s="146"/>
      <c r="AJD212" s="142"/>
      <c r="AJE212" s="143"/>
      <c r="AJF212" s="144"/>
      <c r="AJG212" s="124"/>
      <c r="AJH212" s="145"/>
      <c r="AJI212" s="145"/>
      <c r="AJJ212" s="146"/>
      <c r="AJK212" s="142"/>
      <c r="AJL212" s="143"/>
      <c r="AJM212" s="144"/>
      <c r="AJN212" s="124"/>
      <c r="AJO212" s="145"/>
      <c r="AJP212" s="145"/>
      <c r="AJQ212" s="146"/>
      <c r="AJR212" s="142"/>
      <c r="AJS212" s="143"/>
      <c r="AJT212" s="144"/>
      <c r="AJU212" s="124"/>
      <c r="AJV212" s="145"/>
      <c r="AJW212" s="145"/>
      <c r="AJX212" s="146"/>
      <c r="AJY212" s="142"/>
      <c r="AJZ212" s="143"/>
      <c r="AKA212" s="144"/>
      <c r="AKB212" s="124"/>
      <c r="AKC212" s="145"/>
      <c r="AKD212" s="145"/>
      <c r="AKE212" s="146"/>
      <c r="AKF212" s="142"/>
      <c r="AKG212" s="143"/>
      <c r="AKH212" s="144"/>
      <c r="AKI212" s="124"/>
      <c r="AKJ212" s="145"/>
      <c r="AKK212" s="145"/>
      <c r="AKL212" s="146"/>
      <c r="AKM212" s="142"/>
      <c r="AKN212" s="143"/>
      <c r="AKO212" s="144"/>
      <c r="AKP212" s="124"/>
      <c r="AKQ212" s="145"/>
      <c r="AKR212" s="145"/>
      <c r="AKS212" s="146"/>
      <c r="AKT212" s="142"/>
      <c r="AKU212" s="143"/>
      <c r="AKV212" s="144"/>
      <c r="AKW212" s="124"/>
      <c r="AKX212" s="145"/>
      <c r="AKY212" s="145"/>
      <c r="AKZ212" s="146"/>
      <c r="ALA212" s="142"/>
      <c r="ALB212" s="143"/>
      <c r="ALC212" s="144"/>
      <c r="ALD212" s="124"/>
      <c r="ALE212" s="145"/>
      <c r="ALF212" s="145"/>
      <c r="ALG212" s="146"/>
      <c r="ALH212" s="142"/>
      <c r="ALI212" s="143"/>
      <c r="ALJ212" s="144"/>
      <c r="ALK212" s="124"/>
      <c r="ALL212" s="145"/>
      <c r="ALM212" s="145"/>
      <c r="ALN212" s="146"/>
      <c r="ALO212" s="142"/>
      <c r="ALP212" s="143"/>
      <c r="ALQ212" s="144"/>
      <c r="ALR212" s="124"/>
      <c r="ALS212" s="145"/>
      <c r="ALT212" s="145"/>
      <c r="ALU212" s="146"/>
      <c r="ALV212" s="142"/>
      <c r="ALW212" s="143"/>
      <c r="ALX212" s="144"/>
      <c r="ALY212" s="124"/>
      <c r="ALZ212" s="145"/>
      <c r="AMA212" s="145"/>
      <c r="AMB212" s="146"/>
      <c r="AMC212" s="142"/>
      <c r="AMD212" s="143"/>
      <c r="AME212" s="144"/>
      <c r="AMF212" s="124"/>
      <c r="AMG212" s="145"/>
      <c r="AMH212" s="145"/>
      <c r="AMI212" s="146"/>
      <c r="AMJ212" s="142"/>
      <c r="AMK212" s="143"/>
      <c r="AML212" s="144"/>
      <c r="AMM212" s="124"/>
      <c r="AMN212" s="145"/>
      <c r="AMO212" s="145"/>
      <c r="AMP212" s="146"/>
      <c r="AMQ212" s="142"/>
      <c r="AMR212" s="143"/>
      <c r="AMS212" s="144"/>
      <c r="AMT212" s="124"/>
      <c r="AMU212" s="145"/>
      <c r="AMV212" s="145"/>
      <c r="AMW212" s="146"/>
      <c r="AMX212" s="142"/>
      <c r="AMY212" s="143"/>
      <c r="AMZ212" s="144"/>
      <c r="ANA212" s="124"/>
      <c r="ANB212" s="145"/>
      <c r="ANC212" s="145"/>
      <c r="AND212" s="146"/>
      <c r="ANE212" s="142"/>
      <c r="ANF212" s="143"/>
      <c r="ANG212" s="144"/>
      <c r="ANH212" s="124"/>
      <c r="ANI212" s="145"/>
      <c r="ANJ212" s="145"/>
      <c r="ANK212" s="146"/>
      <c r="ANL212" s="142"/>
      <c r="ANM212" s="143"/>
      <c r="ANN212" s="144"/>
      <c r="ANO212" s="124"/>
      <c r="ANP212" s="145"/>
      <c r="ANQ212" s="145"/>
      <c r="ANR212" s="146"/>
      <c r="ANS212" s="142"/>
      <c r="ANT212" s="143"/>
      <c r="ANU212" s="144"/>
      <c r="ANV212" s="124"/>
      <c r="ANW212" s="145"/>
      <c r="ANX212" s="145"/>
      <c r="ANY212" s="146"/>
      <c r="ANZ212" s="142"/>
      <c r="AOA212" s="143"/>
      <c r="AOB212" s="144"/>
      <c r="AOC212" s="124"/>
      <c r="AOD212" s="145"/>
      <c r="AOE212" s="145"/>
      <c r="AOF212" s="146"/>
      <c r="AOG212" s="142"/>
      <c r="AOH212" s="143"/>
      <c r="AOI212" s="144"/>
      <c r="AOJ212" s="124"/>
      <c r="AOK212" s="145"/>
      <c r="AOL212" s="145"/>
      <c r="AOM212" s="146"/>
      <c r="AON212" s="142"/>
      <c r="AOO212" s="143"/>
      <c r="AOP212" s="144"/>
      <c r="AOQ212" s="124"/>
      <c r="AOR212" s="145"/>
      <c r="AOS212" s="145"/>
      <c r="AOT212" s="146"/>
      <c r="AOU212" s="142"/>
      <c r="AOV212" s="143"/>
      <c r="AOW212" s="144"/>
      <c r="AOX212" s="124"/>
      <c r="AOY212" s="145"/>
      <c r="AOZ212" s="145"/>
      <c r="APA212" s="146"/>
      <c r="APB212" s="142"/>
      <c r="APC212" s="143"/>
      <c r="APD212" s="144"/>
      <c r="APE212" s="124"/>
      <c r="APF212" s="145"/>
      <c r="APG212" s="145"/>
      <c r="APH212" s="146"/>
      <c r="API212" s="142"/>
      <c r="APJ212" s="143"/>
      <c r="APK212" s="144"/>
      <c r="APL212" s="124"/>
      <c r="APM212" s="145"/>
      <c r="APN212" s="145"/>
      <c r="APO212" s="146"/>
      <c r="APP212" s="142"/>
      <c r="APQ212" s="143"/>
      <c r="APR212" s="144"/>
      <c r="APS212" s="124"/>
      <c r="APT212" s="145"/>
      <c r="APU212" s="145"/>
      <c r="APV212" s="146"/>
      <c r="APW212" s="142"/>
      <c r="APX212" s="143"/>
      <c r="APY212" s="144"/>
      <c r="APZ212" s="124"/>
      <c r="AQA212" s="145"/>
      <c r="AQB212" s="145"/>
      <c r="AQC212" s="146"/>
      <c r="AQD212" s="142"/>
      <c r="AQE212" s="143"/>
      <c r="AQF212" s="144"/>
      <c r="AQG212" s="124"/>
      <c r="AQH212" s="145"/>
      <c r="AQI212" s="145"/>
      <c r="AQJ212" s="146"/>
      <c r="AQK212" s="142"/>
      <c r="AQL212" s="143"/>
      <c r="AQM212" s="144"/>
      <c r="AQN212" s="124"/>
      <c r="AQO212" s="145"/>
      <c r="AQP212" s="145"/>
      <c r="AQQ212" s="146"/>
      <c r="AQR212" s="142"/>
      <c r="AQS212" s="143"/>
      <c r="AQT212" s="144"/>
      <c r="AQU212" s="124"/>
      <c r="AQV212" s="145"/>
      <c r="AQW212" s="145"/>
      <c r="AQX212" s="146"/>
      <c r="AQY212" s="142"/>
      <c r="AQZ212" s="143"/>
      <c r="ARA212" s="144"/>
      <c r="ARB212" s="124"/>
      <c r="ARC212" s="145"/>
      <c r="ARD212" s="145"/>
      <c r="ARE212" s="146"/>
      <c r="ARF212" s="142"/>
      <c r="ARG212" s="143"/>
      <c r="ARH212" s="144"/>
      <c r="ARI212" s="124"/>
      <c r="ARJ212" s="145"/>
      <c r="ARK212" s="145"/>
      <c r="ARL212" s="146"/>
      <c r="ARM212" s="142"/>
      <c r="ARN212" s="143"/>
      <c r="ARO212" s="144"/>
      <c r="ARP212" s="124"/>
      <c r="ARQ212" s="145"/>
      <c r="ARR212" s="145"/>
      <c r="ARS212" s="146"/>
      <c r="ART212" s="142"/>
      <c r="ARU212" s="143"/>
      <c r="ARV212" s="144"/>
      <c r="ARW212" s="124"/>
      <c r="ARX212" s="145"/>
      <c r="ARY212" s="145"/>
      <c r="ARZ212" s="146"/>
      <c r="ASA212" s="142"/>
      <c r="ASB212" s="143"/>
      <c r="ASC212" s="144"/>
      <c r="ASD212" s="124"/>
      <c r="ASE212" s="145"/>
      <c r="ASF212" s="145"/>
      <c r="ASG212" s="146"/>
      <c r="ASH212" s="142"/>
      <c r="ASI212" s="143"/>
      <c r="ASJ212" s="144"/>
      <c r="ASK212" s="124"/>
      <c r="ASL212" s="145"/>
      <c r="ASM212" s="145"/>
      <c r="ASN212" s="146"/>
      <c r="ASO212" s="142"/>
      <c r="ASP212" s="143"/>
      <c r="ASQ212" s="144"/>
      <c r="ASR212" s="124"/>
      <c r="ASS212" s="145"/>
      <c r="AST212" s="145"/>
      <c r="ASU212" s="146"/>
      <c r="ASV212" s="142"/>
      <c r="ASW212" s="143"/>
      <c r="ASX212" s="144"/>
      <c r="ASY212" s="124"/>
      <c r="ASZ212" s="145"/>
      <c r="ATA212" s="145"/>
      <c r="ATB212" s="146"/>
      <c r="ATC212" s="142"/>
      <c r="ATD212" s="143"/>
      <c r="ATE212" s="144"/>
      <c r="ATF212" s="124"/>
      <c r="ATG212" s="145"/>
      <c r="ATH212" s="145"/>
      <c r="ATI212" s="146"/>
      <c r="ATJ212" s="142"/>
      <c r="ATK212" s="143"/>
      <c r="ATL212" s="144"/>
      <c r="ATM212" s="124"/>
      <c r="ATN212" s="145"/>
      <c r="ATO212" s="145"/>
      <c r="ATP212" s="146"/>
      <c r="ATQ212" s="142"/>
      <c r="ATR212" s="143"/>
      <c r="ATS212" s="144"/>
      <c r="ATT212" s="124"/>
      <c r="ATU212" s="145"/>
      <c r="ATV212" s="145"/>
      <c r="ATW212" s="146"/>
      <c r="ATX212" s="142"/>
      <c r="ATY212" s="143"/>
      <c r="ATZ212" s="144"/>
      <c r="AUA212" s="124"/>
      <c r="AUB212" s="145"/>
      <c r="AUC212" s="145"/>
      <c r="AUD212" s="146"/>
      <c r="AUE212" s="142"/>
      <c r="AUF212" s="143"/>
      <c r="AUG212" s="144"/>
      <c r="AUH212" s="124"/>
      <c r="AUI212" s="145"/>
      <c r="AUJ212" s="145"/>
      <c r="AUK212" s="146"/>
      <c r="AUL212" s="142"/>
      <c r="AUM212" s="143"/>
      <c r="AUN212" s="144"/>
      <c r="AUO212" s="124"/>
      <c r="AUP212" s="145"/>
      <c r="AUQ212" s="145"/>
      <c r="AUR212" s="146"/>
      <c r="AUS212" s="142"/>
      <c r="AUT212" s="143"/>
      <c r="AUU212" s="144"/>
      <c r="AUV212" s="124"/>
      <c r="AUW212" s="145"/>
      <c r="AUX212" s="145"/>
      <c r="AUY212" s="146"/>
      <c r="AUZ212" s="142"/>
      <c r="AVA212" s="143"/>
      <c r="AVB212" s="144"/>
      <c r="AVC212" s="124"/>
      <c r="AVD212" s="145"/>
      <c r="AVE212" s="145"/>
      <c r="AVF212" s="146"/>
      <c r="AVG212" s="142"/>
      <c r="AVH212" s="143"/>
      <c r="AVI212" s="144"/>
      <c r="AVJ212" s="124"/>
      <c r="AVK212" s="145"/>
      <c r="AVL212" s="145"/>
      <c r="AVM212" s="146"/>
      <c r="AVN212" s="142"/>
      <c r="AVO212" s="143"/>
      <c r="AVP212" s="144"/>
      <c r="AVQ212" s="124"/>
      <c r="AVR212" s="145"/>
      <c r="AVS212" s="145"/>
      <c r="AVT212" s="146"/>
      <c r="AVU212" s="142"/>
      <c r="AVV212" s="143"/>
      <c r="AVW212" s="144"/>
      <c r="AVX212" s="124"/>
      <c r="AVY212" s="145"/>
      <c r="AVZ212" s="145"/>
      <c r="AWA212" s="146"/>
      <c r="AWB212" s="142"/>
      <c r="AWC212" s="143"/>
      <c r="AWD212" s="144"/>
      <c r="AWE212" s="124"/>
      <c r="AWF212" s="145"/>
      <c r="AWG212" s="145"/>
      <c r="AWH212" s="146"/>
      <c r="AWI212" s="142"/>
      <c r="AWJ212" s="143"/>
      <c r="AWK212" s="144"/>
      <c r="AWL212" s="124"/>
      <c r="AWM212" s="145"/>
      <c r="AWN212" s="145"/>
      <c r="AWO212" s="146"/>
      <c r="AWP212" s="142"/>
      <c r="AWQ212" s="143"/>
      <c r="AWR212" s="144"/>
      <c r="AWS212" s="124"/>
      <c r="AWT212" s="145"/>
      <c r="AWU212" s="145"/>
      <c r="AWV212" s="146"/>
      <c r="AWW212" s="142"/>
      <c r="AWX212" s="143"/>
      <c r="AWY212" s="144"/>
      <c r="AWZ212" s="124"/>
      <c r="AXA212" s="145"/>
      <c r="AXB212" s="145"/>
      <c r="AXC212" s="146"/>
      <c r="AXD212" s="142"/>
      <c r="AXE212" s="143"/>
      <c r="AXF212" s="144"/>
      <c r="AXG212" s="124"/>
      <c r="AXH212" s="145"/>
      <c r="AXI212" s="145"/>
      <c r="AXJ212" s="146"/>
      <c r="AXK212" s="142"/>
      <c r="AXL212" s="143"/>
      <c r="AXM212" s="144"/>
      <c r="AXN212" s="124"/>
      <c r="AXO212" s="145"/>
      <c r="AXP212" s="145"/>
      <c r="AXQ212" s="146"/>
      <c r="AXR212" s="142"/>
      <c r="AXS212" s="143"/>
      <c r="AXT212" s="144"/>
      <c r="AXU212" s="124"/>
      <c r="AXV212" s="145"/>
      <c r="AXW212" s="145"/>
      <c r="AXX212" s="146"/>
      <c r="AXY212" s="142"/>
      <c r="AXZ212" s="143"/>
      <c r="AYA212" s="144"/>
      <c r="AYB212" s="124"/>
      <c r="AYC212" s="145"/>
      <c r="AYD212" s="145"/>
      <c r="AYE212" s="146"/>
      <c r="AYF212" s="142"/>
      <c r="AYG212" s="143"/>
      <c r="AYH212" s="144"/>
      <c r="AYI212" s="124"/>
      <c r="AYJ212" s="145"/>
      <c r="AYK212" s="145"/>
      <c r="AYL212" s="146"/>
      <c r="AYM212" s="142"/>
      <c r="AYN212" s="143"/>
      <c r="AYO212" s="144"/>
      <c r="AYP212" s="124"/>
      <c r="AYQ212" s="145"/>
      <c r="AYR212" s="145"/>
      <c r="AYS212" s="146"/>
      <c r="AYT212" s="142"/>
      <c r="AYU212" s="143"/>
      <c r="AYV212" s="144"/>
      <c r="AYW212" s="124"/>
      <c r="AYX212" s="145"/>
      <c r="AYY212" s="145"/>
      <c r="AYZ212" s="146"/>
      <c r="AZA212" s="142"/>
      <c r="AZB212" s="143"/>
      <c r="AZC212" s="144"/>
      <c r="AZD212" s="124"/>
      <c r="AZE212" s="145"/>
      <c r="AZF212" s="145"/>
      <c r="AZG212" s="146"/>
      <c r="AZH212" s="142"/>
      <c r="AZI212" s="143"/>
      <c r="AZJ212" s="144"/>
      <c r="AZK212" s="124"/>
      <c r="AZL212" s="145"/>
      <c r="AZM212" s="145"/>
      <c r="AZN212" s="146"/>
      <c r="AZO212" s="142"/>
      <c r="AZP212" s="143"/>
      <c r="AZQ212" s="144"/>
      <c r="AZR212" s="124"/>
      <c r="AZS212" s="145"/>
      <c r="AZT212" s="145"/>
      <c r="AZU212" s="146"/>
      <c r="AZV212" s="142"/>
      <c r="AZW212" s="143"/>
      <c r="AZX212" s="144"/>
      <c r="AZY212" s="124"/>
      <c r="AZZ212" s="145"/>
      <c r="BAA212" s="145"/>
      <c r="BAB212" s="146"/>
      <c r="BAC212" s="142"/>
      <c r="BAD212" s="143"/>
      <c r="BAE212" s="144"/>
      <c r="BAF212" s="124"/>
      <c r="BAG212" s="145"/>
      <c r="BAH212" s="145"/>
      <c r="BAI212" s="146"/>
      <c r="BAJ212" s="142"/>
      <c r="BAK212" s="143"/>
      <c r="BAL212" s="144"/>
      <c r="BAM212" s="124"/>
      <c r="BAN212" s="145"/>
      <c r="BAO212" s="145"/>
      <c r="BAP212" s="146"/>
      <c r="BAQ212" s="142"/>
      <c r="BAR212" s="143"/>
      <c r="BAS212" s="144"/>
      <c r="BAT212" s="124"/>
      <c r="BAU212" s="145"/>
      <c r="BAV212" s="145"/>
      <c r="BAW212" s="146"/>
      <c r="BAX212" s="142"/>
      <c r="BAY212" s="143"/>
      <c r="BAZ212" s="144"/>
      <c r="BBA212" s="124"/>
      <c r="BBB212" s="145"/>
      <c r="BBC212" s="145"/>
      <c r="BBD212" s="146"/>
      <c r="BBE212" s="142"/>
      <c r="BBF212" s="143"/>
      <c r="BBG212" s="144"/>
      <c r="BBH212" s="124"/>
      <c r="BBI212" s="145"/>
      <c r="BBJ212" s="145"/>
      <c r="BBK212" s="146"/>
      <c r="BBL212" s="142"/>
      <c r="BBM212" s="143"/>
      <c r="BBN212" s="144"/>
      <c r="BBO212" s="124"/>
      <c r="BBP212" s="145"/>
      <c r="BBQ212" s="145"/>
      <c r="BBR212" s="146"/>
      <c r="BBS212" s="142"/>
      <c r="BBT212" s="143"/>
      <c r="BBU212" s="144"/>
      <c r="BBV212" s="124"/>
      <c r="BBW212" s="145"/>
      <c r="BBX212" s="145"/>
      <c r="BBY212" s="146"/>
      <c r="BBZ212" s="142"/>
      <c r="BCA212" s="143"/>
      <c r="BCB212" s="144"/>
      <c r="BCC212" s="124"/>
      <c r="BCD212" s="145"/>
      <c r="BCE212" s="145"/>
      <c r="BCF212" s="146"/>
      <c r="BCG212" s="142"/>
      <c r="BCH212" s="143"/>
      <c r="BCI212" s="144"/>
      <c r="BCJ212" s="124"/>
      <c r="BCK212" s="145"/>
      <c r="BCL212" s="145"/>
      <c r="BCM212" s="146"/>
      <c r="BCN212" s="142"/>
      <c r="BCO212" s="143"/>
      <c r="BCP212" s="144"/>
      <c r="BCQ212" s="124"/>
      <c r="BCR212" s="145"/>
      <c r="BCS212" s="145"/>
      <c r="BCT212" s="146"/>
      <c r="BCU212" s="142"/>
      <c r="BCV212" s="143"/>
      <c r="BCW212" s="144"/>
      <c r="BCX212" s="124"/>
      <c r="BCY212" s="145"/>
      <c r="BCZ212" s="145"/>
      <c r="BDA212" s="146"/>
      <c r="BDB212" s="142"/>
      <c r="BDC212" s="143"/>
      <c r="BDD212" s="144"/>
      <c r="BDE212" s="124"/>
      <c r="BDF212" s="145"/>
      <c r="BDG212" s="145"/>
      <c r="BDH212" s="146"/>
      <c r="BDI212" s="142"/>
      <c r="BDJ212" s="143"/>
      <c r="BDK212" s="144"/>
      <c r="BDL212" s="124"/>
      <c r="BDM212" s="145"/>
      <c r="BDN212" s="145"/>
      <c r="BDO212" s="146"/>
      <c r="BDP212" s="142"/>
      <c r="BDQ212" s="143"/>
      <c r="BDR212" s="144"/>
      <c r="BDS212" s="124"/>
      <c r="BDT212" s="145"/>
      <c r="BDU212" s="145"/>
      <c r="BDV212" s="146"/>
      <c r="BDW212" s="142"/>
      <c r="BDX212" s="143"/>
      <c r="BDY212" s="144"/>
      <c r="BDZ212" s="124"/>
      <c r="BEA212" s="145"/>
      <c r="BEB212" s="145"/>
      <c r="BEC212" s="146"/>
      <c r="BED212" s="142"/>
      <c r="BEE212" s="143"/>
      <c r="BEF212" s="144"/>
      <c r="BEG212" s="124"/>
      <c r="BEH212" s="145"/>
      <c r="BEI212" s="145"/>
      <c r="BEJ212" s="146"/>
      <c r="BEK212" s="142"/>
      <c r="BEL212" s="143"/>
      <c r="BEM212" s="144"/>
      <c r="BEN212" s="124"/>
      <c r="BEO212" s="145"/>
      <c r="BEP212" s="145"/>
      <c r="BEQ212" s="146"/>
      <c r="BER212" s="142"/>
      <c r="BES212" s="143"/>
      <c r="BET212" s="144"/>
      <c r="BEU212" s="124"/>
      <c r="BEV212" s="145"/>
      <c r="BEW212" s="145"/>
      <c r="BEX212" s="146"/>
      <c r="BEY212" s="142"/>
      <c r="BEZ212" s="143"/>
      <c r="BFA212" s="144"/>
      <c r="BFB212" s="124"/>
      <c r="BFC212" s="145"/>
      <c r="BFD212" s="145"/>
      <c r="BFE212" s="146"/>
      <c r="BFF212" s="142"/>
      <c r="BFG212" s="143"/>
      <c r="BFH212" s="144"/>
      <c r="BFI212" s="124"/>
      <c r="BFJ212" s="145"/>
      <c r="BFK212" s="145"/>
      <c r="BFL212" s="146"/>
      <c r="BFM212" s="142"/>
      <c r="BFN212" s="143"/>
      <c r="BFO212" s="144"/>
      <c r="BFP212" s="124"/>
      <c r="BFQ212" s="145"/>
      <c r="BFR212" s="145"/>
      <c r="BFS212" s="146"/>
      <c r="BFT212" s="142"/>
      <c r="BFU212" s="143"/>
      <c r="BFV212" s="144"/>
      <c r="BFW212" s="124"/>
      <c r="BFX212" s="145"/>
      <c r="BFY212" s="145"/>
      <c r="BFZ212" s="146"/>
      <c r="BGA212" s="142"/>
      <c r="BGB212" s="143"/>
      <c r="BGC212" s="144"/>
      <c r="BGD212" s="124"/>
      <c r="BGE212" s="145"/>
      <c r="BGF212" s="145"/>
      <c r="BGG212" s="146"/>
      <c r="BGH212" s="142"/>
      <c r="BGI212" s="143"/>
      <c r="BGJ212" s="144"/>
      <c r="BGK212" s="124"/>
      <c r="BGL212" s="145"/>
      <c r="BGM212" s="145"/>
      <c r="BGN212" s="146"/>
      <c r="BGO212" s="142"/>
      <c r="BGP212" s="143"/>
      <c r="BGQ212" s="144"/>
      <c r="BGR212" s="124"/>
      <c r="BGS212" s="145"/>
      <c r="BGT212" s="145"/>
      <c r="BGU212" s="146"/>
      <c r="BGV212" s="142"/>
      <c r="BGW212" s="143"/>
      <c r="BGX212" s="144"/>
      <c r="BGY212" s="124"/>
      <c r="BGZ212" s="145"/>
      <c r="BHA212" s="145"/>
      <c r="BHB212" s="146"/>
      <c r="BHC212" s="142"/>
      <c r="BHD212" s="143"/>
      <c r="BHE212" s="144"/>
      <c r="BHF212" s="124"/>
      <c r="BHG212" s="145"/>
      <c r="BHH212" s="145"/>
      <c r="BHI212" s="146"/>
      <c r="BHJ212" s="142"/>
      <c r="BHK212" s="143"/>
      <c r="BHL212" s="144"/>
      <c r="BHM212" s="124"/>
      <c r="BHN212" s="145"/>
      <c r="BHO212" s="145"/>
      <c r="BHP212" s="146"/>
      <c r="BHQ212" s="142"/>
      <c r="BHR212" s="143"/>
      <c r="BHS212" s="144"/>
      <c r="BHT212" s="124"/>
      <c r="BHU212" s="145"/>
      <c r="BHV212" s="145"/>
      <c r="BHW212" s="146"/>
      <c r="BHX212" s="142"/>
      <c r="BHY212" s="143"/>
      <c r="BHZ212" s="144"/>
      <c r="BIA212" s="124"/>
      <c r="BIB212" s="145"/>
      <c r="BIC212" s="145"/>
      <c r="BID212" s="146"/>
      <c r="BIE212" s="142"/>
      <c r="BIF212" s="143"/>
      <c r="BIG212" s="144"/>
      <c r="BIH212" s="124"/>
      <c r="BII212" s="145"/>
      <c r="BIJ212" s="145"/>
      <c r="BIK212" s="146"/>
      <c r="BIL212" s="142"/>
      <c r="BIM212" s="143"/>
      <c r="BIN212" s="144"/>
      <c r="BIO212" s="124"/>
      <c r="BIP212" s="145"/>
      <c r="BIQ212" s="145"/>
      <c r="BIR212" s="146"/>
      <c r="BIS212" s="142"/>
      <c r="BIT212" s="143"/>
      <c r="BIU212" s="144"/>
      <c r="BIV212" s="124"/>
      <c r="BIW212" s="145"/>
      <c r="BIX212" s="145"/>
      <c r="BIY212" s="146"/>
      <c r="BIZ212" s="142"/>
      <c r="BJA212" s="143"/>
      <c r="BJB212" s="144"/>
      <c r="BJC212" s="124"/>
      <c r="BJD212" s="145"/>
      <c r="BJE212" s="145"/>
      <c r="BJF212" s="146"/>
      <c r="BJG212" s="142"/>
      <c r="BJH212" s="143"/>
      <c r="BJI212" s="144"/>
      <c r="BJJ212" s="124"/>
      <c r="BJK212" s="145"/>
      <c r="BJL212" s="145"/>
      <c r="BJM212" s="146"/>
      <c r="BJN212" s="142"/>
      <c r="BJO212" s="143"/>
      <c r="BJP212" s="144"/>
      <c r="BJQ212" s="124"/>
      <c r="BJR212" s="145"/>
      <c r="BJS212" s="145"/>
      <c r="BJT212" s="146"/>
      <c r="BJU212" s="142"/>
      <c r="BJV212" s="143"/>
      <c r="BJW212" s="144"/>
      <c r="BJX212" s="124"/>
      <c r="BJY212" s="145"/>
      <c r="BJZ212" s="145"/>
      <c r="BKA212" s="146"/>
      <c r="BKB212" s="142"/>
      <c r="BKC212" s="143"/>
      <c r="BKD212" s="144"/>
      <c r="BKE212" s="124"/>
      <c r="BKF212" s="145"/>
      <c r="BKG212" s="145"/>
      <c r="BKH212" s="146"/>
      <c r="BKI212" s="142"/>
      <c r="BKJ212" s="143"/>
      <c r="BKK212" s="144"/>
      <c r="BKL212" s="124"/>
      <c r="BKM212" s="145"/>
      <c r="BKN212" s="145"/>
      <c r="BKO212" s="146"/>
      <c r="BKP212" s="142"/>
      <c r="BKQ212" s="143"/>
      <c r="BKR212" s="144"/>
      <c r="BKS212" s="124"/>
      <c r="BKT212" s="145"/>
      <c r="BKU212" s="145"/>
      <c r="BKV212" s="146"/>
      <c r="BKW212" s="142"/>
      <c r="BKX212" s="143"/>
      <c r="BKY212" s="144"/>
      <c r="BKZ212" s="124"/>
      <c r="BLA212" s="145"/>
      <c r="BLB212" s="145"/>
      <c r="BLC212" s="146"/>
      <c r="BLD212" s="142"/>
      <c r="BLE212" s="143"/>
      <c r="BLF212" s="144"/>
      <c r="BLG212" s="124"/>
      <c r="BLH212" s="145"/>
      <c r="BLI212" s="145"/>
      <c r="BLJ212" s="146"/>
      <c r="BLK212" s="142"/>
      <c r="BLL212" s="143"/>
      <c r="BLM212" s="144"/>
      <c r="BLN212" s="124"/>
      <c r="BLO212" s="145"/>
      <c r="BLP212" s="145"/>
      <c r="BLQ212" s="146"/>
      <c r="BLR212" s="142"/>
      <c r="BLS212" s="143"/>
      <c r="BLT212" s="144"/>
      <c r="BLU212" s="124"/>
      <c r="BLV212" s="145"/>
      <c r="BLW212" s="145"/>
      <c r="BLX212" s="146"/>
      <c r="BLY212" s="142"/>
      <c r="BLZ212" s="143"/>
      <c r="BMA212" s="144"/>
      <c r="BMB212" s="124"/>
      <c r="BMC212" s="145"/>
      <c r="BMD212" s="145"/>
      <c r="BME212" s="146"/>
      <c r="BMF212" s="142"/>
      <c r="BMG212" s="143"/>
      <c r="BMH212" s="144"/>
      <c r="BMI212" s="124"/>
      <c r="BMJ212" s="145"/>
      <c r="BMK212" s="145"/>
      <c r="BML212" s="146"/>
      <c r="BMM212" s="142"/>
      <c r="BMN212" s="143"/>
      <c r="BMO212" s="144"/>
      <c r="BMP212" s="124"/>
      <c r="BMQ212" s="145"/>
      <c r="BMR212" s="145"/>
      <c r="BMS212" s="146"/>
      <c r="BMT212" s="142"/>
      <c r="BMU212" s="143"/>
      <c r="BMV212" s="144"/>
      <c r="BMW212" s="124"/>
      <c r="BMX212" s="145"/>
      <c r="BMY212" s="145"/>
      <c r="BMZ212" s="146"/>
      <c r="BNA212" s="142"/>
      <c r="BNB212" s="143"/>
      <c r="BNC212" s="144"/>
      <c r="BND212" s="124"/>
      <c r="BNE212" s="145"/>
      <c r="BNF212" s="145"/>
      <c r="BNG212" s="146"/>
      <c r="BNH212" s="142"/>
      <c r="BNI212" s="143"/>
      <c r="BNJ212" s="144"/>
      <c r="BNK212" s="124"/>
      <c r="BNL212" s="145"/>
      <c r="BNM212" s="145"/>
      <c r="BNN212" s="146"/>
      <c r="BNO212" s="142"/>
      <c r="BNP212" s="143"/>
      <c r="BNQ212" s="144"/>
      <c r="BNR212" s="124"/>
      <c r="BNS212" s="145"/>
      <c r="BNT212" s="145"/>
      <c r="BNU212" s="146"/>
      <c r="BNV212" s="142"/>
      <c r="BNW212" s="143"/>
      <c r="BNX212" s="144"/>
      <c r="BNY212" s="124"/>
      <c r="BNZ212" s="145"/>
      <c r="BOA212" s="145"/>
      <c r="BOB212" s="146"/>
      <c r="BOC212" s="142"/>
      <c r="BOD212" s="143"/>
      <c r="BOE212" s="144"/>
      <c r="BOF212" s="124"/>
      <c r="BOG212" s="145"/>
      <c r="BOH212" s="145"/>
      <c r="BOI212" s="146"/>
      <c r="BOJ212" s="142"/>
      <c r="BOK212" s="143"/>
      <c r="BOL212" s="144"/>
      <c r="BOM212" s="124"/>
      <c r="BON212" s="145"/>
      <c r="BOO212" s="145"/>
      <c r="BOP212" s="146"/>
      <c r="BOQ212" s="142"/>
      <c r="BOR212" s="143"/>
      <c r="BOS212" s="144"/>
      <c r="BOT212" s="124"/>
      <c r="BOU212" s="145"/>
      <c r="BOV212" s="145"/>
      <c r="BOW212" s="146"/>
      <c r="BOX212" s="142"/>
      <c r="BOY212" s="143"/>
      <c r="BOZ212" s="144"/>
      <c r="BPA212" s="124"/>
      <c r="BPB212" s="145"/>
      <c r="BPC212" s="145"/>
      <c r="BPD212" s="146"/>
      <c r="BPE212" s="142"/>
      <c r="BPF212" s="143"/>
      <c r="BPG212" s="144"/>
      <c r="BPH212" s="124"/>
      <c r="BPI212" s="145"/>
      <c r="BPJ212" s="145"/>
      <c r="BPK212" s="146"/>
      <c r="BPL212" s="142"/>
      <c r="BPM212" s="143"/>
      <c r="BPN212" s="144"/>
      <c r="BPO212" s="124"/>
      <c r="BPP212" s="145"/>
      <c r="BPQ212" s="145"/>
      <c r="BPR212" s="146"/>
      <c r="BPS212" s="142"/>
      <c r="BPT212" s="143"/>
      <c r="BPU212" s="144"/>
      <c r="BPV212" s="124"/>
      <c r="BPW212" s="145"/>
      <c r="BPX212" s="145"/>
      <c r="BPY212" s="146"/>
      <c r="BPZ212" s="142"/>
      <c r="BQA212" s="143"/>
      <c r="BQB212" s="144"/>
      <c r="BQC212" s="124"/>
      <c r="BQD212" s="145"/>
      <c r="BQE212" s="145"/>
      <c r="BQF212" s="146"/>
      <c r="BQG212" s="142"/>
      <c r="BQH212" s="143"/>
      <c r="BQI212" s="144"/>
      <c r="BQJ212" s="124"/>
      <c r="BQK212" s="145"/>
      <c r="BQL212" s="145"/>
      <c r="BQM212" s="146"/>
      <c r="BQN212" s="142"/>
      <c r="BQO212" s="143"/>
      <c r="BQP212" s="144"/>
      <c r="BQQ212" s="124"/>
      <c r="BQR212" s="145"/>
      <c r="BQS212" s="145"/>
      <c r="BQT212" s="146"/>
      <c r="BQU212" s="142"/>
      <c r="BQV212" s="143"/>
      <c r="BQW212" s="144"/>
      <c r="BQX212" s="124"/>
      <c r="BQY212" s="145"/>
      <c r="BQZ212" s="145"/>
      <c r="BRA212" s="146"/>
      <c r="BRB212" s="142"/>
      <c r="BRC212" s="143"/>
      <c r="BRD212" s="144"/>
      <c r="BRE212" s="124"/>
      <c r="BRF212" s="145"/>
      <c r="BRG212" s="145"/>
      <c r="BRH212" s="146"/>
      <c r="BRI212" s="142"/>
      <c r="BRJ212" s="143"/>
      <c r="BRK212" s="144"/>
      <c r="BRL212" s="124"/>
      <c r="BRM212" s="145"/>
      <c r="BRN212" s="145"/>
      <c r="BRO212" s="146"/>
      <c r="BRP212" s="142"/>
      <c r="BRQ212" s="143"/>
      <c r="BRR212" s="144"/>
      <c r="BRS212" s="124"/>
      <c r="BRT212" s="145"/>
      <c r="BRU212" s="145"/>
      <c r="BRV212" s="146"/>
      <c r="BRW212" s="142"/>
      <c r="BRX212" s="143"/>
      <c r="BRY212" s="144"/>
      <c r="BRZ212" s="124"/>
      <c r="BSA212" s="145"/>
      <c r="BSB212" s="145"/>
      <c r="BSC212" s="146"/>
      <c r="BSD212" s="142"/>
      <c r="BSE212" s="143"/>
      <c r="BSF212" s="144"/>
      <c r="BSG212" s="124"/>
      <c r="BSH212" s="145"/>
      <c r="BSI212" s="145"/>
      <c r="BSJ212" s="146"/>
      <c r="BSK212" s="142"/>
      <c r="BSL212" s="143"/>
      <c r="BSM212" s="144"/>
      <c r="BSN212" s="124"/>
      <c r="BSO212" s="145"/>
      <c r="BSP212" s="145"/>
      <c r="BSQ212" s="146"/>
      <c r="BSR212" s="142"/>
      <c r="BSS212" s="143"/>
      <c r="BST212" s="144"/>
      <c r="BSU212" s="124"/>
      <c r="BSV212" s="145"/>
      <c r="BSW212" s="145"/>
      <c r="BSX212" s="146"/>
      <c r="BSY212" s="142"/>
      <c r="BSZ212" s="143"/>
      <c r="BTA212" s="144"/>
      <c r="BTB212" s="124"/>
      <c r="BTC212" s="145"/>
      <c r="BTD212" s="145"/>
      <c r="BTE212" s="146"/>
      <c r="BTF212" s="142"/>
      <c r="BTG212" s="143"/>
      <c r="BTH212" s="144"/>
      <c r="BTI212" s="124"/>
      <c r="BTJ212" s="145"/>
      <c r="BTK212" s="145"/>
      <c r="BTL212" s="146"/>
      <c r="BTM212" s="142"/>
      <c r="BTN212" s="143"/>
      <c r="BTO212" s="144"/>
      <c r="BTP212" s="124"/>
      <c r="BTQ212" s="145"/>
      <c r="BTR212" s="145"/>
      <c r="BTS212" s="146"/>
      <c r="BTT212" s="142"/>
      <c r="BTU212" s="143"/>
      <c r="BTV212" s="144"/>
      <c r="BTW212" s="124"/>
      <c r="BTX212" s="145"/>
      <c r="BTY212" s="145"/>
      <c r="BTZ212" s="146"/>
      <c r="BUA212" s="142"/>
      <c r="BUB212" s="143"/>
      <c r="BUC212" s="144"/>
      <c r="BUD212" s="124"/>
      <c r="BUE212" s="145"/>
      <c r="BUF212" s="145"/>
      <c r="BUG212" s="146"/>
      <c r="BUH212" s="142"/>
      <c r="BUI212" s="143"/>
      <c r="BUJ212" s="144"/>
      <c r="BUK212" s="124"/>
      <c r="BUL212" s="145"/>
      <c r="BUM212" s="145"/>
      <c r="BUN212" s="146"/>
      <c r="BUO212" s="142"/>
      <c r="BUP212" s="143"/>
      <c r="BUQ212" s="144"/>
      <c r="BUR212" s="124"/>
      <c r="BUS212" s="145"/>
      <c r="BUT212" s="145"/>
      <c r="BUU212" s="146"/>
      <c r="BUV212" s="142"/>
      <c r="BUW212" s="143"/>
      <c r="BUX212" s="144"/>
      <c r="BUY212" s="124"/>
      <c r="BUZ212" s="145"/>
      <c r="BVA212" s="145"/>
      <c r="BVB212" s="146"/>
      <c r="BVC212" s="142"/>
      <c r="BVD212" s="143"/>
      <c r="BVE212" s="144"/>
      <c r="BVF212" s="124"/>
      <c r="BVG212" s="145"/>
      <c r="BVH212" s="145"/>
      <c r="BVI212" s="146"/>
      <c r="BVJ212" s="142"/>
      <c r="BVK212" s="143"/>
      <c r="BVL212" s="144"/>
      <c r="BVM212" s="124"/>
      <c r="BVN212" s="145"/>
      <c r="BVO212" s="145"/>
      <c r="BVP212" s="146"/>
      <c r="BVQ212" s="142"/>
      <c r="BVR212" s="143"/>
      <c r="BVS212" s="144"/>
      <c r="BVT212" s="124"/>
      <c r="BVU212" s="145"/>
      <c r="BVV212" s="145"/>
      <c r="BVW212" s="146"/>
      <c r="BVX212" s="142"/>
      <c r="BVY212" s="143"/>
      <c r="BVZ212" s="144"/>
      <c r="BWA212" s="124"/>
      <c r="BWB212" s="145"/>
      <c r="BWC212" s="145"/>
      <c r="BWD212" s="146"/>
      <c r="BWE212" s="142"/>
      <c r="BWF212" s="143"/>
      <c r="BWG212" s="144"/>
      <c r="BWH212" s="124"/>
      <c r="BWI212" s="145"/>
      <c r="BWJ212" s="145"/>
      <c r="BWK212" s="146"/>
      <c r="BWL212" s="142"/>
      <c r="BWM212" s="143"/>
      <c r="BWN212" s="144"/>
      <c r="BWO212" s="124"/>
      <c r="BWP212" s="145"/>
      <c r="BWQ212" s="145"/>
      <c r="BWR212" s="146"/>
      <c r="BWS212" s="142"/>
      <c r="BWT212" s="143"/>
      <c r="BWU212" s="144"/>
      <c r="BWV212" s="124"/>
      <c r="BWW212" s="145"/>
      <c r="BWX212" s="145"/>
      <c r="BWY212" s="146"/>
      <c r="BWZ212" s="142"/>
      <c r="BXA212" s="143"/>
      <c r="BXB212" s="144"/>
      <c r="BXC212" s="124"/>
      <c r="BXD212" s="145"/>
      <c r="BXE212" s="145"/>
      <c r="BXF212" s="146"/>
      <c r="BXG212" s="142"/>
      <c r="BXH212" s="143"/>
      <c r="BXI212" s="144"/>
      <c r="BXJ212" s="124"/>
      <c r="BXK212" s="145"/>
      <c r="BXL212" s="145"/>
      <c r="BXM212" s="146"/>
      <c r="BXN212" s="142"/>
      <c r="BXO212" s="143"/>
      <c r="BXP212" s="144"/>
      <c r="BXQ212" s="124"/>
      <c r="BXR212" s="145"/>
      <c r="BXS212" s="145"/>
      <c r="BXT212" s="146"/>
      <c r="BXU212" s="142"/>
      <c r="BXV212" s="143"/>
      <c r="BXW212" s="144"/>
      <c r="BXX212" s="124"/>
      <c r="BXY212" s="145"/>
      <c r="BXZ212" s="145"/>
      <c r="BYA212" s="146"/>
      <c r="BYB212" s="142"/>
      <c r="BYC212" s="143"/>
      <c r="BYD212" s="144"/>
      <c r="BYE212" s="124"/>
      <c r="BYF212" s="145"/>
      <c r="BYG212" s="145"/>
      <c r="BYH212" s="146"/>
      <c r="BYI212" s="142"/>
      <c r="BYJ212" s="143"/>
      <c r="BYK212" s="144"/>
      <c r="BYL212" s="124"/>
      <c r="BYM212" s="145"/>
      <c r="BYN212" s="145"/>
      <c r="BYO212" s="146"/>
      <c r="BYP212" s="142"/>
      <c r="BYQ212" s="143"/>
      <c r="BYR212" s="144"/>
      <c r="BYS212" s="124"/>
      <c r="BYT212" s="145"/>
      <c r="BYU212" s="145"/>
      <c r="BYV212" s="146"/>
      <c r="BYW212" s="142"/>
      <c r="BYX212" s="143"/>
      <c r="BYY212" s="144"/>
      <c r="BYZ212" s="124"/>
      <c r="BZA212" s="145"/>
      <c r="BZB212" s="145"/>
      <c r="BZC212" s="146"/>
      <c r="BZD212" s="142"/>
      <c r="BZE212" s="143"/>
      <c r="BZF212" s="144"/>
      <c r="BZG212" s="124"/>
      <c r="BZH212" s="145"/>
      <c r="BZI212" s="145"/>
      <c r="BZJ212" s="146"/>
      <c r="BZK212" s="142"/>
      <c r="BZL212" s="143"/>
      <c r="BZM212" s="144"/>
      <c r="BZN212" s="124"/>
      <c r="BZO212" s="145"/>
      <c r="BZP212" s="145"/>
      <c r="BZQ212" s="146"/>
      <c r="BZR212" s="142"/>
      <c r="BZS212" s="143"/>
      <c r="BZT212" s="144"/>
      <c r="BZU212" s="124"/>
      <c r="BZV212" s="145"/>
      <c r="BZW212" s="145"/>
      <c r="BZX212" s="146"/>
      <c r="BZY212" s="142"/>
      <c r="BZZ212" s="143"/>
      <c r="CAA212" s="144"/>
      <c r="CAB212" s="124"/>
      <c r="CAC212" s="145"/>
      <c r="CAD212" s="145"/>
      <c r="CAE212" s="146"/>
      <c r="CAF212" s="142"/>
      <c r="CAG212" s="143"/>
      <c r="CAH212" s="144"/>
      <c r="CAI212" s="124"/>
      <c r="CAJ212" s="145"/>
      <c r="CAK212" s="145"/>
      <c r="CAL212" s="146"/>
      <c r="CAM212" s="142"/>
      <c r="CAN212" s="143"/>
      <c r="CAO212" s="144"/>
      <c r="CAP212" s="124"/>
      <c r="CAQ212" s="145"/>
      <c r="CAR212" s="145"/>
      <c r="CAS212" s="146"/>
      <c r="CAT212" s="142"/>
      <c r="CAU212" s="143"/>
      <c r="CAV212" s="144"/>
      <c r="CAW212" s="124"/>
      <c r="CAX212" s="145"/>
      <c r="CAY212" s="145"/>
      <c r="CAZ212" s="146"/>
      <c r="CBA212" s="142"/>
      <c r="CBB212" s="143"/>
      <c r="CBC212" s="144"/>
      <c r="CBD212" s="124"/>
      <c r="CBE212" s="145"/>
      <c r="CBF212" s="145"/>
      <c r="CBG212" s="146"/>
      <c r="CBH212" s="142"/>
      <c r="CBI212" s="143"/>
      <c r="CBJ212" s="144"/>
      <c r="CBK212" s="124"/>
      <c r="CBL212" s="145"/>
      <c r="CBM212" s="145"/>
      <c r="CBN212" s="146"/>
      <c r="CBO212" s="142"/>
      <c r="CBP212" s="143"/>
      <c r="CBQ212" s="144"/>
      <c r="CBR212" s="124"/>
      <c r="CBS212" s="145"/>
      <c r="CBT212" s="145"/>
      <c r="CBU212" s="146"/>
      <c r="CBV212" s="142"/>
      <c r="CBW212" s="143"/>
      <c r="CBX212" s="144"/>
      <c r="CBY212" s="124"/>
      <c r="CBZ212" s="145"/>
      <c r="CCA212" s="145"/>
      <c r="CCB212" s="146"/>
      <c r="CCC212" s="142"/>
      <c r="CCD212" s="143"/>
      <c r="CCE212" s="144"/>
      <c r="CCF212" s="124"/>
      <c r="CCG212" s="145"/>
      <c r="CCH212" s="145"/>
      <c r="CCI212" s="146"/>
      <c r="CCJ212" s="142"/>
      <c r="CCK212" s="143"/>
      <c r="CCL212" s="144"/>
      <c r="CCM212" s="124"/>
      <c r="CCN212" s="145"/>
      <c r="CCO212" s="145"/>
      <c r="CCP212" s="146"/>
      <c r="CCQ212" s="142"/>
      <c r="CCR212" s="143"/>
      <c r="CCS212" s="144"/>
      <c r="CCT212" s="124"/>
      <c r="CCU212" s="145"/>
      <c r="CCV212" s="145"/>
      <c r="CCW212" s="146"/>
      <c r="CCX212" s="142"/>
      <c r="CCY212" s="143"/>
      <c r="CCZ212" s="144"/>
      <c r="CDA212" s="124"/>
      <c r="CDB212" s="145"/>
      <c r="CDC212" s="145"/>
      <c r="CDD212" s="146"/>
      <c r="CDE212" s="142"/>
      <c r="CDF212" s="143"/>
      <c r="CDG212" s="144"/>
      <c r="CDH212" s="124"/>
      <c r="CDI212" s="145"/>
      <c r="CDJ212" s="145"/>
      <c r="CDK212" s="146"/>
      <c r="CDL212" s="142"/>
      <c r="CDM212" s="143"/>
      <c r="CDN212" s="144"/>
      <c r="CDO212" s="124"/>
      <c r="CDP212" s="145"/>
      <c r="CDQ212" s="145"/>
      <c r="CDR212" s="146"/>
      <c r="CDS212" s="142"/>
      <c r="CDT212" s="143"/>
      <c r="CDU212" s="144"/>
      <c r="CDV212" s="124"/>
      <c r="CDW212" s="145"/>
      <c r="CDX212" s="145"/>
      <c r="CDY212" s="146"/>
      <c r="CDZ212" s="142"/>
      <c r="CEA212" s="143"/>
      <c r="CEB212" s="144"/>
      <c r="CEC212" s="124"/>
      <c r="CED212" s="145"/>
      <c r="CEE212" s="145"/>
      <c r="CEF212" s="146"/>
      <c r="CEG212" s="142"/>
      <c r="CEH212" s="143"/>
      <c r="CEI212" s="144"/>
      <c r="CEJ212" s="124"/>
      <c r="CEK212" s="145"/>
      <c r="CEL212" s="145"/>
      <c r="CEM212" s="146"/>
      <c r="CEN212" s="142"/>
      <c r="CEO212" s="143"/>
      <c r="CEP212" s="144"/>
      <c r="CEQ212" s="124"/>
      <c r="CER212" s="145"/>
      <c r="CES212" s="145"/>
      <c r="CET212" s="146"/>
      <c r="CEU212" s="142"/>
      <c r="CEV212" s="143"/>
      <c r="CEW212" s="144"/>
      <c r="CEX212" s="124"/>
      <c r="CEY212" s="145"/>
      <c r="CEZ212" s="145"/>
      <c r="CFA212" s="146"/>
      <c r="CFB212" s="142"/>
      <c r="CFC212" s="143"/>
      <c r="CFD212" s="144"/>
      <c r="CFE212" s="124"/>
      <c r="CFF212" s="145"/>
      <c r="CFG212" s="145"/>
      <c r="CFH212" s="146"/>
      <c r="CFI212" s="142"/>
      <c r="CFJ212" s="143"/>
      <c r="CFK212" s="144"/>
      <c r="CFL212" s="124"/>
      <c r="CFM212" s="145"/>
      <c r="CFN212" s="145"/>
      <c r="CFO212" s="146"/>
      <c r="CFP212" s="142"/>
      <c r="CFQ212" s="143"/>
      <c r="CFR212" s="144"/>
      <c r="CFS212" s="124"/>
      <c r="CFT212" s="145"/>
      <c r="CFU212" s="145"/>
      <c r="CFV212" s="146"/>
      <c r="CFW212" s="142"/>
      <c r="CFX212" s="143"/>
      <c r="CFY212" s="144"/>
      <c r="CFZ212" s="124"/>
      <c r="CGA212" s="145"/>
      <c r="CGB212" s="145"/>
      <c r="CGC212" s="146"/>
      <c r="CGD212" s="142"/>
      <c r="CGE212" s="143"/>
      <c r="CGF212" s="144"/>
      <c r="CGG212" s="124"/>
      <c r="CGH212" s="145"/>
      <c r="CGI212" s="145"/>
      <c r="CGJ212" s="146"/>
      <c r="CGK212" s="142"/>
      <c r="CGL212" s="143"/>
      <c r="CGM212" s="144"/>
      <c r="CGN212" s="124"/>
      <c r="CGO212" s="145"/>
      <c r="CGP212" s="145"/>
      <c r="CGQ212" s="146"/>
      <c r="CGR212" s="142"/>
      <c r="CGS212" s="143"/>
      <c r="CGT212" s="144"/>
      <c r="CGU212" s="124"/>
      <c r="CGV212" s="145"/>
      <c r="CGW212" s="145"/>
      <c r="CGX212" s="146"/>
      <c r="CGY212" s="142"/>
      <c r="CGZ212" s="143"/>
      <c r="CHA212" s="144"/>
      <c r="CHB212" s="124"/>
      <c r="CHC212" s="145"/>
      <c r="CHD212" s="145"/>
      <c r="CHE212" s="146"/>
      <c r="CHF212" s="142"/>
      <c r="CHG212" s="143"/>
      <c r="CHH212" s="144"/>
      <c r="CHI212" s="124"/>
      <c r="CHJ212" s="145"/>
      <c r="CHK212" s="145"/>
      <c r="CHL212" s="146"/>
      <c r="CHM212" s="142"/>
      <c r="CHN212" s="143"/>
      <c r="CHO212" s="144"/>
      <c r="CHP212" s="124"/>
      <c r="CHQ212" s="145"/>
      <c r="CHR212" s="145"/>
      <c r="CHS212" s="146"/>
      <c r="CHT212" s="142"/>
      <c r="CHU212" s="143"/>
      <c r="CHV212" s="144"/>
      <c r="CHW212" s="124"/>
      <c r="CHX212" s="145"/>
      <c r="CHY212" s="145"/>
      <c r="CHZ212" s="146"/>
      <c r="CIA212" s="142"/>
      <c r="CIB212" s="143"/>
      <c r="CIC212" s="144"/>
      <c r="CID212" s="124"/>
      <c r="CIE212" s="145"/>
      <c r="CIF212" s="145"/>
      <c r="CIG212" s="146"/>
      <c r="CIH212" s="142"/>
      <c r="CII212" s="143"/>
      <c r="CIJ212" s="144"/>
      <c r="CIK212" s="124"/>
      <c r="CIL212" s="145"/>
      <c r="CIM212" s="145"/>
      <c r="CIN212" s="146"/>
      <c r="CIO212" s="142"/>
      <c r="CIP212" s="143"/>
      <c r="CIQ212" s="144"/>
      <c r="CIR212" s="124"/>
      <c r="CIS212" s="145"/>
      <c r="CIT212" s="145"/>
      <c r="CIU212" s="146"/>
      <c r="CIV212" s="142"/>
      <c r="CIW212" s="143"/>
      <c r="CIX212" s="144"/>
      <c r="CIY212" s="124"/>
      <c r="CIZ212" s="145"/>
      <c r="CJA212" s="145"/>
      <c r="CJB212" s="146"/>
      <c r="CJC212" s="142"/>
      <c r="CJD212" s="143"/>
      <c r="CJE212" s="144"/>
      <c r="CJF212" s="124"/>
      <c r="CJG212" s="145"/>
      <c r="CJH212" s="145"/>
      <c r="CJI212" s="146"/>
      <c r="CJJ212" s="142"/>
      <c r="CJK212" s="143"/>
      <c r="CJL212" s="144"/>
      <c r="CJM212" s="124"/>
      <c r="CJN212" s="145"/>
      <c r="CJO212" s="145"/>
      <c r="CJP212" s="146"/>
      <c r="CJQ212" s="142"/>
      <c r="CJR212" s="143"/>
      <c r="CJS212" s="144"/>
      <c r="CJT212" s="124"/>
      <c r="CJU212" s="145"/>
      <c r="CJV212" s="145"/>
      <c r="CJW212" s="146"/>
      <c r="CJX212" s="142"/>
      <c r="CJY212" s="143"/>
      <c r="CJZ212" s="144"/>
      <c r="CKA212" s="124"/>
      <c r="CKB212" s="145"/>
      <c r="CKC212" s="145"/>
      <c r="CKD212" s="146"/>
      <c r="CKE212" s="142"/>
      <c r="CKF212" s="143"/>
      <c r="CKG212" s="144"/>
      <c r="CKH212" s="124"/>
      <c r="CKI212" s="145"/>
      <c r="CKJ212" s="145"/>
      <c r="CKK212" s="146"/>
      <c r="CKL212" s="142"/>
      <c r="CKM212" s="143"/>
      <c r="CKN212" s="144"/>
      <c r="CKO212" s="124"/>
      <c r="CKP212" s="145"/>
      <c r="CKQ212" s="145"/>
      <c r="CKR212" s="146"/>
      <c r="CKS212" s="142"/>
      <c r="CKT212" s="143"/>
      <c r="CKU212" s="144"/>
      <c r="CKV212" s="124"/>
      <c r="CKW212" s="145"/>
      <c r="CKX212" s="145"/>
      <c r="CKY212" s="146"/>
      <c r="CKZ212" s="142"/>
      <c r="CLA212" s="143"/>
      <c r="CLB212" s="144"/>
      <c r="CLC212" s="124"/>
      <c r="CLD212" s="145"/>
      <c r="CLE212" s="145"/>
      <c r="CLF212" s="146"/>
      <c r="CLG212" s="142"/>
      <c r="CLH212" s="143"/>
      <c r="CLI212" s="144"/>
      <c r="CLJ212" s="124"/>
      <c r="CLK212" s="145"/>
      <c r="CLL212" s="145"/>
      <c r="CLM212" s="146"/>
      <c r="CLN212" s="142"/>
      <c r="CLO212" s="143"/>
      <c r="CLP212" s="144"/>
      <c r="CLQ212" s="124"/>
      <c r="CLR212" s="145"/>
      <c r="CLS212" s="145"/>
      <c r="CLT212" s="146"/>
      <c r="CLU212" s="142"/>
      <c r="CLV212" s="143"/>
      <c r="CLW212" s="144"/>
      <c r="CLX212" s="124"/>
      <c r="CLY212" s="145"/>
      <c r="CLZ212" s="145"/>
      <c r="CMA212" s="146"/>
      <c r="CMB212" s="142"/>
      <c r="CMC212" s="143"/>
      <c r="CMD212" s="144"/>
      <c r="CME212" s="124"/>
      <c r="CMF212" s="145"/>
      <c r="CMG212" s="145"/>
      <c r="CMH212" s="146"/>
      <c r="CMI212" s="142"/>
      <c r="CMJ212" s="143"/>
      <c r="CMK212" s="144"/>
      <c r="CML212" s="124"/>
      <c r="CMM212" s="145"/>
      <c r="CMN212" s="145"/>
      <c r="CMO212" s="146"/>
      <c r="CMP212" s="142"/>
      <c r="CMQ212" s="143"/>
      <c r="CMR212" s="144"/>
      <c r="CMS212" s="124"/>
      <c r="CMT212" s="145"/>
      <c r="CMU212" s="145"/>
      <c r="CMV212" s="146"/>
      <c r="CMW212" s="142"/>
      <c r="CMX212" s="143"/>
      <c r="CMY212" s="144"/>
      <c r="CMZ212" s="124"/>
      <c r="CNA212" s="145"/>
      <c r="CNB212" s="145"/>
      <c r="CNC212" s="146"/>
      <c r="CND212" s="142"/>
      <c r="CNE212" s="143"/>
      <c r="CNF212" s="144"/>
      <c r="CNG212" s="124"/>
      <c r="CNH212" s="145"/>
      <c r="CNI212" s="145"/>
      <c r="CNJ212" s="146"/>
      <c r="CNK212" s="142"/>
      <c r="CNL212" s="143"/>
      <c r="CNM212" s="144"/>
      <c r="CNN212" s="124"/>
      <c r="CNO212" s="145"/>
      <c r="CNP212" s="145"/>
      <c r="CNQ212" s="146"/>
      <c r="CNR212" s="142"/>
      <c r="CNS212" s="143"/>
      <c r="CNT212" s="144"/>
      <c r="CNU212" s="124"/>
      <c r="CNV212" s="145"/>
      <c r="CNW212" s="145"/>
      <c r="CNX212" s="146"/>
      <c r="CNY212" s="142"/>
      <c r="CNZ212" s="143"/>
      <c r="COA212" s="144"/>
      <c r="COB212" s="124"/>
      <c r="COC212" s="145"/>
      <c r="COD212" s="145"/>
      <c r="COE212" s="146"/>
      <c r="COF212" s="142"/>
      <c r="COG212" s="143"/>
      <c r="COH212" s="144"/>
      <c r="COI212" s="124"/>
      <c r="COJ212" s="145"/>
      <c r="COK212" s="145"/>
      <c r="COL212" s="146"/>
      <c r="COM212" s="142"/>
      <c r="CON212" s="143"/>
      <c r="COO212" s="144"/>
      <c r="COP212" s="124"/>
      <c r="COQ212" s="145"/>
      <c r="COR212" s="145"/>
      <c r="COS212" s="146"/>
      <c r="COT212" s="142"/>
      <c r="COU212" s="143"/>
      <c r="COV212" s="144"/>
      <c r="COW212" s="124"/>
      <c r="COX212" s="145"/>
      <c r="COY212" s="145"/>
      <c r="COZ212" s="146"/>
      <c r="CPA212" s="142"/>
      <c r="CPB212" s="143"/>
      <c r="CPC212" s="144"/>
      <c r="CPD212" s="124"/>
      <c r="CPE212" s="145"/>
      <c r="CPF212" s="145"/>
      <c r="CPG212" s="146"/>
      <c r="CPH212" s="142"/>
      <c r="CPI212" s="143"/>
      <c r="CPJ212" s="144"/>
      <c r="CPK212" s="124"/>
      <c r="CPL212" s="145"/>
      <c r="CPM212" s="145"/>
      <c r="CPN212" s="146"/>
      <c r="CPO212" s="142"/>
      <c r="CPP212" s="143"/>
      <c r="CPQ212" s="144"/>
      <c r="CPR212" s="124"/>
      <c r="CPS212" s="145"/>
      <c r="CPT212" s="145"/>
      <c r="CPU212" s="146"/>
      <c r="CPV212" s="142"/>
      <c r="CPW212" s="143"/>
      <c r="CPX212" s="144"/>
      <c r="CPY212" s="124"/>
      <c r="CPZ212" s="145"/>
      <c r="CQA212" s="145"/>
      <c r="CQB212" s="146"/>
      <c r="CQC212" s="142"/>
      <c r="CQD212" s="143"/>
      <c r="CQE212" s="144"/>
      <c r="CQF212" s="124"/>
      <c r="CQG212" s="145"/>
      <c r="CQH212" s="145"/>
      <c r="CQI212" s="146"/>
      <c r="CQJ212" s="142"/>
      <c r="CQK212" s="143"/>
      <c r="CQL212" s="144"/>
      <c r="CQM212" s="124"/>
      <c r="CQN212" s="145"/>
      <c r="CQO212" s="145"/>
      <c r="CQP212" s="146"/>
      <c r="CQQ212" s="142"/>
      <c r="CQR212" s="143"/>
      <c r="CQS212" s="144"/>
      <c r="CQT212" s="124"/>
      <c r="CQU212" s="145"/>
      <c r="CQV212" s="145"/>
      <c r="CQW212" s="146"/>
      <c r="CQX212" s="142"/>
      <c r="CQY212" s="143"/>
      <c r="CQZ212" s="144"/>
      <c r="CRA212" s="124"/>
      <c r="CRB212" s="145"/>
      <c r="CRC212" s="145"/>
      <c r="CRD212" s="146"/>
      <c r="CRE212" s="142"/>
      <c r="CRF212" s="143"/>
      <c r="CRG212" s="144"/>
      <c r="CRH212" s="124"/>
      <c r="CRI212" s="145"/>
      <c r="CRJ212" s="145"/>
      <c r="CRK212" s="146"/>
      <c r="CRL212" s="142"/>
      <c r="CRM212" s="143"/>
      <c r="CRN212" s="144"/>
      <c r="CRO212" s="124"/>
      <c r="CRP212" s="145"/>
      <c r="CRQ212" s="145"/>
      <c r="CRR212" s="146"/>
      <c r="CRS212" s="142"/>
      <c r="CRT212" s="143"/>
      <c r="CRU212" s="144"/>
      <c r="CRV212" s="124"/>
      <c r="CRW212" s="145"/>
      <c r="CRX212" s="145"/>
      <c r="CRY212" s="146"/>
      <c r="CRZ212" s="142"/>
      <c r="CSA212" s="143"/>
      <c r="CSB212" s="144"/>
      <c r="CSC212" s="124"/>
      <c r="CSD212" s="145"/>
      <c r="CSE212" s="145"/>
      <c r="CSF212" s="146"/>
      <c r="CSG212" s="142"/>
      <c r="CSH212" s="143"/>
      <c r="CSI212" s="144"/>
      <c r="CSJ212" s="124"/>
      <c r="CSK212" s="145"/>
      <c r="CSL212" s="145"/>
      <c r="CSM212" s="146"/>
      <c r="CSN212" s="142"/>
      <c r="CSO212" s="143"/>
      <c r="CSP212" s="144"/>
      <c r="CSQ212" s="124"/>
      <c r="CSR212" s="145"/>
      <c r="CSS212" s="145"/>
      <c r="CST212" s="146"/>
      <c r="CSU212" s="142"/>
      <c r="CSV212" s="143"/>
      <c r="CSW212" s="144"/>
      <c r="CSX212" s="124"/>
      <c r="CSY212" s="145"/>
      <c r="CSZ212" s="145"/>
      <c r="CTA212" s="146"/>
      <c r="CTB212" s="142"/>
      <c r="CTC212" s="143"/>
      <c r="CTD212" s="144"/>
      <c r="CTE212" s="124"/>
      <c r="CTF212" s="145"/>
      <c r="CTG212" s="145"/>
      <c r="CTH212" s="146"/>
      <c r="CTI212" s="142"/>
      <c r="CTJ212" s="143"/>
      <c r="CTK212" s="144"/>
      <c r="CTL212" s="124"/>
      <c r="CTM212" s="145"/>
      <c r="CTN212" s="145"/>
      <c r="CTO212" s="146"/>
      <c r="CTP212" s="142"/>
      <c r="CTQ212" s="143"/>
      <c r="CTR212" s="144"/>
      <c r="CTS212" s="124"/>
      <c r="CTT212" s="145"/>
      <c r="CTU212" s="145"/>
      <c r="CTV212" s="146"/>
      <c r="CTW212" s="142"/>
      <c r="CTX212" s="143"/>
      <c r="CTY212" s="144"/>
      <c r="CTZ212" s="124"/>
      <c r="CUA212" s="145"/>
      <c r="CUB212" s="145"/>
      <c r="CUC212" s="146"/>
      <c r="CUD212" s="142"/>
      <c r="CUE212" s="143"/>
      <c r="CUF212" s="144"/>
      <c r="CUG212" s="124"/>
      <c r="CUH212" s="145"/>
      <c r="CUI212" s="145"/>
      <c r="CUJ212" s="146"/>
      <c r="CUK212" s="142"/>
      <c r="CUL212" s="143"/>
      <c r="CUM212" s="144"/>
      <c r="CUN212" s="124"/>
      <c r="CUO212" s="145"/>
      <c r="CUP212" s="145"/>
      <c r="CUQ212" s="146"/>
      <c r="CUR212" s="142"/>
      <c r="CUS212" s="143"/>
      <c r="CUT212" s="144"/>
      <c r="CUU212" s="124"/>
      <c r="CUV212" s="145"/>
      <c r="CUW212" s="145"/>
      <c r="CUX212" s="146"/>
      <c r="CUY212" s="142"/>
      <c r="CUZ212" s="143"/>
      <c r="CVA212" s="144"/>
      <c r="CVB212" s="124"/>
      <c r="CVC212" s="145"/>
      <c r="CVD212" s="145"/>
      <c r="CVE212" s="146"/>
      <c r="CVF212" s="142"/>
      <c r="CVG212" s="143"/>
      <c r="CVH212" s="144"/>
      <c r="CVI212" s="124"/>
      <c r="CVJ212" s="145"/>
      <c r="CVK212" s="145"/>
      <c r="CVL212" s="146"/>
      <c r="CVM212" s="142"/>
      <c r="CVN212" s="143"/>
      <c r="CVO212" s="144"/>
      <c r="CVP212" s="124"/>
      <c r="CVQ212" s="145"/>
      <c r="CVR212" s="145"/>
      <c r="CVS212" s="146"/>
      <c r="CVT212" s="142"/>
      <c r="CVU212" s="143"/>
      <c r="CVV212" s="144"/>
      <c r="CVW212" s="124"/>
      <c r="CVX212" s="145"/>
      <c r="CVY212" s="145"/>
      <c r="CVZ212" s="146"/>
      <c r="CWA212" s="142"/>
      <c r="CWB212" s="143"/>
      <c r="CWC212" s="144"/>
      <c r="CWD212" s="124"/>
      <c r="CWE212" s="145"/>
      <c r="CWF212" s="145"/>
      <c r="CWG212" s="146"/>
      <c r="CWH212" s="142"/>
      <c r="CWI212" s="143"/>
      <c r="CWJ212" s="144"/>
      <c r="CWK212" s="124"/>
      <c r="CWL212" s="145"/>
      <c r="CWM212" s="145"/>
      <c r="CWN212" s="146"/>
      <c r="CWO212" s="142"/>
      <c r="CWP212" s="143"/>
      <c r="CWQ212" s="144"/>
      <c r="CWR212" s="124"/>
      <c r="CWS212" s="145"/>
      <c r="CWT212" s="145"/>
      <c r="CWU212" s="146"/>
      <c r="CWV212" s="142"/>
      <c r="CWW212" s="143"/>
      <c r="CWX212" s="144"/>
      <c r="CWY212" s="124"/>
      <c r="CWZ212" s="145"/>
      <c r="CXA212" s="145"/>
      <c r="CXB212" s="146"/>
      <c r="CXC212" s="142"/>
      <c r="CXD212" s="143"/>
      <c r="CXE212" s="144"/>
      <c r="CXF212" s="124"/>
      <c r="CXG212" s="145"/>
      <c r="CXH212" s="145"/>
      <c r="CXI212" s="146"/>
      <c r="CXJ212" s="142"/>
      <c r="CXK212" s="143"/>
      <c r="CXL212" s="144"/>
      <c r="CXM212" s="124"/>
      <c r="CXN212" s="145"/>
      <c r="CXO212" s="145"/>
      <c r="CXP212" s="146"/>
      <c r="CXQ212" s="142"/>
      <c r="CXR212" s="143"/>
      <c r="CXS212" s="144"/>
      <c r="CXT212" s="124"/>
      <c r="CXU212" s="145"/>
      <c r="CXV212" s="145"/>
      <c r="CXW212" s="146"/>
      <c r="CXX212" s="142"/>
      <c r="CXY212" s="143"/>
      <c r="CXZ212" s="144"/>
      <c r="CYA212" s="124"/>
      <c r="CYB212" s="145"/>
      <c r="CYC212" s="145"/>
      <c r="CYD212" s="146"/>
      <c r="CYE212" s="142"/>
      <c r="CYF212" s="143"/>
      <c r="CYG212" s="144"/>
      <c r="CYH212" s="124"/>
      <c r="CYI212" s="145"/>
      <c r="CYJ212" s="145"/>
      <c r="CYK212" s="146"/>
      <c r="CYL212" s="142"/>
      <c r="CYM212" s="143"/>
      <c r="CYN212" s="144"/>
      <c r="CYO212" s="124"/>
      <c r="CYP212" s="145"/>
      <c r="CYQ212" s="145"/>
      <c r="CYR212" s="146"/>
      <c r="CYS212" s="142"/>
      <c r="CYT212" s="143"/>
      <c r="CYU212" s="144"/>
      <c r="CYV212" s="124"/>
      <c r="CYW212" s="145"/>
      <c r="CYX212" s="145"/>
      <c r="CYY212" s="146"/>
      <c r="CYZ212" s="142"/>
      <c r="CZA212" s="143"/>
      <c r="CZB212" s="144"/>
      <c r="CZC212" s="124"/>
      <c r="CZD212" s="145"/>
      <c r="CZE212" s="145"/>
      <c r="CZF212" s="146"/>
      <c r="CZG212" s="142"/>
      <c r="CZH212" s="143"/>
      <c r="CZI212" s="144"/>
      <c r="CZJ212" s="124"/>
      <c r="CZK212" s="145"/>
      <c r="CZL212" s="145"/>
      <c r="CZM212" s="146"/>
      <c r="CZN212" s="142"/>
      <c r="CZO212" s="143"/>
      <c r="CZP212" s="144"/>
      <c r="CZQ212" s="124"/>
      <c r="CZR212" s="145"/>
      <c r="CZS212" s="145"/>
      <c r="CZT212" s="146"/>
      <c r="CZU212" s="142"/>
      <c r="CZV212" s="143"/>
      <c r="CZW212" s="144"/>
      <c r="CZX212" s="124"/>
      <c r="CZY212" s="145"/>
      <c r="CZZ212" s="145"/>
      <c r="DAA212" s="146"/>
      <c r="DAB212" s="142"/>
      <c r="DAC212" s="143"/>
      <c r="DAD212" s="144"/>
      <c r="DAE212" s="124"/>
      <c r="DAF212" s="145"/>
      <c r="DAG212" s="145"/>
      <c r="DAH212" s="146"/>
      <c r="DAI212" s="142"/>
      <c r="DAJ212" s="143"/>
      <c r="DAK212" s="144"/>
      <c r="DAL212" s="124"/>
      <c r="DAM212" s="145"/>
      <c r="DAN212" s="145"/>
      <c r="DAO212" s="146"/>
      <c r="DAP212" s="142"/>
      <c r="DAQ212" s="143"/>
      <c r="DAR212" s="144"/>
      <c r="DAS212" s="124"/>
      <c r="DAT212" s="145"/>
      <c r="DAU212" s="145"/>
      <c r="DAV212" s="146"/>
      <c r="DAW212" s="142"/>
      <c r="DAX212" s="143"/>
      <c r="DAY212" s="144"/>
      <c r="DAZ212" s="124"/>
      <c r="DBA212" s="145"/>
      <c r="DBB212" s="145"/>
      <c r="DBC212" s="146"/>
      <c r="DBD212" s="142"/>
      <c r="DBE212" s="143"/>
      <c r="DBF212" s="144"/>
      <c r="DBG212" s="124"/>
      <c r="DBH212" s="145"/>
      <c r="DBI212" s="145"/>
      <c r="DBJ212" s="146"/>
      <c r="DBK212" s="142"/>
      <c r="DBL212" s="143"/>
      <c r="DBM212" s="144"/>
      <c r="DBN212" s="124"/>
      <c r="DBO212" s="145"/>
      <c r="DBP212" s="145"/>
      <c r="DBQ212" s="146"/>
      <c r="DBR212" s="142"/>
      <c r="DBS212" s="143"/>
      <c r="DBT212" s="144"/>
      <c r="DBU212" s="124"/>
      <c r="DBV212" s="145"/>
      <c r="DBW212" s="145"/>
      <c r="DBX212" s="146"/>
      <c r="DBY212" s="142"/>
      <c r="DBZ212" s="143"/>
      <c r="DCA212" s="144"/>
      <c r="DCB212" s="124"/>
      <c r="DCC212" s="145"/>
      <c r="DCD212" s="145"/>
      <c r="DCE212" s="146"/>
      <c r="DCF212" s="142"/>
      <c r="DCG212" s="143"/>
      <c r="DCH212" s="144"/>
      <c r="DCI212" s="124"/>
      <c r="DCJ212" s="145"/>
      <c r="DCK212" s="145"/>
      <c r="DCL212" s="146"/>
      <c r="DCM212" s="142"/>
      <c r="DCN212" s="143"/>
      <c r="DCO212" s="144"/>
      <c r="DCP212" s="124"/>
      <c r="DCQ212" s="145"/>
      <c r="DCR212" s="145"/>
      <c r="DCS212" s="146"/>
      <c r="DCT212" s="142"/>
      <c r="DCU212" s="143"/>
      <c r="DCV212" s="144"/>
      <c r="DCW212" s="124"/>
      <c r="DCX212" s="145"/>
      <c r="DCY212" s="145"/>
      <c r="DCZ212" s="146"/>
      <c r="DDA212" s="142"/>
      <c r="DDB212" s="143"/>
      <c r="DDC212" s="144"/>
      <c r="DDD212" s="124"/>
      <c r="DDE212" s="145"/>
      <c r="DDF212" s="145"/>
      <c r="DDG212" s="146"/>
      <c r="DDH212" s="142"/>
      <c r="DDI212" s="143"/>
      <c r="DDJ212" s="144"/>
      <c r="DDK212" s="124"/>
      <c r="DDL212" s="145"/>
      <c r="DDM212" s="145"/>
      <c r="DDN212" s="146"/>
      <c r="DDO212" s="142"/>
      <c r="DDP212" s="143"/>
      <c r="DDQ212" s="144"/>
      <c r="DDR212" s="124"/>
      <c r="DDS212" s="145"/>
      <c r="DDT212" s="145"/>
      <c r="DDU212" s="146"/>
      <c r="DDV212" s="142"/>
      <c r="DDW212" s="143"/>
      <c r="DDX212" s="144"/>
      <c r="DDY212" s="124"/>
      <c r="DDZ212" s="145"/>
      <c r="DEA212" s="145"/>
      <c r="DEB212" s="146"/>
      <c r="DEC212" s="142"/>
      <c r="DED212" s="143"/>
      <c r="DEE212" s="144"/>
      <c r="DEF212" s="124"/>
      <c r="DEG212" s="145"/>
      <c r="DEH212" s="145"/>
      <c r="DEI212" s="146"/>
      <c r="DEJ212" s="142"/>
      <c r="DEK212" s="143"/>
      <c r="DEL212" s="144"/>
      <c r="DEM212" s="124"/>
      <c r="DEN212" s="145"/>
      <c r="DEO212" s="145"/>
      <c r="DEP212" s="146"/>
      <c r="DEQ212" s="142"/>
      <c r="DER212" s="143"/>
      <c r="DES212" s="144"/>
      <c r="DET212" s="124"/>
      <c r="DEU212" s="145"/>
      <c r="DEV212" s="145"/>
      <c r="DEW212" s="146"/>
      <c r="DEX212" s="142"/>
      <c r="DEY212" s="143"/>
      <c r="DEZ212" s="144"/>
      <c r="DFA212" s="124"/>
      <c r="DFB212" s="145"/>
      <c r="DFC212" s="145"/>
      <c r="DFD212" s="146"/>
      <c r="DFE212" s="142"/>
      <c r="DFF212" s="143"/>
      <c r="DFG212" s="144"/>
      <c r="DFH212" s="124"/>
      <c r="DFI212" s="145"/>
      <c r="DFJ212" s="145"/>
      <c r="DFK212" s="146"/>
      <c r="DFL212" s="142"/>
      <c r="DFM212" s="143"/>
      <c r="DFN212" s="144"/>
      <c r="DFO212" s="124"/>
      <c r="DFP212" s="145"/>
      <c r="DFQ212" s="145"/>
      <c r="DFR212" s="146"/>
      <c r="DFS212" s="142"/>
      <c r="DFT212" s="143"/>
      <c r="DFU212" s="144"/>
      <c r="DFV212" s="124"/>
      <c r="DFW212" s="145"/>
      <c r="DFX212" s="145"/>
      <c r="DFY212" s="146"/>
      <c r="DFZ212" s="142"/>
      <c r="DGA212" s="143"/>
      <c r="DGB212" s="144"/>
      <c r="DGC212" s="124"/>
      <c r="DGD212" s="145"/>
      <c r="DGE212" s="145"/>
      <c r="DGF212" s="146"/>
      <c r="DGG212" s="142"/>
      <c r="DGH212" s="143"/>
      <c r="DGI212" s="144"/>
      <c r="DGJ212" s="124"/>
      <c r="DGK212" s="145"/>
      <c r="DGL212" s="145"/>
      <c r="DGM212" s="146"/>
      <c r="DGN212" s="142"/>
      <c r="DGO212" s="143"/>
      <c r="DGP212" s="144"/>
      <c r="DGQ212" s="124"/>
      <c r="DGR212" s="145"/>
      <c r="DGS212" s="145"/>
      <c r="DGT212" s="146"/>
      <c r="DGU212" s="142"/>
      <c r="DGV212" s="143"/>
      <c r="DGW212" s="144"/>
      <c r="DGX212" s="124"/>
      <c r="DGY212" s="145"/>
      <c r="DGZ212" s="145"/>
      <c r="DHA212" s="146"/>
      <c r="DHB212" s="142"/>
      <c r="DHC212" s="143"/>
      <c r="DHD212" s="144"/>
      <c r="DHE212" s="124"/>
      <c r="DHF212" s="145"/>
      <c r="DHG212" s="145"/>
      <c r="DHH212" s="146"/>
      <c r="DHI212" s="142"/>
      <c r="DHJ212" s="143"/>
      <c r="DHK212" s="144"/>
      <c r="DHL212" s="124"/>
      <c r="DHM212" s="145"/>
      <c r="DHN212" s="145"/>
      <c r="DHO212" s="146"/>
      <c r="DHP212" s="142"/>
      <c r="DHQ212" s="143"/>
      <c r="DHR212" s="144"/>
      <c r="DHS212" s="124"/>
      <c r="DHT212" s="145"/>
      <c r="DHU212" s="145"/>
      <c r="DHV212" s="146"/>
      <c r="DHW212" s="142"/>
      <c r="DHX212" s="143"/>
      <c r="DHY212" s="144"/>
      <c r="DHZ212" s="124"/>
      <c r="DIA212" s="145"/>
      <c r="DIB212" s="145"/>
      <c r="DIC212" s="146"/>
      <c r="DID212" s="142"/>
      <c r="DIE212" s="143"/>
      <c r="DIF212" s="144"/>
      <c r="DIG212" s="124"/>
      <c r="DIH212" s="145"/>
      <c r="DII212" s="145"/>
      <c r="DIJ212" s="146"/>
      <c r="DIK212" s="142"/>
      <c r="DIL212" s="143"/>
      <c r="DIM212" s="144"/>
      <c r="DIN212" s="124"/>
      <c r="DIO212" s="145"/>
      <c r="DIP212" s="145"/>
      <c r="DIQ212" s="146"/>
      <c r="DIR212" s="142"/>
      <c r="DIS212" s="143"/>
      <c r="DIT212" s="144"/>
      <c r="DIU212" s="124"/>
      <c r="DIV212" s="145"/>
      <c r="DIW212" s="145"/>
      <c r="DIX212" s="146"/>
      <c r="DIY212" s="142"/>
      <c r="DIZ212" s="143"/>
      <c r="DJA212" s="144"/>
      <c r="DJB212" s="124"/>
      <c r="DJC212" s="145"/>
      <c r="DJD212" s="145"/>
      <c r="DJE212" s="146"/>
      <c r="DJF212" s="142"/>
      <c r="DJG212" s="143"/>
      <c r="DJH212" s="144"/>
      <c r="DJI212" s="124"/>
      <c r="DJJ212" s="145"/>
      <c r="DJK212" s="145"/>
      <c r="DJL212" s="146"/>
      <c r="DJM212" s="142"/>
      <c r="DJN212" s="143"/>
      <c r="DJO212" s="144"/>
      <c r="DJP212" s="124"/>
      <c r="DJQ212" s="145"/>
      <c r="DJR212" s="145"/>
      <c r="DJS212" s="146"/>
      <c r="DJT212" s="142"/>
      <c r="DJU212" s="143"/>
      <c r="DJV212" s="144"/>
      <c r="DJW212" s="124"/>
      <c r="DJX212" s="145"/>
      <c r="DJY212" s="145"/>
      <c r="DJZ212" s="146"/>
      <c r="DKA212" s="142"/>
      <c r="DKB212" s="143"/>
      <c r="DKC212" s="144"/>
      <c r="DKD212" s="124"/>
      <c r="DKE212" s="145"/>
      <c r="DKF212" s="145"/>
      <c r="DKG212" s="146"/>
      <c r="DKH212" s="142"/>
      <c r="DKI212" s="143"/>
      <c r="DKJ212" s="144"/>
      <c r="DKK212" s="124"/>
      <c r="DKL212" s="145"/>
      <c r="DKM212" s="145"/>
      <c r="DKN212" s="146"/>
      <c r="DKO212" s="142"/>
      <c r="DKP212" s="143"/>
      <c r="DKQ212" s="144"/>
      <c r="DKR212" s="124"/>
      <c r="DKS212" s="145"/>
      <c r="DKT212" s="145"/>
      <c r="DKU212" s="146"/>
      <c r="DKV212" s="142"/>
      <c r="DKW212" s="143"/>
      <c r="DKX212" s="144"/>
      <c r="DKY212" s="124"/>
      <c r="DKZ212" s="145"/>
      <c r="DLA212" s="145"/>
      <c r="DLB212" s="146"/>
      <c r="DLC212" s="142"/>
      <c r="DLD212" s="143"/>
      <c r="DLE212" s="144"/>
      <c r="DLF212" s="124"/>
      <c r="DLG212" s="145"/>
      <c r="DLH212" s="145"/>
      <c r="DLI212" s="146"/>
      <c r="DLJ212" s="142"/>
      <c r="DLK212" s="143"/>
      <c r="DLL212" s="144"/>
      <c r="DLM212" s="124"/>
      <c r="DLN212" s="145"/>
      <c r="DLO212" s="145"/>
      <c r="DLP212" s="146"/>
      <c r="DLQ212" s="142"/>
      <c r="DLR212" s="143"/>
      <c r="DLS212" s="144"/>
      <c r="DLT212" s="124"/>
      <c r="DLU212" s="145"/>
      <c r="DLV212" s="145"/>
      <c r="DLW212" s="146"/>
      <c r="DLX212" s="142"/>
      <c r="DLY212" s="143"/>
      <c r="DLZ212" s="144"/>
      <c r="DMA212" s="124"/>
      <c r="DMB212" s="145"/>
      <c r="DMC212" s="145"/>
      <c r="DMD212" s="146"/>
      <c r="DME212" s="142"/>
      <c r="DMF212" s="143"/>
      <c r="DMG212" s="144"/>
      <c r="DMH212" s="124"/>
      <c r="DMI212" s="145"/>
      <c r="DMJ212" s="145"/>
      <c r="DMK212" s="146"/>
      <c r="DML212" s="142"/>
      <c r="DMM212" s="143"/>
      <c r="DMN212" s="144"/>
      <c r="DMO212" s="124"/>
      <c r="DMP212" s="145"/>
      <c r="DMQ212" s="145"/>
      <c r="DMR212" s="146"/>
      <c r="DMS212" s="142"/>
      <c r="DMT212" s="143"/>
      <c r="DMU212" s="144"/>
      <c r="DMV212" s="124"/>
      <c r="DMW212" s="145"/>
      <c r="DMX212" s="145"/>
      <c r="DMY212" s="146"/>
      <c r="DMZ212" s="142"/>
      <c r="DNA212" s="143"/>
      <c r="DNB212" s="144"/>
      <c r="DNC212" s="124"/>
      <c r="DND212" s="145"/>
      <c r="DNE212" s="145"/>
      <c r="DNF212" s="146"/>
      <c r="DNG212" s="142"/>
      <c r="DNH212" s="143"/>
      <c r="DNI212" s="144"/>
      <c r="DNJ212" s="124"/>
      <c r="DNK212" s="145"/>
      <c r="DNL212" s="145"/>
      <c r="DNM212" s="146"/>
      <c r="DNN212" s="142"/>
      <c r="DNO212" s="143"/>
      <c r="DNP212" s="144"/>
      <c r="DNQ212" s="124"/>
      <c r="DNR212" s="145"/>
      <c r="DNS212" s="145"/>
      <c r="DNT212" s="146"/>
      <c r="DNU212" s="142"/>
      <c r="DNV212" s="143"/>
      <c r="DNW212" s="144"/>
      <c r="DNX212" s="124"/>
      <c r="DNY212" s="145"/>
      <c r="DNZ212" s="145"/>
      <c r="DOA212" s="146"/>
      <c r="DOB212" s="142"/>
      <c r="DOC212" s="143"/>
      <c r="DOD212" s="144"/>
      <c r="DOE212" s="124"/>
      <c r="DOF212" s="145"/>
      <c r="DOG212" s="145"/>
      <c r="DOH212" s="146"/>
      <c r="DOI212" s="142"/>
      <c r="DOJ212" s="143"/>
      <c r="DOK212" s="144"/>
      <c r="DOL212" s="124"/>
      <c r="DOM212" s="145"/>
      <c r="DON212" s="145"/>
      <c r="DOO212" s="146"/>
      <c r="DOP212" s="142"/>
      <c r="DOQ212" s="143"/>
      <c r="DOR212" s="144"/>
      <c r="DOS212" s="124"/>
      <c r="DOT212" s="145"/>
      <c r="DOU212" s="145"/>
      <c r="DOV212" s="146"/>
      <c r="DOW212" s="142"/>
      <c r="DOX212" s="143"/>
      <c r="DOY212" s="144"/>
      <c r="DOZ212" s="124"/>
      <c r="DPA212" s="145"/>
      <c r="DPB212" s="145"/>
      <c r="DPC212" s="146"/>
      <c r="DPD212" s="142"/>
      <c r="DPE212" s="143"/>
      <c r="DPF212" s="144"/>
      <c r="DPG212" s="124"/>
      <c r="DPH212" s="145"/>
      <c r="DPI212" s="145"/>
      <c r="DPJ212" s="146"/>
      <c r="DPK212" s="142"/>
      <c r="DPL212" s="143"/>
      <c r="DPM212" s="144"/>
      <c r="DPN212" s="124"/>
      <c r="DPO212" s="145"/>
      <c r="DPP212" s="145"/>
      <c r="DPQ212" s="146"/>
      <c r="DPR212" s="142"/>
      <c r="DPS212" s="143"/>
      <c r="DPT212" s="144"/>
      <c r="DPU212" s="124"/>
      <c r="DPV212" s="145"/>
      <c r="DPW212" s="145"/>
      <c r="DPX212" s="146"/>
      <c r="DPY212" s="142"/>
      <c r="DPZ212" s="143"/>
      <c r="DQA212" s="144"/>
      <c r="DQB212" s="124"/>
      <c r="DQC212" s="145"/>
      <c r="DQD212" s="145"/>
      <c r="DQE212" s="146"/>
      <c r="DQF212" s="142"/>
      <c r="DQG212" s="143"/>
      <c r="DQH212" s="144"/>
      <c r="DQI212" s="124"/>
      <c r="DQJ212" s="145"/>
      <c r="DQK212" s="145"/>
      <c r="DQL212" s="146"/>
      <c r="DQM212" s="142"/>
      <c r="DQN212" s="143"/>
      <c r="DQO212" s="144"/>
      <c r="DQP212" s="124"/>
      <c r="DQQ212" s="145"/>
      <c r="DQR212" s="145"/>
      <c r="DQS212" s="146"/>
      <c r="DQT212" s="142"/>
      <c r="DQU212" s="143"/>
      <c r="DQV212" s="144"/>
      <c r="DQW212" s="124"/>
      <c r="DQX212" s="145"/>
      <c r="DQY212" s="145"/>
      <c r="DQZ212" s="146"/>
      <c r="DRA212" s="142"/>
      <c r="DRB212" s="143"/>
      <c r="DRC212" s="144"/>
      <c r="DRD212" s="124"/>
      <c r="DRE212" s="145"/>
      <c r="DRF212" s="145"/>
      <c r="DRG212" s="146"/>
      <c r="DRH212" s="142"/>
      <c r="DRI212" s="143"/>
      <c r="DRJ212" s="144"/>
      <c r="DRK212" s="124"/>
      <c r="DRL212" s="145"/>
      <c r="DRM212" s="145"/>
      <c r="DRN212" s="146"/>
      <c r="DRO212" s="142"/>
      <c r="DRP212" s="143"/>
      <c r="DRQ212" s="144"/>
      <c r="DRR212" s="124"/>
      <c r="DRS212" s="145"/>
      <c r="DRT212" s="145"/>
      <c r="DRU212" s="146"/>
      <c r="DRV212" s="142"/>
      <c r="DRW212" s="143"/>
      <c r="DRX212" s="144"/>
      <c r="DRY212" s="124"/>
      <c r="DRZ212" s="145"/>
      <c r="DSA212" s="145"/>
      <c r="DSB212" s="146"/>
      <c r="DSC212" s="142"/>
      <c r="DSD212" s="143"/>
      <c r="DSE212" s="144"/>
      <c r="DSF212" s="124"/>
      <c r="DSG212" s="145"/>
      <c r="DSH212" s="145"/>
      <c r="DSI212" s="146"/>
      <c r="DSJ212" s="142"/>
      <c r="DSK212" s="143"/>
      <c r="DSL212" s="144"/>
      <c r="DSM212" s="124"/>
      <c r="DSN212" s="145"/>
      <c r="DSO212" s="145"/>
      <c r="DSP212" s="146"/>
      <c r="DSQ212" s="142"/>
      <c r="DSR212" s="143"/>
      <c r="DSS212" s="144"/>
      <c r="DST212" s="124"/>
      <c r="DSU212" s="145"/>
      <c r="DSV212" s="145"/>
      <c r="DSW212" s="146"/>
      <c r="DSX212" s="142"/>
      <c r="DSY212" s="143"/>
      <c r="DSZ212" s="144"/>
      <c r="DTA212" s="124"/>
      <c r="DTB212" s="145"/>
      <c r="DTC212" s="145"/>
      <c r="DTD212" s="146"/>
      <c r="DTE212" s="142"/>
      <c r="DTF212" s="143"/>
      <c r="DTG212" s="144"/>
      <c r="DTH212" s="124"/>
      <c r="DTI212" s="145"/>
      <c r="DTJ212" s="145"/>
      <c r="DTK212" s="146"/>
      <c r="DTL212" s="142"/>
      <c r="DTM212" s="143"/>
      <c r="DTN212" s="144"/>
      <c r="DTO212" s="124"/>
      <c r="DTP212" s="145"/>
      <c r="DTQ212" s="145"/>
      <c r="DTR212" s="146"/>
      <c r="DTS212" s="142"/>
      <c r="DTT212" s="143"/>
      <c r="DTU212" s="144"/>
      <c r="DTV212" s="124"/>
      <c r="DTW212" s="145"/>
      <c r="DTX212" s="145"/>
      <c r="DTY212" s="146"/>
      <c r="DTZ212" s="142"/>
      <c r="DUA212" s="143"/>
      <c r="DUB212" s="144"/>
      <c r="DUC212" s="124"/>
      <c r="DUD212" s="145"/>
      <c r="DUE212" s="145"/>
      <c r="DUF212" s="146"/>
      <c r="DUG212" s="142"/>
      <c r="DUH212" s="143"/>
      <c r="DUI212" s="144"/>
      <c r="DUJ212" s="124"/>
      <c r="DUK212" s="145"/>
      <c r="DUL212" s="145"/>
      <c r="DUM212" s="146"/>
      <c r="DUN212" s="142"/>
      <c r="DUO212" s="143"/>
      <c r="DUP212" s="144"/>
      <c r="DUQ212" s="124"/>
      <c r="DUR212" s="145"/>
      <c r="DUS212" s="145"/>
      <c r="DUT212" s="146"/>
      <c r="DUU212" s="142"/>
      <c r="DUV212" s="143"/>
      <c r="DUW212" s="144"/>
      <c r="DUX212" s="124"/>
      <c r="DUY212" s="145"/>
      <c r="DUZ212" s="145"/>
      <c r="DVA212" s="146"/>
      <c r="DVB212" s="142"/>
      <c r="DVC212" s="143"/>
      <c r="DVD212" s="144"/>
      <c r="DVE212" s="124"/>
      <c r="DVF212" s="145"/>
      <c r="DVG212" s="145"/>
      <c r="DVH212" s="146"/>
      <c r="DVI212" s="142"/>
      <c r="DVJ212" s="143"/>
      <c r="DVK212" s="144"/>
      <c r="DVL212" s="124"/>
      <c r="DVM212" s="145"/>
      <c r="DVN212" s="145"/>
      <c r="DVO212" s="146"/>
      <c r="DVP212" s="142"/>
      <c r="DVQ212" s="143"/>
      <c r="DVR212" s="144"/>
      <c r="DVS212" s="124"/>
      <c r="DVT212" s="145"/>
      <c r="DVU212" s="145"/>
      <c r="DVV212" s="146"/>
      <c r="DVW212" s="142"/>
      <c r="DVX212" s="143"/>
      <c r="DVY212" s="144"/>
      <c r="DVZ212" s="124"/>
      <c r="DWA212" s="145"/>
      <c r="DWB212" s="145"/>
      <c r="DWC212" s="146"/>
      <c r="DWD212" s="142"/>
      <c r="DWE212" s="143"/>
      <c r="DWF212" s="144"/>
      <c r="DWG212" s="124"/>
      <c r="DWH212" s="145"/>
      <c r="DWI212" s="145"/>
      <c r="DWJ212" s="146"/>
      <c r="DWK212" s="142"/>
      <c r="DWL212" s="143"/>
      <c r="DWM212" s="144"/>
      <c r="DWN212" s="124"/>
      <c r="DWO212" s="145"/>
      <c r="DWP212" s="145"/>
      <c r="DWQ212" s="146"/>
      <c r="DWR212" s="142"/>
      <c r="DWS212" s="143"/>
      <c r="DWT212" s="144"/>
      <c r="DWU212" s="124"/>
      <c r="DWV212" s="145"/>
      <c r="DWW212" s="145"/>
      <c r="DWX212" s="146"/>
      <c r="DWY212" s="142"/>
      <c r="DWZ212" s="143"/>
      <c r="DXA212" s="144"/>
      <c r="DXB212" s="124"/>
      <c r="DXC212" s="145"/>
      <c r="DXD212" s="145"/>
      <c r="DXE212" s="146"/>
      <c r="DXF212" s="142"/>
      <c r="DXG212" s="143"/>
      <c r="DXH212" s="144"/>
      <c r="DXI212" s="124"/>
      <c r="DXJ212" s="145"/>
      <c r="DXK212" s="145"/>
      <c r="DXL212" s="146"/>
      <c r="DXM212" s="142"/>
      <c r="DXN212" s="143"/>
      <c r="DXO212" s="144"/>
      <c r="DXP212" s="124"/>
      <c r="DXQ212" s="145"/>
      <c r="DXR212" s="145"/>
      <c r="DXS212" s="146"/>
      <c r="DXT212" s="142"/>
      <c r="DXU212" s="143"/>
      <c r="DXV212" s="144"/>
      <c r="DXW212" s="124"/>
      <c r="DXX212" s="145"/>
      <c r="DXY212" s="145"/>
      <c r="DXZ212" s="146"/>
      <c r="DYA212" s="142"/>
      <c r="DYB212" s="143"/>
      <c r="DYC212" s="144"/>
      <c r="DYD212" s="124"/>
      <c r="DYE212" s="145"/>
      <c r="DYF212" s="145"/>
      <c r="DYG212" s="146"/>
      <c r="DYH212" s="142"/>
      <c r="DYI212" s="143"/>
      <c r="DYJ212" s="144"/>
      <c r="DYK212" s="124"/>
      <c r="DYL212" s="145"/>
      <c r="DYM212" s="145"/>
      <c r="DYN212" s="146"/>
      <c r="DYO212" s="142"/>
      <c r="DYP212" s="143"/>
      <c r="DYQ212" s="144"/>
      <c r="DYR212" s="124"/>
      <c r="DYS212" s="145"/>
      <c r="DYT212" s="145"/>
      <c r="DYU212" s="146"/>
      <c r="DYV212" s="142"/>
      <c r="DYW212" s="143"/>
      <c r="DYX212" s="144"/>
      <c r="DYY212" s="124"/>
      <c r="DYZ212" s="145"/>
      <c r="DZA212" s="145"/>
      <c r="DZB212" s="146"/>
      <c r="DZC212" s="142"/>
      <c r="DZD212" s="143"/>
      <c r="DZE212" s="144"/>
      <c r="DZF212" s="124"/>
      <c r="DZG212" s="145"/>
      <c r="DZH212" s="145"/>
      <c r="DZI212" s="146"/>
      <c r="DZJ212" s="142"/>
      <c r="DZK212" s="143"/>
      <c r="DZL212" s="144"/>
      <c r="DZM212" s="124"/>
      <c r="DZN212" s="145"/>
      <c r="DZO212" s="145"/>
      <c r="DZP212" s="146"/>
      <c r="DZQ212" s="142"/>
      <c r="DZR212" s="143"/>
      <c r="DZS212" s="144"/>
      <c r="DZT212" s="124"/>
      <c r="DZU212" s="145"/>
      <c r="DZV212" s="145"/>
      <c r="DZW212" s="146"/>
      <c r="DZX212" s="142"/>
      <c r="DZY212" s="143"/>
      <c r="DZZ212" s="144"/>
      <c r="EAA212" s="124"/>
      <c r="EAB212" s="145"/>
      <c r="EAC212" s="145"/>
      <c r="EAD212" s="146"/>
      <c r="EAE212" s="142"/>
      <c r="EAF212" s="143"/>
      <c r="EAG212" s="144"/>
      <c r="EAH212" s="124"/>
      <c r="EAI212" s="145"/>
      <c r="EAJ212" s="145"/>
      <c r="EAK212" s="146"/>
      <c r="EAL212" s="142"/>
      <c r="EAM212" s="143"/>
      <c r="EAN212" s="144"/>
      <c r="EAO212" s="124"/>
      <c r="EAP212" s="145"/>
      <c r="EAQ212" s="145"/>
      <c r="EAR212" s="146"/>
      <c r="EAS212" s="142"/>
      <c r="EAT212" s="143"/>
      <c r="EAU212" s="144"/>
      <c r="EAV212" s="124"/>
      <c r="EAW212" s="145"/>
      <c r="EAX212" s="145"/>
      <c r="EAY212" s="146"/>
      <c r="EAZ212" s="142"/>
      <c r="EBA212" s="143"/>
      <c r="EBB212" s="144"/>
      <c r="EBC212" s="124"/>
      <c r="EBD212" s="145"/>
      <c r="EBE212" s="145"/>
      <c r="EBF212" s="146"/>
      <c r="EBG212" s="142"/>
      <c r="EBH212" s="143"/>
      <c r="EBI212" s="144"/>
      <c r="EBJ212" s="124"/>
      <c r="EBK212" s="145"/>
      <c r="EBL212" s="145"/>
      <c r="EBM212" s="146"/>
      <c r="EBN212" s="142"/>
      <c r="EBO212" s="143"/>
      <c r="EBP212" s="144"/>
      <c r="EBQ212" s="124"/>
      <c r="EBR212" s="145"/>
      <c r="EBS212" s="145"/>
      <c r="EBT212" s="146"/>
      <c r="EBU212" s="142"/>
      <c r="EBV212" s="143"/>
      <c r="EBW212" s="144"/>
      <c r="EBX212" s="124"/>
      <c r="EBY212" s="145"/>
      <c r="EBZ212" s="145"/>
      <c r="ECA212" s="146"/>
      <c r="ECB212" s="142"/>
      <c r="ECC212" s="143"/>
      <c r="ECD212" s="144"/>
      <c r="ECE212" s="124"/>
      <c r="ECF212" s="145"/>
      <c r="ECG212" s="145"/>
      <c r="ECH212" s="146"/>
      <c r="ECI212" s="142"/>
      <c r="ECJ212" s="143"/>
      <c r="ECK212" s="144"/>
      <c r="ECL212" s="124"/>
      <c r="ECM212" s="145"/>
      <c r="ECN212" s="145"/>
      <c r="ECO212" s="146"/>
      <c r="ECP212" s="142"/>
      <c r="ECQ212" s="143"/>
      <c r="ECR212" s="144"/>
      <c r="ECS212" s="124"/>
      <c r="ECT212" s="145"/>
      <c r="ECU212" s="145"/>
      <c r="ECV212" s="146"/>
      <c r="ECW212" s="142"/>
      <c r="ECX212" s="143"/>
      <c r="ECY212" s="144"/>
      <c r="ECZ212" s="124"/>
      <c r="EDA212" s="145"/>
      <c r="EDB212" s="145"/>
      <c r="EDC212" s="146"/>
      <c r="EDD212" s="142"/>
      <c r="EDE212" s="143"/>
      <c r="EDF212" s="144"/>
      <c r="EDG212" s="124"/>
      <c r="EDH212" s="145"/>
      <c r="EDI212" s="145"/>
      <c r="EDJ212" s="146"/>
      <c r="EDK212" s="142"/>
      <c r="EDL212" s="143"/>
      <c r="EDM212" s="144"/>
      <c r="EDN212" s="124"/>
      <c r="EDO212" s="145"/>
      <c r="EDP212" s="145"/>
      <c r="EDQ212" s="146"/>
      <c r="EDR212" s="142"/>
      <c r="EDS212" s="143"/>
      <c r="EDT212" s="144"/>
      <c r="EDU212" s="124"/>
      <c r="EDV212" s="145"/>
      <c r="EDW212" s="145"/>
      <c r="EDX212" s="146"/>
      <c r="EDY212" s="142"/>
      <c r="EDZ212" s="143"/>
      <c r="EEA212" s="144"/>
      <c r="EEB212" s="124"/>
      <c r="EEC212" s="145"/>
      <c r="EED212" s="145"/>
      <c r="EEE212" s="146"/>
      <c r="EEF212" s="142"/>
      <c r="EEG212" s="143"/>
      <c r="EEH212" s="144"/>
      <c r="EEI212" s="124"/>
      <c r="EEJ212" s="145"/>
      <c r="EEK212" s="145"/>
      <c r="EEL212" s="146"/>
      <c r="EEM212" s="142"/>
      <c r="EEN212" s="143"/>
      <c r="EEO212" s="144"/>
      <c r="EEP212" s="124"/>
      <c r="EEQ212" s="145"/>
      <c r="EER212" s="145"/>
      <c r="EES212" s="146"/>
      <c r="EET212" s="142"/>
      <c r="EEU212" s="143"/>
      <c r="EEV212" s="144"/>
      <c r="EEW212" s="124"/>
      <c r="EEX212" s="145"/>
      <c r="EEY212" s="145"/>
      <c r="EEZ212" s="146"/>
      <c r="EFA212" s="142"/>
      <c r="EFB212" s="143"/>
      <c r="EFC212" s="144"/>
      <c r="EFD212" s="124"/>
      <c r="EFE212" s="145"/>
      <c r="EFF212" s="145"/>
      <c r="EFG212" s="146"/>
      <c r="EFH212" s="142"/>
      <c r="EFI212" s="143"/>
      <c r="EFJ212" s="144"/>
      <c r="EFK212" s="124"/>
      <c r="EFL212" s="145"/>
      <c r="EFM212" s="145"/>
      <c r="EFN212" s="146"/>
      <c r="EFO212" s="142"/>
      <c r="EFP212" s="143"/>
      <c r="EFQ212" s="144"/>
      <c r="EFR212" s="124"/>
      <c r="EFS212" s="145"/>
      <c r="EFT212" s="145"/>
      <c r="EFU212" s="146"/>
      <c r="EFV212" s="142"/>
      <c r="EFW212" s="143"/>
      <c r="EFX212" s="144"/>
      <c r="EFY212" s="124"/>
      <c r="EFZ212" s="145"/>
      <c r="EGA212" s="145"/>
      <c r="EGB212" s="146"/>
      <c r="EGC212" s="142"/>
      <c r="EGD212" s="143"/>
      <c r="EGE212" s="144"/>
      <c r="EGF212" s="124"/>
      <c r="EGG212" s="145"/>
      <c r="EGH212" s="145"/>
      <c r="EGI212" s="146"/>
      <c r="EGJ212" s="142"/>
      <c r="EGK212" s="143"/>
      <c r="EGL212" s="144"/>
      <c r="EGM212" s="124"/>
      <c r="EGN212" s="145"/>
      <c r="EGO212" s="145"/>
      <c r="EGP212" s="146"/>
      <c r="EGQ212" s="142"/>
      <c r="EGR212" s="143"/>
      <c r="EGS212" s="144"/>
      <c r="EGT212" s="124"/>
      <c r="EGU212" s="145"/>
      <c r="EGV212" s="145"/>
      <c r="EGW212" s="146"/>
      <c r="EGX212" s="142"/>
      <c r="EGY212" s="143"/>
      <c r="EGZ212" s="144"/>
      <c r="EHA212" s="124"/>
      <c r="EHB212" s="145"/>
      <c r="EHC212" s="145"/>
      <c r="EHD212" s="146"/>
      <c r="EHE212" s="142"/>
      <c r="EHF212" s="143"/>
      <c r="EHG212" s="144"/>
      <c r="EHH212" s="124"/>
      <c r="EHI212" s="145"/>
      <c r="EHJ212" s="145"/>
      <c r="EHK212" s="146"/>
      <c r="EHL212" s="142"/>
      <c r="EHM212" s="143"/>
      <c r="EHN212" s="144"/>
      <c r="EHO212" s="124"/>
      <c r="EHP212" s="145"/>
      <c r="EHQ212" s="145"/>
      <c r="EHR212" s="146"/>
      <c r="EHS212" s="142"/>
      <c r="EHT212" s="143"/>
      <c r="EHU212" s="144"/>
      <c r="EHV212" s="124"/>
      <c r="EHW212" s="145"/>
      <c r="EHX212" s="145"/>
      <c r="EHY212" s="146"/>
      <c r="EHZ212" s="142"/>
      <c r="EIA212" s="143"/>
      <c r="EIB212" s="144"/>
      <c r="EIC212" s="124"/>
      <c r="EID212" s="145"/>
      <c r="EIE212" s="145"/>
      <c r="EIF212" s="146"/>
      <c r="EIG212" s="142"/>
      <c r="EIH212" s="143"/>
      <c r="EII212" s="144"/>
      <c r="EIJ212" s="124"/>
      <c r="EIK212" s="145"/>
      <c r="EIL212" s="145"/>
      <c r="EIM212" s="146"/>
      <c r="EIN212" s="142"/>
      <c r="EIO212" s="143"/>
      <c r="EIP212" s="144"/>
      <c r="EIQ212" s="124"/>
      <c r="EIR212" s="145"/>
      <c r="EIS212" s="145"/>
      <c r="EIT212" s="146"/>
      <c r="EIU212" s="142"/>
      <c r="EIV212" s="143"/>
      <c r="EIW212" s="144"/>
      <c r="EIX212" s="124"/>
      <c r="EIY212" s="145"/>
      <c r="EIZ212" s="145"/>
      <c r="EJA212" s="146"/>
      <c r="EJB212" s="142"/>
      <c r="EJC212" s="143"/>
      <c r="EJD212" s="144"/>
      <c r="EJE212" s="124"/>
      <c r="EJF212" s="145"/>
      <c r="EJG212" s="145"/>
      <c r="EJH212" s="146"/>
      <c r="EJI212" s="142"/>
      <c r="EJJ212" s="143"/>
      <c r="EJK212" s="144"/>
      <c r="EJL212" s="124"/>
      <c r="EJM212" s="145"/>
      <c r="EJN212" s="145"/>
      <c r="EJO212" s="146"/>
      <c r="EJP212" s="142"/>
      <c r="EJQ212" s="143"/>
      <c r="EJR212" s="144"/>
      <c r="EJS212" s="124"/>
      <c r="EJT212" s="145"/>
      <c r="EJU212" s="145"/>
      <c r="EJV212" s="146"/>
      <c r="EJW212" s="142"/>
      <c r="EJX212" s="143"/>
      <c r="EJY212" s="144"/>
      <c r="EJZ212" s="124"/>
      <c r="EKA212" s="145"/>
      <c r="EKB212" s="145"/>
      <c r="EKC212" s="146"/>
      <c r="EKD212" s="142"/>
      <c r="EKE212" s="143"/>
      <c r="EKF212" s="144"/>
      <c r="EKG212" s="124"/>
      <c r="EKH212" s="145"/>
      <c r="EKI212" s="145"/>
      <c r="EKJ212" s="146"/>
      <c r="EKK212" s="142"/>
      <c r="EKL212" s="143"/>
      <c r="EKM212" s="144"/>
      <c r="EKN212" s="124"/>
      <c r="EKO212" s="145"/>
      <c r="EKP212" s="145"/>
      <c r="EKQ212" s="146"/>
      <c r="EKR212" s="142"/>
      <c r="EKS212" s="143"/>
      <c r="EKT212" s="144"/>
      <c r="EKU212" s="124"/>
      <c r="EKV212" s="145"/>
      <c r="EKW212" s="145"/>
      <c r="EKX212" s="146"/>
      <c r="EKY212" s="142"/>
      <c r="EKZ212" s="143"/>
      <c r="ELA212" s="144"/>
      <c r="ELB212" s="124"/>
      <c r="ELC212" s="145"/>
      <c r="ELD212" s="145"/>
      <c r="ELE212" s="146"/>
      <c r="ELF212" s="142"/>
      <c r="ELG212" s="143"/>
      <c r="ELH212" s="144"/>
      <c r="ELI212" s="124"/>
      <c r="ELJ212" s="145"/>
      <c r="ELK212" s="145"/>
      <c r="ELL212" s="146"/>
      <c r="ELM212" s="142"/>
      <c r="ELN212" s="143"/>
      <c r="ELO212" s="144"/>
      <c r="ELP212" s="124"/>
      <c r="ELQ212" s="145"/>
      <c r="ELR212" s="145"/>
      <c r="ELS212" s="146"/>
      <c r="ELT212" s="142"/>
      <c r="ELU212" s="143"/>
      <c r="ELV212" s="144"/>
      <c r="ELW212" s="124"/>
      <c r="ELX212" s="145"/>
      <c r="ELY212" s="145"/>
      <c r="ELZ212" s="146"/>
      <c r="EMA212" s="142"/>
      <c r="EMB212" s="143"/>
      <c r="EMC212" s="144"/>
      <c r="EMD212" s="124"/>
      <c r="EME212" s="145"/>
      <c r="EMF212" s="145"/>
      <c r="EMG212" s="146"/>
      <c r="EMH212" s="142"/>
      <c r="EMI212" s="143"/>
      <c r="EMJ212" s="144"/>
      <c r="EMK212" s="124"/>
      <c r="EML212" s="145"/>
      <c r="EMM212" s="145"/>
      <c r="EMN212" s="146"/>
      <c r="EMO212" s="142"/>
      <c r="EMP212" s="143"/>
      <c r="EMQ212" s="144"/>
      <c r="EMR212" s="124"/>
      <c r="EMS212" s="145"/>
      <c r="EMT212" s="145"/>
      <c r="EMU212" s="146"/>
      <c r="EMV212" s="142"/>
      <c r="EMW212" s="143"/>
      <c r="EMX212" s="144"/>
      <c r="EMY212" s="124"/>
      <c r="EMZ212" s="145"/>
      <c r="ENA212" s="145"/>
      <c r="ENB212" s="146"/>
      <c r="ENC212" s="142"/>
      <c r="END212" s="143"/>
      <c r="ENE212" s="144"/>
      <c r="ENF212" s="124"/>
      <c r="ENG212" s="145"/>
      <c r="ENH212" s="145"/>
      <c r="ENI212" s="146"/>
      <c r="ENJ212" s="142"/>
      <c r="ENK212" s="143"/>
      <c r="ENL212" s="144"/>
      <c r="ENM212" s="124"/>
      <c r="ENN212" s="145"/>
      <c r="ENO212" s="145"/>
      <c r="ENP212" s="146"/>
      <c r="ENQ212" s="142"/>
      <c r="ENR212" s="143"/>
      <c r="ENS212" s="144"/>
      <c r="ENT212" s="124"/>
      <c r="ENU212" s="145"/>
      <c r="ENV212" s="145"/>
      <c r="ENW212" s="146"/>
      <c r="ENX212" s="142"/>
      <c r="ENY212" s="143"/>
      <c r="ENZ212" s="144"/>
      <c r="EOA212" s="124"/>
      <c r="EOB212" s="145"/>
      <c r="EOC212" s="145"/>
      <c r="EOD212" s="146"/>
      <c r="EOE212" s="142"/>
      <c r="EOF212" s="143"/>
      <c r="EOG212" s="144"/>
      <c r="EOH212" s="124"/>
      <c r="EOI212" s="145"/>
      <c r="EOJ212" s="145"/>
      <c r="EOK212" s="146"/>
      <c r="EOL212" s="142"/>
      <c r="EOM212" s="143"/>
      <c r="EON212" s="144"/>
      <c r="EOO212" s="124"/>
      <c r="EOP212" s="145"/>
      <c r="EOQ212" s="145"/>
      <c r="EOR212" s="146"/>
      <c r="EOS212" s="142"/>
      <c r="EOT212" s="143"/>
      <c r="EOU212" s="144"/>
      <c r="EOV212" s="124"/>
      <c r="EOW212" s="145"/>
      <c r="EOX212" s="145"/>
      <c r="EOY212" s="146"/>
      <c r="EOZ212" s="142"/>
      <c r="EPA212" s="143"/>
      <c r="EPB212" s="144"/>
      <c r="EPC212" s="124"/>
      <c r="EPD212" s="145"/>
      <c r="EPE212" s="145"/>
      <c r="EPF212" s="146"/>
      <c r="EPG212" s="142"/>
      <c r="EPH212" s="143"/>
      <c r="EPI212" s="144"/>
      <c r="EPJ212" s="124"/>
      <c r="EPK212" s="145"/>
      <c r="EPL212" s="145"/>
      <c r="EPM212" s="146"/>
      <c r="EPN212" s="142"/>
      <c r="EPO212" s="143"/>
      <c r="EPP212" s="144"/>
      <c r="EPQ212" s="124"/>
      <c r="EPR212" s="145"/>
      <c r="EPS212" s="145"/>
      <c r="EPT212" s="146"/>
      <c r="EPU212" s="142"/>
      <c r="EPV212" s="143"/>
      <c r="EPW212" s="144"/>
      <c r="EPX212" s="124"/>
      <c r="EPY212" s="145"/>
      <c r="EPZ212" s="145"/>
      <c r="EQA212" s="146"/>
      <c r="EQB212" s="142"/>
      <c r="EQC212" s="143"/>
      <c r="EQD212" s="144"/>
      <c r="EQE212" s="124"/>
      <c r="EQF212" s="145"/>
      <c r="EQG212" s="145"/>
      <c r="EQH212" s="146"/>
      <c r="EQI212" s="142"/>
      <c r="EQJ212" s="143"/>
      <c r="EQK212" s="144"/>
      <c r="EQL212" s="124"/>
      <c r="EQM212" s="145"/>
      <c r="EQN212" s="145"/>
      <c r="EQO212" s="146"/>
      <c r="EQP212" s="142"/>
      <c r="EQQ212" s="143"/>
      <c r="EQR212" s="144"/>
      <c r="EQS212" s="124"/>
      <c r="EQT212" s="145"/>
      <c r="EQU212" s="145"/>
      <c r="EQV212" s="146"/>
      <c r="EQW212" s="142"/>
      <c r="EQX212" s="143"/>
      <c r="EQY212" s="144"/>
      <c r="EQZ212" s="124"/>
      <c r="ERA212" s="145"/>
      <c r="ERB212" s="145"/>
      <c r="ERC212" s="146"/>
      <c r="ERD212" s="142"/>
      <c r="ERE212" s="143"/>
      <c r="ERF212" s="144"/>
      <c r="ERG212" s="124"/>
      <c r="ERH212" s="145"/>
      <c r="ERI212" s="145"/>
      <c r="ERJ212" s="146"/>
      <c r="ERK212" s="142"/>
      <c r="ERL212" s="143"/>
      <c r="ERM212" s="144"/>
      <c r="ERN212" s="124"/>
      <c r="ERO212" s="145"/>
      <c r="ERP212" s="145"/>
      <c r="ERQ212" s="146"/>
      <c r="ERR212" s="142"/>
      <c r="ERS212" s="143"/>
      <c r="ERT212" s="144"/>
      <c r="ERU212" s="124"/>
      <c r="ERV212" s="145"/>
      <c r="ERW212" s="145"/>
      <c r="ERX212" s="146"/>
      <c r="ERY212" s="142"/>
      <c r="ERZ212" s="143"/>
      <c r="ESA212" s="144"/>
      <c r="ESB212" s="124"/>
      <c r="ESC212" s="145"/>
      <c r="ESD212" s="145"/>
      <c r="ESE212" s="146"/>
      <c r="ESF212" s="142"/>
      <c r="ESG212" s="143"/>
      <c r="ESH212" s="144"/>
      <c r="ESI212" s="124"/>
      <c r="ESJ212" s="145"/>
      <c r="ESK212" s="145"/>
      <c r="ESL212" s="146"/>
      <c r="ESM212" s="142"/>
      <c r="ESN212" s="143"/>
      <c r="ESO212" s="144"/>
      <c r="ESP212" s="124"/>
      <c r="ESQ212" s="145"/>
      <c r="ESR212" s="145"/>
      <c r="ESS212" s="146"/>
      <c r="EST212" s="142"/>
      <c r="ESU212" s="143"/>
      <c r="ESV212" s="144"/>
      <c r="ESW212" s="124"/>
      <c r="ESX212" s="145"/>
      <c r="ESY212" s="145"/>
      <c r="ESZ212" s="146"/>
      <c r="ETA212" s="142"/>
      <c r="ETB212" s="143"/>
      <c r="ETC212" s="144"/>
      <c r="ETD212" s="124"/>
      <c r="ETE212" s="145"/>
      <c r="ETF212" s="145"/>
      <c r="ETG212" s="146"/>
      <c r="ETH212" s="142"/>
      <c r="ETI212" s="143"/>
      <c r="ETJ212" s="144"/>
      <c r="ETK212" s="124"/>
      <c r="ETL212" s="145"/>
      <c r="ETM212" s="145"/>
      <c r="ETN212" s="146"/>
      <c r="ETO212" s="142"/>
      <c r="ETP212" s="143"/>
      <c r="ETQ212" s="144"/>
      <c r="ETR212" s="124"/>
      <c r="ETS212" s="145"/>
      <c r="ETT212" s="145"/>
      <c r="ETU212" s="146"/>
      <c r="ETV212" s="142"/>
      <c r="ETW212" s="143"/>
      <c r="ETX212" s="144"/>
      <c r="ETY212" s="124"/>
      <c r="ETZ212" s="145"/>
      <c r="EUA212" s="145"/>
      <c r="EUB212" s="146"/>
      <c r="EUC212" s="142"/>
      <c r="EUD212" s="143"/>
      <c r="EUE212" s="144"/>
      <c r="EUF212" s="124"/>
      <c r="EUG212" s="145"/>
      <c r="EUH212" s="145"/>
      <c r="EUI212" s="146"/>
      <c r="EUJ212" s="142"/>
      <c r="EUK212" s="143"/>
      <c r="EUL212" s="144"/>
      <c r="EUM212" s="124"/>
      <c r="EUN212" s="145"/>
      <c r="EUO212" s="145"/>
      <c r="EUP212" s="146"/>
      <c r="EUQ212" s="142"/>
      <c r="EUR212" s="143"/>
      <c r="EUS212" s="144"/>
      <c r="EUT212" s="124"/>
      <c r="EUU212" s="145"/>
      <c r="EUV212" s="145"/>
      <c r="EUW212" s="146"/>
      <c r="EUX212" s="142"/>
      <c r="EUY212" s="143"/>
      <c r="EUZ212" s="144"/>
      <c r="EVA212" s="124"/>
      <c r="EVB212" s="145"/>
      <c r="EVC212" s="145"/>
      <c r="EVD212" s="146"/>
      <c r="EVE212" s="142"/>
      <c r="EVF212" s="143"/>
      <c r="EVG212" s="144"/>
      <c r="EVH212" s="124"/>
      <c r="EVI212" s="145"/>
      <c r="EVJ212" s="145"/>
      <c r="EVK212" s="146"/>
      <c r="EVL212" s="142"/>
      <c r="EVM212" s="143"/>
      <c r="EVN212" s="144"/>
      <c r="EVO212" s="124"/>
      <c r="EVP212" s="145"/>
      <c r="EVQ212" s="145"/>
      <c r="EVR212" s="146"/>
      <c r="EVS212" s="142"/>
      <c r="EVT212" s="143"/>
      <c r="EVU212" s="144"/>
      <c r="EVV212" s="124"/>
      <c r="EVW212" s="145"/>
      <c r="EVX212" s="145"/>
      <c r="EVY212" s="146"/>
      <c r="EVZ212" s="142"/>
      <c r="EWA212" s="143"/>
      <c r="EWB212" s="144"/>
      <c r="EWC212" s="124"/>
      <c r="EWD212" s="145"/>
      <c r="EWE212" s="145"/>
      <c r="EWF212" s="146"/>
      <c r="EWG212" s="142"/>
      <c r="EWH212" s="143"/>
      <c r="EWI212" s="144"/>
      <c r="EWJ212" s="124"/>
      <c r="EWK212" s="145"/>
      <c r="EWL212" s="145"/>
      <c r="EWM212" s="146"/>
      <c r="EWN212" s="142"/>
      <c r="EWO212" s="143"/>
      <c r="EWP212" s="144"/>
      <c r="EWQ212" s="124"/>
      <c r="EWR212" s="145"/>
      <c r="EWS212" s="145"/>
      <c r="EWT212" s="146"/>
      <c r="EWU212" s="142"/>
      <c r="EWV212" s="143"/>
      <c r="EWW212" s="144"/>
      <c r="EWX212" s="124"/>
      <c r="EWY212" s="145"/>
      <c r="EWZ212" s="145"/>
      <c r="EXA212" s="146"/>
      <c r="EXB212" s="142"/>
      <c r="EXC212" s="143"/>
      <c r="EXD212" s="144"/>
      <c r="EXE212" s="124"/>
      <c r="EXF212" s="145"/>
      <c r="EXG212" s="145"/>
      <c r="EXH212" s="146"/>
      <c r="EXI212" s="142"/>
      <c r="EXJ212" s="143"/>
      <c r="EXK212" s="144"/>
      <c r="EXL212" s="124"/>
      <c r="EXM212" s="145"/>
      <c r="EXN212" s="145"/>
      <c r="EXO212" s="146"/>
      <c r="EXP212" s="142"/>
      <c r="EXQ212" s="143"/>
      <c r="EXR212" s="144"/>
      <c r="EXS212" s="124"/>
      <c r="EXT212" s="145"/>
      <c r="EXU212" s="145"/>
      <c r="EXV212" s="146"/>
      <c r="EXW212" s="142"/>
      <c r="EXX212" s="143"/>
      <c r="EXY212" s="144"/>
      <c r="EXZ212" s="124"/>
      <c r="EYA212" s="145"/>
      <c r="EYB212" s="145"/>
      <c r="EYC212" s="146"/>
      <c r="EYD212" s="142"/>
      <c r="EYE212" s="143"/>
      <c r="EYF212" s="144"/>
      <c r="EYG212" s="124"/>
      <c r="EYH212" s="145"/>
      <c r="EYI212" s="145"/>
      <c r="EYJ212" s="146"/>
      <c r="EYK212" s="142"/>
      <c r="EYL212" s="143"/>
      <c r="EYM212" s="144"/>
      <c r="EYN212" s="124"/>
      <c r="EYO212" s="145"/>
      <c r="EYP212" s="145"/>
      <c r="EYQ212" s="146"/>
      <c r="EYR212" s="142"/>
      <c r="EYS212" s="143"/>
      <c r="EYT212" s="144"/>
      <c r="EYU212" s="124"/>
      <c r="EYV212" s="145"/>
      <c r="EYW212" s="145"/>
      <c r="EYX212" s="146"/>
      <c r="EYY212" s="142"/>
      <c r="EYZ212" s="143"/>
      <c r="EZA212" s="144"/>
      <c r="EZB212" s="124"/>
      <c r="EZC212" s="145"/>
      <c r="EZD212" s="145"/>
      <c r="EZE212" s="146"/>
      <c r="EZF212" s="142"/>
      <c r="EZG212" s="143"/>
      <c r="EZH212" s="144"/>
      <c r="EZI212" s="124"/>
      <c r="EZJ212" s="145"/>
      <c r="EZK212" s="145"/>
      <c r="EZL212" s="146"/>
      <c r="EZM212" s="142"/>
      <c r="EZN212" s="143"/>
      <c r="EZO212" s="144"/>
      <c r="EZP212" s="124"/>
      <c r="EZQ212" s="145"/>
      <c r="EZR212" s="145"/>
      <c r="EZS212" s="146"/>
      <c r="EZT212" s="142"/>
      <c r="EZU212" s="143"/>
      <c r="EZV212" s="144"/>
      <c r="EZW212" s="124"/>
      <c r="EZX212" s="145"/>
      <c r="EZY212" s="145"/>
      <c r="EZZ212" s="146"/>
      <c r="FAA212" s="142"/>
      <c r="FAB212" s="143"/>
      <c r="FAC212" s="144"/>
      <c r="FAD212" s="124"/>
      <c r="FAE212" s="145"/>
      <c r="FAF212" s="145"/>
      <c r="FAG212" s="146"/>
      <c r="FAH212" s="142"/>
      <c r="FAI212" s="143"/>
      <c r="FAJ212" s="144"/>
      <c r="FAK212" s="124"/>
      <c r="FAL212" s="145"/>
      <c r="FAM212" s="145"/>
      <c r="FAN212" s="146"/>
      <c r="FAO212" s="142"/>
      <c r="FAP212" s="143"/>
      <c r="FAQ212" s="144"/>
      <c r="FAR212" s="124"/>
      <c r="FAS212" s="145"/>
      <c r="FAT212" s="145"/>
      <c r="FAU212" s="146"/>
      <c r="FAV212" s="142"/>
      <c r="FAW212" s="143"/>
      <c r="FAX212" s="144"/>
      <c r="FAY212" s="124"/>
      <c r="FAZ212" s="145"/>
      <c r="FBA212" s="145"/>
      <c r="FBB212" s="146"/>
      <c r="FBC212" s="142"/>
      <c r="FBD212" s="143"/>
      <c r="FBE212" s="144"/>
      <c r="FBF212" s="124"/>
      <c r="FBG212" s="145"/>
      <c r="FBH212" s="145"/>
      <c r="FBI212" s="146"/>
      <c r="FBJ212" s="142"/>
      <c r="FBK212" s="143"/>
      <c r="FBL212" s="144"/>
      <c r="FBM212" s="124"/>
      <c r="FBN212" s="145"/>
      <c r="FBO212" s="145"/>
      <c r="FBP212" s="146"/>
      <c r="FBQ212" s="142"/>
      <c r="FBR212" s="143"/>
      <c r="FBS212" s="144"/>
      <c r="FBT212" s="124"/>
      <c r="FBU212" s="145"/>
      <c r="FBV212" s="145"/>
      <c r="FBW212" s="146"/>
      <c r="FBX212" s="142"/>
      <c r="FBY212" s="143"/>
      <c r="FBZ212" s="144"/>
      <c r="FCA212" s="124"/>
      <c r="FCB212" s="145"/>
      <c r="FCC212" s="145"/>
      <c r="FCD212" s="146"/>
      <c r="FCE212" s="142"/>
      <c r="FCF212" s="143"/>
      <c r="FCG212" s="144"/>
      <c r="FCH212" s="124"/>
      <c r="FCI212" s="145"/>
      <c r="FCJ212" s="145"/>
      <c r="FCK212" s="146"/>
      <c r="FCL212" s="142"/>
      <c r="FCM212" s="143"/>
      <c r="FCN212" s="144"/>
      <c r="FCO212" s="124"/>
      <c r="FCP212" s="145"/>
      <c r="FCQ212" s="145"/>
      <c r="FCR212" s="146"/>
      <c r="FCS212" s="142"/>
      <c r="FCT212" s="143"/>
      <c r="FCU212" s="144"/>
      <c r="FCV212" s="124"/>
      <c r="FCW212" s="145"/>
      <c r="FCX212" s="145"/>
      <c r="FCY212" s="146"/>
      <c r="FCZ212" s="142"/>
      <c r="FDA212" s="143"/>
      <c r="FDB212" s="144"/>
      <c r="FDC212" s="124"/>
      <c r="FDD212" s="145"/>
      <c r="FDE212" s="145"/>
      <c r="FDF212" s="146"/>
      <c r="FDG212" s="142"/>
      <c r="FDH212" s="143"/>
      <c r="FDI212" s="144"/>
      <c r="FDJ212" s="124"/>
      <c r="FDK212" s="145"/>
      <c r="FDL212" s="145"/>
      <c r="FDM212" s="146"/>
      <c r="FDN212" s="142"/>
      <c r="FDO212" s="143"/>
      <c r="FDP212" s="144"/>
      <c r="FDQ212" s="124"/>
      <c r="FDR212" s="145"/>
      <c r="FDS212" s="145"/>
      <c r="FDT212" s="146"/>
      <c r="FDU212" s="142"/>
      <c r="FDV212" s="143"/>
      <c r="FDW212" s="144"/>
      <c r="FDX212" s="124"/>
      <c r="FDY212" s="145"/>
      <c r="FDZ212" s="145"/>
      <c r="FEA212" s="146"/>
      <c r="FEB212" s="142"/>
      <c r="FEC212" s="143"/>
      <c r="FED212" s="144"/>
      <c r="FEE212" s="124"/>
      <c r="FEF212" s="145"/>
      <c r="FEG212" s="145"/>
      <c r="FEH212" s="146"/>
      <c r="FEI212" s="142"/>
      <c r="FEJ212" s="143"/>
      <c r="FEK212" s="144"/>
      <c r="FEL212" s="124"/>
      <c r="FEM212" s="145"/>
      <c r="FEN212" s="145"/>
      <c r="FEO212" s="146"/>
      <c r="FEP212" s="142"/>
      <c r="FEQ212" s="143"/>
      <c r="FER212" s="144"/>
      <c r="FES212" s="124"/>
      <c r="FET212" s="145"/>
      <c r="FEU212" s="145"/>
      <c r="FEV212" s="146"/>
      <c r="FEW212" s="142"/>
      <c r="FEX212" s="143"/>
      <c r="FEY212" s="144"/>
      <c r="FEZ212" s="124"/>
      <c r="FFA212" s="145"/>
      <c r="FFB212" s="145"/>
      <c r="FFC212" s="146"/>
      <c r="FFD212" s="142"/>
      <c r="FFE212" s="143"/>
      <c r="FFF212" s="144"/>
      <c r="FFG212" s="124"/>
      <c r="FFH212" s="145"/>
      <c r="FFI212" s="145"/>
      <c r="FFJ212" s="146"/>
      <c r="FFK212" s="142"/>
      <c r="FFL212" s="143"/>
      <c r="FFM212" s="144"/>
      <c r="FFN212" s="124"/>
      <c r="FFO212" s="145"/>
      <c r="FFP212" s="145"/>
      <c r="FFQ212" s="146"/>
      <c r="FFR212" s="142"/>
      <c r="FFS212" s="143"/>
      <c r="FFT212" s="144"/>
      <c r="FFU212" s="124"/>
      <c r="FFV212" s="145"/>
      <c r="FFW212" s="145"/>
      <c r="FFX212" s="146"/>
      <c r="FFY212" s="142"/>
      <c r="FFZ212" s="143"/>
      <c r="FGA212" s="144"/>
      <c r="FGB212" s="124"/>
      <c r="FGC212" s="145"/>
      <c r="FGD212" s="145"/>
      <c r="FGE212" s="146"/>
      <c r="FGF212" s="142"/>
      <c r="FGG212" s="143"/>
      <c r="FGH212" s="144"/>
      <c r="FGI212" s="124"/>
      <c r="FGJ212" s="145"/>
      <c r="FGK212" s="145"/>
      <c r="FGL212" s="146"/>
      <c r="FGM212" s="142"/>
      <c r="FGN212" s="143"/>
      <c r="FGO212" s="144"/>
      <c r="FGP212" s="124"/>
      <c r="FGQ212" s="145"/>
      <c r="FGR212" s="145"/>
      <c r="FGS212" s="146"/>
      <c r="FGT212" s="142"/>
      <c r="FGU212" s="143"/>
      <c r="FGV212" s="144"/>
      <c r="FGW212" s="124"/>
      <c r="FGX212" s="145"/>
      <c r="FGY212" s="145"/>
      <c r="FGZ212" s="146"/>
      <c r="FHA212" s="142"/>
      <c r="FHB212" s="143"/>
      <c r="FHC212" s="144"/>
      <c r="FHD212" s="124"/>
      <c r="FHE212" s="145"/>
      <c r="FHF212" s="145"/>
      <c r="FHG212" s="146"/>
      <c r="FHH212" s="142"/>
      <c r="FHI212" s="143"/>
      <c r="FHJ212" s="144"/>
      <c r="FHK212" s="124"/>
      <c r="FHL212" s="145"/>
      <c r="FHM212" s="145"/>
      <c r="FHN212" s="146"/>
      <c r="FHO212" s="142"/>
      <c r="FHP212" s="143"/>
      <c r="FHQ212" s="144"/>
      <c r="FHR212" s="124"/>
      <c r="FHS212" s="145"/>
      <c r="FHT212" s="145"/>
      <c r="FHU212" s="146"/>
      <c r="FHV212" s="142"/>
      <c r="FHW212" s="143"/>
      <c r="FHX212" s="144"/>
      <c r="FHY212" s="124"/>
      <c r="FHZ212" s="145"/>
      <c r="FIA212" s="145"/>
      <c r="FIB212" s="146"/>
      <c r="FIC212" s="142"/>
      <c r="FID212" s="143"/>
      <c r="FIE212" s="144"/>
      <c r="FIF212" s="124"/>
      <c r="FIG212" s="145"/>
      <c r="FIH212" s="145"/>
      <c r="FII212" s="146"/>
      <c r="FIJ212" s="142"/>
      <c r="FIK212" s="143"/>
      <c r="FIL212" s="144"/>
      <c r="FIM212" s="124"/>
      <c r="FIN212" s="145"/>
      <c r="FIO212" s="145"/>
      <c r="FIP212" s="146"/>
      <c r="FIQ212" s="142"/>
      <c r="FIR212" s="143"/>
      <c r="FIS212" s="144"/>
      <c r="FIT212" s="124"/>
      <c r="FIU212" s="145"/>
      <c r="FIV212" s="145"/>
      <c r="FIW212" s="146"/>
      <c r="FIX212" s="142"/>
      <c r="FIY212" s="143"/>
      <c r="FIZ212" s="144"/>
      <c r="FJA212" s="124"/>
      <c r="FJB212" s="145"/>
      <c r="FJC212" s="145"/>
      <c r="FJD212" s="146"/>
      <c r="FJE212" s="142"/>
      <c r="FJF212" s="143"/>
      <c r="FJG212" s="144"/>
      <c r="FJH212" s="124"/>
      <c r="FJI212" s="145"/>
      <c r="FJJ212" s="145"/>
      <c r="FJK212" s="146"/>
      <c r="FJL212" s="142"/>
      <c r="FJM212" s="143"/>
      <c r="FJN212" s="144"/>
      <c r="FJO212" s="124"/>
      <c r="FJP212" s="145"/>
      <c r="FJQ212" s="145"/>
      <c r="FJR212" s="146"/>
      <c r="FJS212" s="142"/>
      <c r="FJT212" s="143"/>
      <c r="FJU212" s="144"/>
      <c r="FJV212" s="124"/>
      <c r="FJW212" s="145"/>
      <c r="FJX212" s="145"/>
      <c r="FJY212" s="146"/>
      <c r="FJZ212" s="142"/>
      <c r="FKA212" s="143"/>
      <c r="FKB212" s="144"/>
      <c r="FKC212" s="124"/>
      <c r="FKD212" s="145"/>
      <c r="FKE212" s="145"/>
      <c r="FKF212" s="146"/>
      <c r="FKG212" s="142"/>
      <c r="FKH212" s="143"/>
      <c r="FKI212" s="144"/>
      <c r="FKJ212" s="124"/>
      <c r="FKK212" s="145"/>
      <c r="FKL212" s="145"/>
      <c r="FKM212" s="146"/>
      <c r="FKN212" s="142"/>
      <c r="FKO212" s="143"/>
      <c r="FKP212" s="144"/>
      <c r="FKQ212" s="124"/>
      <c r="FKR212" s="145"/>
      <c r="FKS212" s="145"/>
      <c r="FKT212" s="146"/>
      <c r="FKU212" s="142"/>
      <c r="FKV212" s="143"/>
      <c r="FKW212" s="144"/>
      <c r="FKX212" s="124"/>
      <c r="FKY212" s="145"/>
      <c r="FKZ212" s="145"/>
      <c r="FLA212" s="146"/>
      <c r="FLB212" s="142"/>
      <c r="FLC212" s="143"/>
      <c r="FLD212" s="144"/>
      <c r="FLE212" s="124"/>
      <c r="FLF212" s="145"/>
      <c r="FLG212" s="145"/>
      <c r="FLH212" s="146"/>
      <c r="FLI212" s="142"/>
      <c r="FLJ212" s="143"/>
      <c r="FLK212" s="144"/>
      <c r="FLL212" s="124"/>
      <c r="FLM212" s="145"/>
      <c r="FLN212" s="145"/>
      <c r="FLO212" s="146"/>
      <c r="FLP212" s="142"/>
      <c r="FLQ212" s="143"/>
      <c r="FLR212" s="144"/>
      <c r="FLS212" s="124"/>
      <c r="FLT212" s="145"/>
      <c r="FLU212" s="145"/>
      <c r="FLV212" s="146"/>
      <c r="FLW212" s="142"/>
      <c r="FLX212" s="143"/>
      <c r="FLY212" s="144"/>
      <c r="FLZ212" s="124"/>
      <c r="FMA212" s="145"/>
      <c r="FMB212" s="145"/>
      <c r="FMC212" s="146"/>
      <c r="FMD212" s="142"/>
      <c r="FME212" s="143"/>
      <c r="FMF212" s="144"/>
      <c r="FMG212" s="124"/>
      <c r="FMH212" s="145"/>
      <c r="FMI212" s="145"/>
      <c r="FMJ212" s="146"/>
      <c r="FMK212" s="142"/>
      <c r="FML212" s="143"/>
      <c r="FMM212" s="144"/>
      <c r="FMN212" s="124"/>
      <c r="FMO212" s="145"/>
      <c r="FMP212" s="145"/>
      <c r="FMQ212" s="146"/>
      <c r="FMR212" s="142"/>
      <c r="FMS212" s="143"/>
      <c r="FMT212" s="144"/>
      <c r="FMU212" s="124"/>
      <c r="FMV212" s="145"/>
      <c r="FMW212" s="145"/>
      <c r="FMX212" s="146"/>
      <c r="FMY212" s="142"/>
      <c r="FMZ212" s="143"/>
      <c r="FNA212" s="144"/>
      <c r="FNB212" s="124"/>
      <c r="FNC212" s="145"/>
      <c r="FND212" s="145"/>
      <c r="FNE212" s="146"/>
      <c r="FNF212" s="142"/>
      <c r="FNG212" s="143"/>
      <c r="FNH212" s="144"/>
      <c r="FNI212" s="124"/>
      <c r="FNJ212" s="145"/>
      <c r="FNK212" s="145"/>
      <c r="FNL212" s="146"/>
      <c r="FNM212" s="142"/>
      <c r="FNN212" s="143"/>
      <c r="FNO212" s="144"/>
      <c r="FNP212" s="124"/>
      <c r="FNQ212" s="145"/>
      <c r="FNR212" s="145"/>
      <c r="FNS212" s="146"/>
      <c r="FNT212" s="142"/>
      <c r="FNU212" s="143"/>
      <c r="FNV212" s="144"/>
      <c r="FNW212" s="124"/>
      <c r="FNX212" s="145"/>
      <c r="FNY212" s="145"/>
      <c r="FNZ212" s="146"/>
      <c r="FOA212" s="142"/>
      <c r="FOB212" s="143"/>
      <c r="FOC212" s="144"/>
      <c r="FOD212" s="124"/>
      <c r="FOE212" s="145"/>
      <c r="FOF212" s="145"/>
      <c r="FOG212" s="146"/>
      <c r="FOH212" s="142"/>
      <c r="FOI212" s="143"/>
      <c r="FOJ212" s="144"/>
      <c r="FOK212" s="124"/>
      <c r="FOL212" s="145"/>
      <c r="FOM212" s="145"/>
      <c r="FON212" s="146"/>
      <c r="FOO212" s="142"/>
      <c r="FOP212" s="143"/>
      <c r="FOQ212" s="144"/>
      <c r="FOR212" s="124"/>
      <c r="FOS212" s="145"/>
      <c r="FOT212" s="145"/>
      <c r="FOU212" s="146"/>
      <c r="FOV212" s="142"/>
      <c r="FOW212" s="143"/>
      <c r="FOX212" s="144"/>
      <c r="FOY212" s="124"/>
      <c r="FOZ212" s="145"/>
      <c r="FPA212" s="145"/>
      <c r="FPB212" s="146"/>
      <c r="FPC212" s="142"/>
      <c r="FPD212" s="143"/>
      <c r="FPE212" s="144"/>
      <c r="FPF212" s="124"/>
      <c r="FPG212" s="145"/>
      <c r="FPH212" s="145"/>
      <c r="FPI212" s="146"/>
      <c r="FPJ212" s="142"/>
      <c r="FPK212" s="143"/>
      <c r="FPL212" s="144"/>
      <c r="FPM212" s="124"/>
      <c r="FPN212" s="145"/>
      <c r="FPO212" s="145"/>
      <c r="FPP212" s="146"/>
      <c r="FPQ212" s="142"/>
      <c r="FPR212" s="143"/>
      <c r="FPS212" s="144"/>
      <c r="FPT212" s="124"/>
      <c r="FPU212" s="145"/>
      <c r="FPV212" s="145"/>
      <c r="FPW212" s="146"/>
      <c r="FPX212" s="142"/>
      <c r="FPY212" s="143"/>
      <c r="FPZ212" s="144"/>
      <c r="FQA212" s="124"/>
      <c r="FQB212" s="145"/>
      <c r="FQC212" s="145"/>
      <c r="FQD212" s="146"/>
      <c r="FQE212" s="142"/>
      <c r="FQF212" s="143"/>
      <c r="FQG212" s="144"/>
      <c r="FQH212" s="124"/>
      <c r="FQI212" s="145"/>
      <c r="FQJ212" s="145"/>
      <c r="FQK212" s="146"/>
      <c r="FQL212" s="142"/>
      <c r="FQM212" s="143"/>
      <c r="FQN212" s="144"/>
      <c r="FQO212" s="124"/>
      <c r="FQP212" s="145"/>
      <c r="FQQ212" s="145"/>
      <c r="FQR212" s="146"/>
      <c r="FQS212" s="142"/>
      <c r="FQT212" s="143"/>
      <c r="FQU212" s="144"/>
      <c r="FQV212" s="124"/>
      <c r="FQW212" s="145"/>
      <c r="FQX212" s="145"/>
      <c r="FQY212" s="146"/>
      <c r="FQZ212" s="142"/>
      <c r="FRA212" s="143"/>
      <c r="FRB212" s="144"/>
      <c r="FRC212" s="124"/>
      <c r="FRD212" s="145"/>
      <c r="FRE212" s="145"/>
      <c r="FRF212" s="146"/>
      <c r="FRG212" s="142"/>
      <c r="FRH212" s="143"/>
      <c r="FRI212" s="144"/>
      <c r="FRJ212" s="124"/>
      <c r="FRK212" s="145"/>
      <c r="FRL212" s="145"/>
      <c r="FRM212" s="146"/>
      <c r="FRN212" s="142"/>
      <c r="FRO212" s="143"/>
      <c r="FRP212" s="144"/>
      <c r="FRQ212" s="124"/>
      <c r="FRR212" s="145"/>
      <c r="FRS212" s="145"/>
      <c r="FRT212" s="146"/>
      <c r="FRU212" s="142"/>
      <c r="FRV212" s="143"/>
      <c r="FRW212" s="144"/>
      <c r="FRX212" s="124"/>
      <c r="FRY212" s="145"/>
      <c r="FRZ212" s="145"/>
      <c r="FSA212" s="146"/>
      <c r="FSB212" s="142"/>
      <c r="FSC212" s="143"/>
      <c r="FSD212" s="144"/>
      <c r="FSE212" s="124"/>
      <c r="FSF212" s="145"/>
      <c r="FSG212" s="145"/>
      <c r="FSH212" s="146"/>
      <c r="FSI212" s="142"/>
      <c r="FSJ212" s="143"/>
      <c r="FSK212" s="144"/>
      <c r="FSL212" s="124"/>
      <c r="FSM212" s="145"/>
      <c r="FSN212" s="145"/>
      <c r="FSO212" s="146"/>
      <c r="FSP212" s="142"/>
      <c r="FSQ212" s="143"/>
      <c r="FSR212" s="144"/>
      <c r="FSS212" s="124"/>
      <c r="FST212" s="145"/>
      <c r="FSU212" s="145"/>
      <c r="FSV212" s="146"/>
      <c r="FSW212" s="142"/>
      <c r="FSX212" s="143"/>
      <c r="FSY212" s="144"/>
      <c r="FSZ212" s="124"/>
      <c r="FTA212" s="145"/>
      <c r="FTB212" s="145"/>
      <c r="FTC212" s="146"/>
      <c r="FTD212" s="142"/>
      <c r="FTE212" s="143"/>
      <c r="FTF212" s="144"/>
      <c r="FTG212" s="124"/>
      <c r="FTH212" s="145"/>
      <c r="FTI212" s="145"/>
      <c r="FTJ212" s="146"/>
      <c r="FTK212" s="142"/>
      <c r="FTL212" s="143"/>
      <c r="FTM212" s="144"/>
      <c r="FTN212" s="124"/>
      <c r="FTO212" s="145"/>
      <c r="FTP212" s="145"/>
      <c r="FTQ212" s="146"/>
      <c r="FTR212" s="142"/>
      <c r="FTS212" s="143"/>
      <c r="FTT212" s="144"/>
      <c r="FTU212" s="124"/>
      <c r="FTV212" s="145"/>
      <c r="FTW212" s="145"/>
      <c r="FTX212" s="146"/>
      <c r="FTY212" s="142"/>
      <c r="FTZ212" s="143"/>
      <c r="FUA212" s="144"/>
      <c r="FUB212" s="124"/>
      <c r="FUC212" s="145"/>
      <c r="FUD212" s="145"/>
      <c r="FUE212" s="146"/>
      <c r="FUF212" s="142"/>
      <c r="FUG212" s="143"/>
      <c r="FUH212" s="144"/>
      <c r="FUI212" s="124"/>
      <c r="FUJ212" s="145"/>
      <c r="FUK212" s="145"/>
      <c r="FUL212" s="146"/>
      <c r="FUM212" s="142"/>
      <c r="FUN212" s="143"/>
      <c r="FUO212" s="144"/>
      <c r="FUP212" s="124"/>
      <c r="FUQ212" s="145"/>
      <c r="FUR212" s="145"/>
      <c r="FUS212" s="146"/>
      <c r="FUT212" s="142"/>
      <c r="FUU212" s="143"/>
      <c r="FUV212" s="144"/>
      <c r="FUW212" s="124"/>
      <c r="FUX212" s="145"/>
      <c r="FUY212" s="145"/>
      <c r="FUZ212" s="146"/>
      <c r="FVA212" s="142"/>
      <c r="FVB212" s="143"/>
      <c r="FVC212" s="144"/>
      <c r="FVD212" s="124"/>
      <c r="FVE212" s="145"/>
      <c r="FVF212" s="145"/>
      <c r="FVG212" s="146"/>
      <c r="FVH212" s="142"/>
      <c r="FVI212" s="143"/>
      <c r="FVJ212" s="144"/>
      <c r="FVK212" s="124"/>
      <c r="FVL212" s="145"/>
      <c r="FVM212" s="145"/>
      <c r="FVN212" s="146"/>
      <c r="FVO212" s="142"/>
      <c r="FVP212" s="143"/>
      <c r="FVQ212" s="144"/>
      <c r="FVR212" s="124"/>
      <c r="FVS212" s="145"/>
      <c r="FVT212" s="145"/>
      <c r="FVU212" s="146"/>
      <c r="FVV212" s="142"/>
      <c r="FVW212" s="143"/>
      <c r="FVX212" s="144"/>
      <c r="FVY212" s="124"/>
      <c r="FVZ212" s="145"/>
      <c r="FWA212" s="145"/>
      <c r="FWB212" s="146"/>
      <c r="FWC212" s="142"/>
      <c r="FWD212" s="143"/>
      <c r="FWE212" s="144"/>
      <c r="FWF212" s="124"/>
      <c r="FWG212" s="145"/>
      <c r="FWH212" s="145"/>
      <c r="FWI212" s="146"/>
      <c r="FWJ212" s="142"/>
      <c r="FWK212" s="143"/>
      <c r="FWL212" s="144"/>
      <c r="FWM212" s="124"/>
      <c r="FWN212" s="145"/>
      <c r="FWO212" s="145"/>
      <c r="FWP212" s="146"/>
      <c r="FWQ212" s="142"/>
      <c r="FWR212" s="143"/>
      <c r="FWS212" s="144"/>
      <c r="FWT212" s="124"/>
      <c r="FWU212" s="145"/>
      <c r="FWV212" s="145"/>
      <c r="FWW212" s="146"/>
      <c r="FWX212" s="142"/>
      <c r="FWY212" s="143"/>
      <c r="FWZ212" s="144"/>
      <c r="FXA212" s="124"/>
      <c r="FXB212" s="145"/>
      <c r="FXC212" s="145"/>
      <c r="FXD212" s="146"/>
      <c r="FXE212" s="142"/>
      <c r="FXF212" s="143"/>
      <c r="FXG212" s="144"/>
      <c r="FXH212" s="124"/>
      <c r="FXI212" s="145"/>
      <c r="FXJ212" s="145"/>
      <c r="FXK212" s="146"/>
      <c r="FXL212" s="142"/>
      <c r="FXM212" s="143"/>
      <c r="FXN212" s="144"/>
      <c r="FXO212" s="124"/>
      <c r="FXP212" s="145"/>
      <c r="FXQ212" s="145"/>
      <c r="FXR212" s="146"/>
      <c r="FXS212" s="142"/>
      <c r="FXT212" s="143"/>
      <c r="FXU212" s="144"/>
      <c r="FXV212" s="124"/>
      <c r="FXW212" s="145"/>
      <c r="FXX212" s="145"/>
      <c r="FXY212" s="146"/>
      <c r="FXZ212" s="142"/>
      <c r="FYA212" s="143"/>
      <c r="FYB212" s="144"/>
      <c r="FYC212" s="124"/>
      <c r="FYD212" s="145"/>
      <c r="FYE212" s="145"/>
      <c r="FYF212" s="146"/>
      <c r="FYG212" s="142"/>
      <c r="FYH212" s="143"/>
      <c r="FYI212" s="144"/>
      <c r="FYJ212" s="124"/>
      <c r="FYK212" s="145"/>
      <c r="FYL212" s="145"/>
      <c r="FYM212" s="146"/>
      <c r="FYN212" s="142"/>
      <c r="FYO212" s="143"/>
      <c r="FYP212" s="144"/>
      <c r="FYQ212" s="124"/>
      <c r="FYR212" s="145"/>
      <c r="FYS212" s="145"/>
      <c r="FYT212" s="146"/>
      <c r="FYU212" s="142"/>
      <c r="FYV212" s="143"/>
      <c r="FYW212" s="144"/>
      <c r="FYX212" s="124"/>
      <c r="FYY212" s="145"/>
      <c r="FYZ212" s="145"/>
      <c r="FZA212" s="146"/>
      <c r="FZB212" s="142"/>
      <c r="FZC212" s="143"/>
      <c r="FZD212" s="144"/>
      <c r="FZE212" s="124"/>
      <c r="FZF212" s="145"/>
      <c r="FZG212" s="145"/>
      <c r="FZH212" s="146"/>
      <c r="FZI212" s="142"/>
      <c r="FZJ212" s="143"/>
      <c r="FZK212" s="144"/>
      <c r="FZL212" s="124"/>
      <c r="FZM212" s="145"/>
      <c r="FZN212" s="145"/>
      <c r="FZO212" s="146"/>
      <c r="FZP212" s="142"/>
      <c r="FZQ212" s="143"/>
      <c r="FZR212" s="144"/>
      <c r="FZS212" s="124"/>
      <c r="FZT212" s="145"/>
      <c r="FZU212" s="145"/>
      <c r="FZV212" s="146"/>
      <c r="FZW212" s="142"/>
      <c r="FZX212" s="143"/>
      <c r="FZY212" s="144"/>
      <c r="FZZ212" s="124"/>
      <c r="GAA212" s="145"/>
      <c r="GAB212" s="145"/>
      <c r="GAC212" s="146"/>
      <c r="GAD212" s="142"/>
      <c r="GAE212" s="143"/>
      <c r="GAF212" s="144"/>
      <c r="GAG212" s="124"/>
      <c r="GAH212" s="145"/>
      <c r="GAI212" s="145"/>
      <c r="GAJ212" s="146"/>
      <c r="GAK212" s="142"/>
      <c r="GAL212" s="143"/>
      <c r="GAM212" s="144"/>
      <c r="GAN212" s="124"/>
      <c r="GAO212" s="145"/>
      <c r="GAP212" s="145"/>
      <c r="GAQ212" s="146"/>
      <c r="GAR212" s="142"/>
      <c r="GAS212" s="143"/>
      <c r="GAT212" s="144"/>
      <c r="GAU212" s="124"/>
      <c r="GAV212" s="145"/>
      <c r="GAW212" s="145"/>
      <c r="GAX212" s="146"/>
      <c r="GAY212" s="142"/>
      <c r="GAZ212" s="143"/>
      <c r="GBA212" s="144"/>
      <c r="GBB212" s="124"/>
      <c r="GBC212" s="145"/>
      <c r="GBD212" s="145"/>
      <c r="GBE212" s="146"/>
      <c r="GBF212" s="142"/>
      <c r="GBG212" s="143"/>
      <c r="GBH212" s="144"/>
      <c r="GBI212" s="124"/>
      <c r="GBJ212" s="145"/>
      <c r="GBK212" s="145"/>
      <c r="GBL212" s="146"/>
      <c r="GBM212" s="142"/>
      <c r="GBN212" s="143"/>
      <c r="GBO212" s="144"/>
      <c r="GBP212" s="124"/>
      <c r="GBQ212" s="145"/>
      <c r="GBR212" s="145"/>
      <c r="GBS212" s="146"/>
      <c r="GBT212" s="142"/>
      <c r="GBU212" s="143"/>
      <c r="GBV212" s="144"/>
      <c r="GBW212" s="124"/>
      <c r="GBX212" s="145"/>
      <c r="GBY212" s="145"/>
      <c r="GBZ212" s="146"/>
      <c r="GCA212" s="142"/>
      <c r="GCB212" s="143"/>
      <c r="GCC212" s="144"/>
      <c r="GCD212" s="124"/>
      <c r="GCE212" s="145"/>
      <c r="GCF212" s="145"/>
      <c r="GCG212" s="146"/>
      <c r="GCH212" s="142"/>
      <c r="GCI212" s="143"/>
      <c r="GCJ212" s="144"/>
      <c r="GCK212" s="124"/>
      <c r="GCL212" s="145"/>
      <c r="GCM212" s="145"/>
      <c r="GCN212" s="146"/>
      <c r="GCO212" s="142"/>
      <c r="GCP212" s="143"/>
      <c r="GCQ212" s="144"/>
      <c r="GCR212" s="124"/>
      <c r="GCS212" s="145"/>
      <c r="GCT212" s="145"/>
      <c r="GCU212" s="146"/>
      <c r="GCV212" s="142"/>
      <c r="GCW212" s="143"/>
      <c r="GCX212" s="144"/>
      <c r="GCY212" s="124"/>
      <c r="GCZ212" s="145"/>
      <c r="GDA212" s="145"/>
      <c r="GDB212" s="146"/>
      <c r="GDC212" s="142"/>
      <c r="GDD212" s="143"/>
      <c r="GDE212" s="144"/>
      <c r="GDF212" s="124"/>
      <c r="GDG212" s="145"/>
      <c r="GDH212" s="145"/>
      <c r="GDI212" s="146"/>
      <c r="GDJ212" s="142"/>
      <c r="GDK212" s="143"/>
      <c r="GDL212" s="144"/>
      <c r="GDM212" s="124"/>
      <c r="GDN212" s="145"/>
      <c r="GDO212" s="145"/>
      <c r="GDP212" s="146"/>
      <c r="GDQ212" s="142"/>
      <c r="GDR212" s="143"/>
      <c r="GDS212" s="144"/>
      <c r="GDT212" s="124"/>
      <c r="GDU212" s="145"/>
      <c r="GDV212" s="145"/>
      <c r="GDW212" s="146"/>
      <c r="GDX212" s="142"/>
      <c r="GDY212" s="143"/>
      <c r="GDZ212" s="144"/>
      <c r="GEA212" s="124"/>
      <c r="GEB212" s="145"/>
      <c r="GEC212" s="145"/>
      <c r="GED212" s="146"/>
      <c r="GEE212" s="142"/>
      <c r="GEF212" s="143"/>
      <c r="GEG212" s="144"/>
      <c r="GEH212" s="124"/>
      <c r="GEI212" s="145"/>
      <c r="GEJ212" s="145"/>
      <c r="GEK212" s="146"/>
      <c r="GEL212" s="142"/>
      <c r="GEM212" s="143"/>
      <c r="GEN212" s="144"/>
      <c r="GEO212" s="124"/>
      <c r="GEP212" s="145"/>
      <c r="GEQ212" s="145"/>
      <c r="GER212" s="146"/>
      <c r="GES212" s="142"/>
      <c r="GET212" s="143"/>
      <c r="GEU212" s="144"/>
      <c r="GEV212" s="124"/>
      <c r="GEW212" s="145"/>
      <c r="GEX212" s="145"/>
      <c r="GEY212" s="146"/>
      <c r="GEZ212" s="142"/>
      <c r="GFA212" s="143"/>
      <c r="GFB212" s="144"/>
      <c r="GFC212" s="124"/>
      <c r="GFD212" s="145"/>
      <c r="GFE212" s="145"/>
      <c r="GFF212" s="146"/>
      <c r="GFG212" s="142"/>
      <c r="GFH212" s="143"/>
      <c r="GFI212" s="144"/>
      <c r="GFJ212" s="124"/>
      <c r="GFK212" s="145"/>
      <c r="GFL212" s="145"/>
      <c r="GFM212" s="146"/>
      <c r="GFN212" s="142"/>
      <c r="GFO212" s="143"/>
      <c r="GFP212" s="144"/>
      <c r="GFQ212" s="124"/>
      <c r="GFR212" s="145"/>
      <c r="GFS212" s="145"/>
      <c r="GFT212" s="146"/>
      <c r="GFU212" s="142"/>
      <c r="GFV212" s="143"/>
      <c r="GFW212" s="144"/>
      <c r="GFX212" s="124"/>
      <c r="GFY212" s="145"/>
      <c r="GFZ212" s="145"/>
      <c r="GGA212" s="146"/>
      <c r="GGB212" s="142"/>
      <c r="GGC212" s="143"/>
      <c r="GGD212" s="144"/>
      <c r="GGE212" s="124"/>
      <c r="GGF212" s="145"/>
      <c r="GGG212" s="145"/>
      <c r="GGH212" s="146"/>
      <c r="GGI212" s="142"/>
      <c r="GGJ212" s="143"/>
      <c r="GGK212" s="144"/>
      <c r="GGL212" s="124"/>
      <c r="GGM212" s="145"/>
      <c r="GGN212" s="145"/>
      <c r="GGO212" s="146"/>
      <c r="GGP212" s="142"/>
      <c r="GGQ212" s="143"/>
      <c r="GGR212" s="144"/>
      <c r="GGS212" s="124"/>
      <c r="GGT212" s="145"/>
      <c r="GGU212" s="145"/>
      <c r="GGV212" s="146"/>
      <c r="GGW212" s="142"/>
      <c r="GGX212" s="143"/>
      <c r="GGY212" s="144"/>
      <c r="GGZ212" s="124"/>
      <c r="GHA212" s="145"/>
      <c r="GHB212" s="145"/>
      <c r="GHC212" s="146"/>
      <c r="GHD212" s="142"/>
      <c r="GHE212" s="143"/>
      <c r="GHF212" s="144"/>
      <c r="GHG212" s="124"/>
      <c r="GHH212" s="145"/>
      <c r="GHI212" s="145"/>
      <c r="GHJ212" s="146"/>
      <c r="GHK212" s="142"/>
      <c r="GHL212" s="143"/>
      <c r="GHM212" s="144"/>
      <c r="GHN212" s="124"/>
      <c r="GHO212" s="145"/>
      <c r="GHP212" s="145"/>
      <c r="GHQ212" s="146"/>
      <c r="GHR212" s="142"/>
      <c r="GHS212" s="143"/>
      <c r="GHT212" s="144"/>
      <c r="GHU212" s="124"/>
      <c r="GHV212" s="145"/>
      <c r="GHW212" s="145"/>
      <c r="GHX212" s="146"/>
      <c r="GHY212" s="142"/>
      <c r="GHZ212" s="143"/>
      <c r="GIA212" s="144"/>
      <c r="GIB212" s="124"/>
      <c r="GIC212" s="145"/>
      <c r="GID212" s="145"/>
      <c r="GIE212" s="146"/>
      <c r="GIF212" s="142"/>
      <c r="GIG212" s="143"/>
      <c r="GIH212" s="144"/>
      <c r="GII212" s="124"/>
      <c r="GIJ212" s="145"/>
      <c r="GIK212" s="145"/>
      <c r="GIL212" s="146"/>
      <c r="GIM212" s="142"/>
      <c r="GIN212" s="143"/>
      <c r="GIO212" s="144"/>
      <c r="GIP212" s="124"/>
      <c r="GIQ212" s="145"/>
      <c r="GIR212" s="145"/>
      <c r="GIS212" s="146"/>
      <c r="GIT212" s="142"/>
      <c r="GIU212" s="143"/>
      <c r="GIV212" s="144"/>
      <c r="GIW212" s="124"/>
      <c r="GIX212" s="145"/>
      <c r="GIY212" s="145"/>
      <c r="GIZ212" s="146"/>
      <c r="GJA212" s="142"/>
      <c r="GJB212" s="143"/>
      <c r="GJC212" s="144"/>
      <c r="GJD212" s="124"/>
      <c r="GJE212" s="145"/>
      <c r="GJF212" s="145"/>
      <c r="GJG212" s="146"/>
      <c r="GJH212" s="142"/>
      <c r="GJI212" s="143"/>
      <c r="GJJ212" s="144"/>
      <c r="GJK212" s="124"/>
      <c r="GJL212" s="145"/>
      <c r="GJM212" s="145"/>
      <c r="GJN212" s="146"/>
      <c r="GJO212" s="142"/>
      <c r="GJP212" s="143"/>
      <c r="GJQ212" s="144"/>
      <c r="GJR212" s="124"/>
      <c r="GJS212" s="145"/>
      <c r="GJT212" s="145"/>
      <c r="GJU212" s="146"/>
      <c r="GJV212" s="142"/>
      <c r="GJW212" s="143"/>
      <c r="GJX212" s="144"/>
      <c r="GJY212" s="124"/>
      <c r="GJZ212" s="145"/>
      <c r="GKA212" s="145"/>
      <c r="GKB212" s="146"/>
      <c r="GKC212" s="142"/>
      <c r="GKD212" s="143"/>
      <c r="GKE212" s="144"/>
      <c r="GKF212" s="124"/>
      <c r="GKG212" s="145"/>
      <c r="GKH212" s="145"/>
      <c r="GKI212" s="146"/>
      <c r="GKJ212" s="142"/>
      <c r="GKK212" s="143"/>
      <c r="GKL212" s="144"/>
      <c r="GKM212" s="124"/>
      <c r="GKN212" s="145"/>
      <c r="GKO212" s="145"/>
      <c r="GKP212" s="146"/>
      <c r="GKQ212" s="142"/>
      <c r="GKR212" s="143"/>
      <c r="GKS212" s="144"/>
      <c r="GKT212" s="124"/>
      <c r="GKU212" s="145"/>
      <c r="GKV212" s="145"/>
      <c r="GKW212" s="146"/>
      <c r="GKX212" s="142"/>
      <c r="GKY212" s="143"/>
      <c r="GKZ212" s="144"/>
      <c r="GLA212" s="124"/>
      <c r="GLB212" s="145"/>
      <c r="GLC212" s="145"/>
      <c r="GLD212" s="146"/>
      <c r="GLE212" s="142"/>
      <c r="GLF212" s="143"/>
      <c r="GLG212" s="144"/>
      <c r="GLH212" s="124"/>
      <c r="GLI212" s="145"/>
      <c r="GLJ212" s="145"/>
      <c r="GLK212" s="146"/>
      <c r="GLL212" s="142"/>
      <c r="GLM212" s="143"/>
      <c r="GLN212" s="144"/>
      <c r="GLO212" s="124"/>
      <c r="GLP212" s="145"/>
      <c r="GLQ212" s="145"/>
      <c r="GLR212" s="146"/>
      <c r="GLS212" s="142"/>
      <c r="GLT212" s="143"/>
      <c r="GLU212" s="144"/>
      <c r="GLV212" s="124"/>
      <c r="GLW212" s="145"/>
      <c r="GLX212" s="145"/>
      <c r="GLY212" s="146"/>
      <c r="GLZ212" s="142"/>
      <c r="GMA212" s="143"/>
      <c r="GMB212" s="144"/>
      <c r="GMC212" s="124"/>
      <c r="GMD212" s="145"/>
      <c r="GME212" s="145"/>
      <c r="GMF212" s="146"/>
      <c r="GMG212" s="142"/>
      <c r="GMH212" s="143"/>
      <c r="GMI212" s="144"/>
      <c r="GMJ212" s="124"/>
      <c r="GMK212" s="145"/>
      <c r="GML212" s="145"/>
      <c r="GMM212" s="146"/>
      <c r="GMN212" s="142"/>
      <c r="GMO212" s="143"/>
      <c r="GMP212" s="144"/>
      <c r="GMQ212" s="124"/>
      <c r="GMR212" s="145"/>
      <c r="GMS212" s="145"/>
      <c r="GMT212" s="146"/>
      <c r="GMU212" s="142"/>
      <c r="GMV212" s="143"/>
      <c r="GMW212" s="144"/>
      <c r="GMX212" s="124"/>
      <c r="GMY212" s="145"/>
      <c r="GMZ212" s="145"/>
      <c r="GNA212" s="146"/>
      <c r="GNB212" s="142"/>
      <c r="GNC212" s="143"/>
      <c r="GND212" s="144"/>
      <c r="GNE212" s="124"/>
      <c r="GNF212" s="145"/>
      <c r="GNG212" s="145"/>
      <c r="GNH212" s="146"/>
      <c r="GNI212" s="142"/>
      <c r="GNJ212" s="143"/>
      <c r="GNK212" s="144"/>
      <c r="GNL212" s="124"/>
      <c r="GNM212" s="145"/>
      <c r="GNN212" s="145"/>
      <c r="GNO212" s="146"/>
      <c r="GNP212" s="142"/>
      <c r="GNQ212" s="143"/>
      <c r="GNR212" s="144"/>
      <c r="GNS212" s="124"/>
      <c r="GNT212" s="145"/>
      <c r="GNU212" s="145"/>
      <c r="GNV212" s="146"/>
      <c r="GNW212" s="142"/>
      <c r="GNX212" s="143"/>
      <c r="GNY212" s="144"/>
      <c r="GNZ212" s="124"/>
      <c r="GOA212" s="145"/>
      <c r="GOB212" s="145"/>
      <c r="GOC212" s="146"/>
      <c r="GOD212" s="142"/>
      <c r="GOE212" s="143"/>
      <c r="GOF212" s="144"/>
      <c r="GOG212" s="124"/>
      <c r="GOH212" s="145"/>
      <c r="GOI212" s="145"/>
      <c r="GOJ212" s="146"/>
      <c r="GOK212" s="142"/>
      <c r="GOL212" s="143"/>
      <c r="GOM212" s="144"/>
      <c r="GON212" s="124"/>
      <c r="GOO212" s="145"/>
      <c r="GOP212" s="145"/>
      <c r="GOQ212" s="146"/>
      <c r="GOR212" s="142"/>
      <c r="GOS212" s="143"/>
      <c r="GOT212" s="144"/>
      <c r="GOU212" s="124"/>
      <c r="GOV212" s="145"/>
      <c r="GOW212" s="145"/>
      <c r="GOX212" s="146"/>
      <c r="GOY212" s="142"/>
      <c r="GOZ212" s="143"/>
      <c r="GPA212" s="144"/>
      <c r="GPB212" s="124"/>
      <c r="GPC212" s="145"/>
      <c r="GPD212" s="145"/>
      <c r="GPE212" s="146"/>
      <c r="GPF212" s="142"/>
      <c r="GPG212" s="143"/>
      <c r="GPH212" s="144"/>
      <c r="GPI212" s="124"/>
      <c r="GPJ212" s="145"/>
      <c r="GPK212" s="145"/>
      <c r="GPL212" s="146"/>
      <c r="GPM212" s="142"/>
      <c r="GPN212" s="143"/>
      <c r="GPO212" s="144"/>
      <c r="GPP212" s="124"/>
      <c r="GPQ212" s="145"/>
      <c r="GPR212" s="145"/>
      <c r="GPS212" s="146"/>
      <c r="GPT212" s="142"/>
      <c r="GPU212" s="143"/>
      <c r="GPV212" s="144"/>
      <c r="GPW212" s="124"/>
      <c r="GPX212" s="145"/>
      <c r="GPY212" s="145"/>
      <c r="GPZ212" s="146"/>
      <c r="GQA212" s="142"/>
      <c r="GQB212" s="143"/>
      <c r="GQC212" s="144"/>
      <c r="GQD212" s="124"/>
      <c r="GQE212" s="145"/>
      <c r="GQF212" s="145"/>
      <c r="GQG212" s="146"/>
      <c r="GQH212" s="142"/>
      <c r="GQI212" s="143"/>
      <c r="GQJ212" s="144"/>
      <c r="GQK212" s="124"/>
      <c r="GQL212" s="145"/>
      <c r="GQM212" s="145"/>
      <c r="GQN212" s="146"/>
      <c r="GQO212" s="142"/>
      <c r="GQP212" s="143"/>
      <c r="GQQ212" s="144"/>
      <c r="GQR212" s="124"/>
      <c r="GQS212" s="145"/>
      <c r="GQT212" s="145"/>
      <c r="GQU212" s="146"/>
      <c r="GQV212" s="142"/>
      <c r="GQW212" s="143"/>
      <c r="GQX212" s="144"/>
      <c r="GQY212" s="124"/>
      <c r="GQZ212" s="145"/>
      <c r="GRA212" s="145"/>
      <c r="GRB212" s="146"/>
      <c r="GRC212" s="142"/>
      <c r="GRD212" s="143"/>
      <c r="GRE212" s="144"/>
      <c r="GRF212" s="124"/>
      <c r="GRG212" s="145"/>
      <c r="GRH212" s="145"/>
      <c r="GRI212" s="146"/>
      <c r="GRJ212" s="142"/>
      <c r="GRK212" s="143"/>
      <c r="GRL212" s="144"/>
      <c r="GRM212" s="124"/>
      <c r="GRN212" s="145"/>
      <c r="GRO212" s="145"/>
      <c r="GRP212" s="146"/>
      <c r="GRQ212" s="142"/>
      <c r="GRR212" s="143"/>
      <c r="GRS212" s="144"/>
      <c r="GRT212" s="124"/>
      <c r="GRU212" s="145"/>
      <c r="GRV212" s="145"/>
      <c r="GRW212" s="146"/>
      <c r="GRX212" s="142"/>
      <c r="GRY212" s="143"/>
      <c r="GRZ212" s="144"/>
      <c r="GSA212" s="124"/>
      <c r="GSB212" s="145"/>
      <c r="GSC212" s="145"/>
      <c r="GSD212" s="146"/>
      <c r="GSE212" s="142"/>
      <c r="GSF212" s="143"/>
      <c r="GSG212" s="144"/>
      <c r="GSH212" s="124"/>
      <c r="GSI212" s="145"/>
      <c r="GSJ212" s="145"/>
      <c r="GSK212" s="146"/>
      <c r="GSL212" s="142"/>
      <c r="GSM212" s="143"/>
      <c r="GSN212" s="144"/>
      <c r="GSO212" s="124"/>
      <c r="GSP212" s="145"/>
      <c r="GSQ212" s="145"/>
      <c r="GSR212" s="146"/>
      <c r="GSS212" s="142"/>
      <c r="GST212" s="143"/>
      <c r="GSU212" s="144"/>
      <c r="GSV212" s="124"/>
      <c r="GSW212" s="145"/>
      <c r="GSX212" s="145"/>
      <c r="GSY212" s="146"/>
      <c r="GSZ212" s="142"/>
      <c r="GTA212" s="143"/>
      <c r="GTB212" s="144"/>
      <c r="GTC212" s="124"/>
      <c r="GTD212" s="145"/>
      <c r="GTE212" s="145"/>
      <c r="GTF212" s="146"/>
      <c r="GTG212" s="142"/>
      <c r="GTH212" s="143"/>
      <c r="GTI212" s="144"/>
      <c r="GTJ212" s="124"/>
      <c r="GTK212" s="145"/>
      <c r="GTL212" s="145"/>
      <c r="GTM212" s="146"/>
      <c r="GTN212" s="142"/>
      <c r="GTO212" s="143"/>
      <c r="GTP212" s="144"/>
      <c r="GTQ212" s="124"/>
      <c r="GTR212" s="145"/>
      <c r="GTS212" s="145"/>
      <c r="GTT212" s="146"/>
      <c r="GTU212" s="142"/>
      <c r="GTV212" s="143"/>
      <c r="GTW212" s="144"/>
      <c r="GTX212" s="124"/>
      <c r="GTY212" s="145"/>
      <c r="GTZ212" s="145"/>
      <c r="GUA212" s="146"/>
      <c r="GUB212" s="142"/>
      <c r="GUC212" s="143"/>
      <c r="GUD212" s="144"/>
      <c r="GUE212" s="124"/>
      <c r="GUF212" s="145"/>
      <c r="GUG212" s="145"/>
      <c r="GUH212" s="146"/>
      <c r="GUI212" s="142"/>
      <c r="GUJ212" s="143"/>
      <c r="GUK212" s="144"/>
      <c r="GUL212" s="124"/>
      <c r="GUM212" s="145"/>
      <c r="GUN212" s="145"/>
      <c r="GUO212" s="146"/>
      <c r="GUP212" s="142"/>
      <c r="GUQ212" s="143"/>
      <c r="GUR212" s="144"/>
      <c r="GUS212" s="124"/>
      <c r="GUT212" s="145"/>
      <c r="GUU212" s="145"/>
      <c r="GUV212" s="146"/>
      <c r="GUW212" s="142"/>
      <c r="GUX212" s="143"/>
      <c r="GUY212" s="144"/>
      <c r="GUZ212" s="124"/>
      <c r="GVA212" s="145"/>
      <c r="GVB212" s="145"/>
      <c r="GVC212" s="146"/>
      <c r="GVD212" s="142"/>
      <c r="GVE212" s="143"/>
      <c r="GVF212" s="144"/>
      <c r="GVG212" s="124"/>
      <c r="GVH212" s="145"/>
      <c r="GVI212" s="145"/>
      <c r="GVJ212" s="146"/>
      <c r="GVK212" s="142"/>
      <c r="GVL212" s="143"/>
      <c r="GVM212" s="144"/>
      <c r="GVN212" s="124"/>
      <c r="GVO212" s="145"/>
      <c r="GVP212" s="145"/>
      <c r="GVQ212" s="146"/>
      <c r="GVR212" s="142"/>
      <c r="GVS212" s="143"/>
      <c r="GVT212" s="144"/>
      <c r="GVU212" s="124"/>
      <c r="GVV212" s="145"/>
      <c r="GVW212" s="145"/>
      <c r="GVX212" s="146"/>
      <c r="GVY212" s="142"/>
      <c r="GVZ212" s="143"/>
      <c r="GWA212" s="144"/>
      <c r="GWB212" s="124"/>
      <c r="GWC212" s="145"/>
      <c r="GWD212" s="145"/>
      <c r="GWE212" s="146"/>
      <c r="GWF212" s="142"/>
      <c r="GWG212" s="143"/>
      <c r="GWH212" s="144"/>
      <c r="GWI212" s="124"/>
      <c r="GWJ212" s="145"/>
      <c r="GWK212" s="145"/>
      <c r="GWL212" s="146"/>
      <c r="GWM212" s="142"/>
      <c r="GWN212" s="143"/>
      <c r="GWO212" s="144"/>
      <c r="GWP212" s="124"/>
      <c r="GWQ212" s="145"/>
      <c r="GWR212" s="145"/>
      <c r="GWS212" s="146"/>
      <c r="GWT212" s="142"/>
      <c r="GWU212" s="143"/>
      <c r="GWV212" s="144"/>
      <c r="GWW212" s="124"/>
      <c r="GWX212" s="145"/>
      <c r="GWY212" s="145"/>
      <c r="GWZ212" s="146"/>
      <c r="GXA212" s="142"/>
      <c r="GXB212" s="143"/>
      <c r="GXC212" s="144"/>
      <c r="GXD212" s="124"/>
      <c r="GXE212" s="145"/>
      <c r="GXF212" s="145"/>
      <c r="GXG212" s="146"/>
      <c r="GXH212" s="142"/>
      <c r="GXI212" s="143"/>
      <c r="GXJ212" s="144"/>
      <c r="GXK212" s="124"/>
      <c r="GXL212" s="145"/>
      <c r="GXM212" s="145"/>
      <c r="GXN212" s="146"/>
      <c r="GXO212" s="142"/>
      <c r="GXP212" s="143"/>
      <c r="GXQ212" s="144"/>
      <c r="GXR212" s="124"/>
      <c r="GXS212" s="145"/>
      <c r="GXT212" s="145"/>
      <c r="GXU212" s="146"/>
      <c r="GXV212" s="142"/>
      <c r="GXW212" s="143"/>
      <c r="GXX212" s="144"/>
      <c r="GXY212" s="124"/>
      <c r="GXZ212" s="145"/>
      <c r="GYA212" s="145"/>
      <c r="GYB212" s="146"/>
      <c r="GYC212" s="142"/>
      <c r="GYD212" s="143"/>
      <c r="GYE212" s="144"/>
      <c r="GYF212" s="124"/>
      <c r="GYG212" s="145"/>
      <c r="GYH212" s="145"/>
      <c r="GYI212" s="146"/>
      <c r="GYJ212" s="142"/>
      <c r="GYK212" s="143"/>
      <c r="GYL212" s="144"/>
      <c r="GYM212" s="124"/>
      <c r="GYN212" s="145"/>
      <c r="GYO212" s="145"/>
      <c r="GYP212" s="146"/>
      <c r="GYQ212" s="142"/>
      <c r="GYR212" s="143"/>
      <c r="GYS212" s="144"/>
      <c r="GYT212" s="124"/>
      <c r="GYU212" s="145"/>
      <c r="GYV212" s="145"/>
      <c r="GYW212" s="146"/>
      <c r="GYX212" s="142"/>
      <c r="GYY212" s="143"/>
      <c r="GYZ212" s="144"/>
      <c r="GZA212" s="124"/>
      <c r="GZB212" s="145"/>
      <c r="GZC212" s="145"/>
      <c r="GZD212" s="146"/>
      <c r="GZE212" s="142"/>
      <c r="GZF212" s="143"/>
      <c r="GZG212" s="144"/>
      <c r="GZH212" s="124"/>
      <c r="GZI212" s="145"/>
      <c r="GZJ212" s="145"/>
      <c r="GZK212" s="146"/>
      <c r="GZL212" s="142"/>
      <c r="GZM212" s="143"/>
      <c r="GZN212" s="144"/>
      <c r="GZO212" s="124"/>
      <c r="GZP212" s="145"/>
      <c r="GZQ212" s="145"/>
      <c r="GZR212" s="146"/>
      <c r="GZS212" s="142"/>
      <c r="GZT212" s="143"/>
      <c r="GZU212" s="144"/>
      <c r="GZV212" s="124"/>
      <c r="GZW212" s="145"/>
      <c r="GZX212" s="145"/>
      <c r="GZY212" s="146"/>
      <c r="GZZ212" s="142"/>
      <c r="HAA212" s="143"/>
      <c r="HAB212" s="144"/>
      <c r="HAC212" s="124"/>
      <c r="HAD212" s="145"/>
      <c r="HAE212" s="145"/>
      <c r="HAF212" s="146"/>
      <c r="HAG212" s="142"/>
      <c r="HAH212" s="143"/>
      <c r="HAI212" s="144"/>
      <c r="HAJ212" s="124"/>
      <c r="HAK212" s="145"/>
      <c r="HAL212" s="145"/>
      <c r="HAM212" s="146"/>
      <c r="HAN212" s="142"/>
      <c r="HAO212" s="143"/>
      <c r="HAP212" s="144"/>
      <c r="HAQ212" s="124"/>
      <c r="HAR212" s="145"/>
      <c r="HAS212" s="145"/>
      <c r="HAT212" s="146"/>
      <c r="HAU212" s="142"/>
      <c r="HAV212" s="143"/>
      <c r="HAW212" s="144"/>
      <c r="HAX212" s="124"/>
      <c r="HAY212" s="145"/>
      <c r="HAZ212" s="145"/>
      <c r="HBA212" s="146"/>
      <c r="HBB212" s="142"/>
      <c r="HBC212" s="143"/>
      <c r="HBD212" s="144"/>
      <c r="HBE212" s="124"/>
      <c r="HBF212" s="145"/>
      <c r="HBG212" s="145"/>
      <c r="HBH212" s="146"/>
      <c r="HBI212" s="142"/>
      <c r="HBJ212" s="143"/>
      <c r="HBK212" s="144"/>
      <c r="HBL212" s="124"/>
      <c r="HBM212" s="145"/>
      <c r="HBN212" s="145"/>
      <c r="HBO212" s="146"/>
      <c r="HBP212" s="142"/>
      <c r="HBQ212" s="143"/>
      <c r="HBR212" s="144"/>
      <c r="HBS212" s="124"/>
      <c r="HBT212" s="145"/>
      <c r="HBU212" s="145"/>
      <c r="HBV212" s="146"/>
      <c r="HBW212" s="142"/>
      <c r="HBX212" s="143"/>
      <c r="HBY212" s="144"/>
      <c r="HBZ212" s="124"/>
      <c r="HCA212" s="145"/>
      <c r="HCB212" s="145"/>
      <c r="HCC212" s="146"/>
      <c r="HCD212" s="142"/>
      <c r="HCE212" s="143"/>
      <c r="HCF212" s="144"/>
      <c r="HCG212" s="124"/>
      <c r="HCH212" s="145"/>
      <c r="HCI212" s="145"/>
      <c r="HCJ212" s="146"/>
      <c r="HCK212" s="142"/>
      <c r="HCL212" s="143"/>
      <c r="HCM212" s="144"/>
      <c r="HCN212" s="124"/>
      <c r="HCO212" s="145"/>
      <c r="HCP212" s="145"/>
      <c r="HCQ212" s="146"/>
      <c r="HCR212" s="142"/>
      <c r="HCS212" s="143"/>
      <c r="HCT212" s="144"/>
      <c r="HCU212" s="124"/>
      <c r="HCV212" s="145"/>
      <c r="HCW212" s="145"/>
      <c r="HCX212" s="146"/>
      <c r="HCY212" s="142"/>
      <c r="HCZ212" s="143"/>
      <c r="HDA212" s="144"/>
      <c r="HDB212" s="124"/>
      <c r="HDC212" s="145"/>
      <c r="HDD212" s="145"/>
      <c r="HDE212" s="146"/>
      <c r="HDF212" s="142"/>
      <c r="HDG212" s="143"/>
      <c r="HDH212" s="144"/>
      <c r="HDI212" s="124"/>
      <c r="HDJ212" s="145"/>
      <c r="HDK212" s="145"/>
      <c r="HDL212" s="146"/>
      <c r="HDM212" s="142"/>
      <c r="HDN212" s="143"/>
      <c r="HDO212" s="144"/>
      <c r="HDP212" s="124"/>
      <c r="HDQ212" s="145"/>
      <c r="HDR212" s="145"/>
      <c r="HDS212" s="146"/>
      <c r="HDT212" s="142"/>
      <c r="HDU212" s="143"/>
      <c r="HDV212" s="144"/>
      <c r="HDW212" s="124"/>
      <c r="HDX212" s="145"/>
      <c r="HDY212" s="145"/>
      <c r="HDZ212" s="146"/>
      <c r="HEA212" s="142"/>
      <c r="HEB212" s="143"/>
      <c r="HEC212" s="144"/>
      <c r="HED212" s="124"/>
      <c r="HEE212" s="145"/>
      <c r="HEF212" s="145"/>
      <c r="HEG212" s="146"/>
      <c r="HEH212" s="142"/>
      <c r="HEI212" s="143"/>
      <c r="HEJ212" s="144"/>
      <c r="HEK212" s="124"/>
      <c r="HEL212" s="145"/>
      <c r="HEM212" s="145"/>
      <c r="HEN212" s="146"/>
      <c r="HEO212" s="142"/>
      <c r="HEP212" s="143"/>
      <c r="HEQ212" s="144"/>
      <c r="HER212" s="124"/>
      <c r="HES212" s="145"/>
      <c r="HET212" s="145"/>
      <c r="HEU212" s="146"/>
      <c r="HEV212" s="142"/>
      <c r="HEW212" s="143"/>
      <c r="HEX212" s="144"/>
      <c r="HEY212" s="124"/>
      <c r="HEZ212" s="145"/>
      <c r="HFA212" s="145"/>
      <c r="HFB212" s="146"/>
      <c r="HFC212" s="142"/>
      <c r="HFD212" s="143"/>
      <c r="HFE212" s="144"/>
      <c r="HFF212" s="124"/>
      <c r="HFG212" s="145"/>
      <c r="HFH212" s="145"/>
      <c r="HFI212" s="146"/>
      <c r="HFJ212" s="142"/>
      <c r="HFK212" s="143"/>
      <c r="HFL212" s="144"/>
      <c r="HFM212" s="124"/>
      <c r="HFN212" s="145"/>
      <c r="HFO212" s="145"/>
      <c r="HFP212" s="146"/>
      <c r="HFQ212" s="142"/>
      <c r="HFR212" s="143"/>
      <c r="HFS212" s="144"/>
      <c r="HFT212" s="124"/>
      <c r="HFU212" s="145"/>
      <c r="HFV212" s="145"/>
      <c r="HFW212" s="146"/>
      <c r="HFX212" s="142"/>
      <c r="HFY212" s="143"/>
      <c r="HFZ212" s="144"/>
      <c r="HGA212" s="124"/>
      <c r="HGB212" s="145"/>
      <c r="HGC212" s="145"/>
      <c r="HGD212" s="146"/>
      <c r="HGE212" s="142"/>
      <c r="HGF212" s="143"/>
      <c r="HGG212" s="144"/>
      <c r="HGH212" s="124"/>
      <c r="HGI212" s="145"/>
      <c r="HGJ212" s="145"/>
      <c r="HGK212" s="146"/>
      <c r="HGL212" s="142"/>
      <c r="HGM212" s="143"/>
      <c r="HGN212" s="144"/>
      <c r="HGO212" s="124"/>
      <c r="HGP212" s="145"/>
      <c r="HGQ212" s="145"/>
      <c r="HGR212" s="146"/>
      <c r="HGS212" s="142"/>
      <c r="HGT212" s="143"/>
      <c r="HGU212" s="144"/>
      <c r="HGV212" s="124"/>
      <c r="HGW212" s="145"/>
      <c r="HGX212" s="145"/>
      <c r="HGY212" s="146"/>
      <c r="HGZ212" s="142"/>
      <c r="HHA212" s="143"/>
      <c r="HHB212" s="144"/>
      <c r="HHC212" s="124"/>
      <c r="HHD212" s="145"/>
      <c r="HHE212" s="145"/>
      <c r="HHF212" s="146"/>
      <c r="HHG212" s="142"/>
      <c r="HHH212" s="143"/>
      <c r="HHI212" s="144"/>
      <c r="HHJ212" s="124"/>
      <c r="HHK212" s="145"/>
      <c r="HHL212" s="145"/>
      <c r="HHM212" s="146"/>
      <c r="HHN212" s="142"/>
      <c r="HHO212" s="143"/>
      <c r="HHP212" s="144"/>
      <c r="HHQ212" s="124"/>
      <c r="HHR212" s="145"/>
      <c r="HHS212" s="145"/>
      <c r="HHT212" s="146"/>
      <c r="HHU212" s="142"/>
      <c r="HHV212" s="143"/>
      <c r="HHW212" s="144"/>
      <c r="HHX212" s="124"/>
      <c r="HHY212" s="145"/>
      <c r="HHZ212" s="145"/>
      <c r="HIA212" s="146"/>
      <c r="HIB212" s="142"/>
      <c r="HIC212" s="143"/>
      <c r="HID212" s="144"/>
      <c r="HIE212" s="124"/>
      <c r="HIF212" s="145"/>
      <c r="HIG212" s="145"/>
      <c r="HIH212" s="146"/>
      <c r="HII212" s="142"/>
      <c r="HIJ212" s="143"/>
      <c r="HIK212" s="144"/>
      <c r="HIL212" s="124"/>
      <c r="HIM212" s="145"/>
      <c r="HIN212" s="145"/>
      <c r="HIO212" s="146"/>
      <c r="HIP212" s="142"/>
      <c r="HIQ212" s="143"/>
      <c r="HIR212" s="144"/>
      <c r="HIS212" s="124"/>
      <c r="HIT212" s="145"/>
      <c r="HIU212" s="145"/>
      <c r="HIV212" s="146"/>
      <c r="HIW212" s="142"/>
      <c r="HIX212" s="143"/>
      <c r="HIY212" s="144"/>
      <c r="HIZ212" s="124"/>
      <c r="HJA212" s="145"/>
      <c r="HJB212" s="145"/>
      <c r="HJC212" s="146"/>
      <c r="HJD212" s="142"/>
      <c r="HJE212" s="143"/>
      <c r="HJF212" s="144"/>
      <c r="HJG212" s="124"/>
      <c r="HJH212" s="145"/>
      <c r="HJI212" s="145"/>
      <c r="HJJ212" s="146"/>
      <c r="HJK212" s="142"/>
      <c r="HJL212" s="143"/>
      <c r="HJM212" s="144"/>
      <c r="HJN212" s="124"/>
      <c r="HJO212" s="145"/>
      <c r="HJP212" s="145"/>
      <c r="HJQ212" s="146"/>
      <c r="HJR212" s="142"/>
      <c r="HJS212" s="143"/>
      <c r="HJT212" s="144"/>
      <c r="HJU212" s="124"/>
      <c r="HJV212" s="145"/>
      <c r="HJW212" s="145"/>
      <c r="HJX212" s="146"/>
      <c r="HJY212" s="142"/>
      <c r="HJZ212" s="143"/>
      <c r="HKA212" s="144"/>
      <c r="HKB212" s="124"/>
      <c r="HKC212" s="145"/>
      <c r="HKD212" s="145"/>
      <c r="HKE212" s="146"/>
      <c r="HKF212" s="142"/>
      <c r="HKG212" s="143"/>
      <c r="HKH212" s="144"/>
      <c r="HKI212" s="124"/>
      <c r="HKJ212" s="145"/>
      <c r="HKK212" s="145"/>
      <c r="HKL212" s="146"/>
      <c r="HKM212" s="142"/>
      <c r="HKN212" s="143"/>
      <c r="HKO212" s="144"/>
      <c r="HKP212" s="124"/>
      <c r="HKQ212" s="145"/>
      <c r="HKR212" s="145"/>
      <c r="HKS212" s="146"/>
      <c r="HKT212" s="142"/>
      <c r="HKU212" s="143"/>
      <c r="HKV212" s="144"/>
      <c r="HKW212" s="124"/>
      <c r="HKX212" s="145"/>
      <c r="HKY212" s="145"/>
      <c r="HKZ212" s="146"/>
      <c r="HLA212" s="142"/>
      <c r="HLB212" s="143"/>
      <c r="HLC212" s="144"/>
      <c r="HLD212" s="124"/>
      <c r="HLE212" s="145"/>
      <c r="HLF212" s="145"/>
      <c r="HLG212" s="146"/>
      <c r="HLH212" s="142"/>
      <c r="HLI212" s="143"/>
      <c r="HLJ212" s="144"/>
      <c r="HLK212" s="124"/>
      <c r="HLL212" s="145"/>
      <c r="HLM212" s="145"/>
      <c r="HLN212" s="146"/>
      <c r="HLO212" s="142"/>
      <c r="HLP212" s="143"/>
      <c r="HLQ212" s="144"/>
      <c r="HLR212" s="124"/>
      <c r="HLS212" s="145"/>
      <c r="HLT212" s="145"/>
      <c r="HLU212" s="146"/>
      <c r="HLV212" s="142"/>
      <c r="HLW212" s="143"/>
      <c r="HLX212" s="144"/>
      <c r="HLY212" s="124"/>
      <c r="HLZ212" s="145"/>
      <c r="HMA212" s="145"/>
      <c r="HMB212" s="146"/>
      <c r="HMC212" s="142"/>
      <c r="HMD212" s="143"/>
      <c r="HME212" s="144"/>
      <c r="HMF212" s="124"/>
      <c r="HMG212" s="145"/>
      <c r="HMH212" s="145"/>
      <c r="HMI212" s="146"/>
      <c r="HMJ212" s="142"/>
      <c r="HMK212" s="143"/>
      <c r="HML212" s="144"/>
      <c r="HMM212" s="124"/>
      <c r="HMN212" s="145"/>
      <c r="HMO212" s="145"/>
      <c r="HMP212" s="146"/>
      <c r="HMQ212" s="142"/>
      <c r="HMR212" s="143"/>
      <c r="HMS212" s="144"/>
      <c r="HMT212" s="124"/>
      <c r="HMU212" s="145"/>
      <c r="HMV212" s="145"/>
      <c r="HMW212" s="146"/>
      <c r="HMX212" s="142"/>
      <c r="HMY212" s="143"/>
      <c r="HMZ212" s="144"/>
      <c r="HNA212" s="124"/>
      <c r="HNB212" s="145"/>
      <c r="HNC212" s="145"/>
      <c r="HND212" s="146"/>
      <c r="HNE212" s="142"/>
      <c r="HNF212" s="143"/>
      <c r="HNG212" s="144"/>
      <c r="HNH212" s="124"/>
      <c r="HNI212" s="145"/>
      <c r="HNJ212" s="145"/>
      <c r="HNK212" s="146"/>
      <c r="HNL212" s="142"/>
      <c r="HNM212" s="143"/>
      <c r="HNN212" s="144"/>
      <c r="HNO212" s="124"/>
      <c r="HNP212" s="145"/>
      <c r="HNQ212" s="145"/>
      <c r="HNR212" s="146"/>
      <c r="HNS212" s="142"/>
      <c r="HNT212" s="143"/>
      <c r="HNU212" s="144"/>
      <c r="HNV212" s="124"/>
      <c r="HNW212" s="145"/>
      <c r="HNX212" s="145"/>
      <c r="HNY212" s="146"/>
      <c r="HNZ212" s="142"/>
      <c r="HOA212" s="143"/>
      <c r="HOB212" s="144"/>
      <c r="HOC212" s="124"/>
      <c r="HOD212" s="145"/>
      <c r="HOE212" s="145"/>
      <c r="HOF212" s="146"/>
      <c r="HOG212" s="142"/>
      <c r="HOH212" s="143"/>
      <c r="HOI212" s="144"/>
      <c r="HOJ212" s="124"/>
      <c r="HOK212" s="145"/>
      <c r="HOL212" s="145"/>
      <c r="HOM212" s="146"/>
      <c r="HON212" s="142"/>
      <c r="HOO212" s="143"/>
      <c r="HOP212" s="144"/>
      <c r="HOQ212" s="124"/>
      <c r="HOR212" s="145"/>
      <c r="HOS212" s="145"/>
      <c r="HOT212" s="146"/>
      <c r="HOU212" s="142"/>
      <c r="HOV212" s="143"/>
      <c r="HOW212" s="144"/>
      <c r="HOX212" s="124"/>
      <c r="HOY212" s="145"/>
      <c r="HOZ212" s="145"/>
      <c r="HPA212" s="146"/>
      <c r="HPB212" s="142"/>
      <c r="HPC212" s="143"/>
      <c r="HPD212" s="144"/>
      <c r="HPE212" s="124"/>
      <c r="HPF212" s="145"/>
      <c r="HPG212" s="145"/>
      <c r="HPH212" s="146"/>
      <c r="HPI212" s="142"/>
      <c r="HPJ212" s="143"/>
      <c r="HPK212" s="144"/>
      <c r="HPL212" s="124"/>
      <c r="HPM212" s="145"/>
      <c r="HPN212" s="145"/>
      <c r="HPO212" s="146"/>
      <c r="HPP212" s="142"/>
      <c r="HPQ212" s="143"/>
      <c r="HPR212" s="144"/>
      <c r="HPS212" s="124"/>
      <c r="HPT212" s="145"/>
      <c r="HPU212" s="145"/>
      <c r="HPV212" s="146"/>
      <c r="HPW212" s="142"/>
      <c r="HPX212" s="143"/>
      <c r="HPY212" s="144"/>
      <c r="HPZ212" s="124"/>
      <c r="HQA212" s="145"/>
      <c r="HQB212" s="145"/>
      <c r="HQC212" s="146"/>
      <c r="HQD212" s="142"/>
      <c r="HQE212" s="143"/>
      <c r="HQF212" s="144"/>
      <c r="HQG212" s="124"/>
      <c r="HQH212" s="145"/>
      <c r="HQI212" s="145"/>
      <c r="HQJ212" s="146"/>
      <c r="HQK212" s="142"/>
      <c r="HQL212" s="143"/>
      <c r="HQM212" s="144"/>
      <c r="HQN212" s="124"/>
      <c r="HQO212" s="145"/>
      <c r="HQP212" s="145"/>
      <c r="HQQ212" s="146"/>
      <c r="HQR212" s="142"/>
      <c r="HQS212" s="143"/>
      <c r="HQT212" s="144"/>
      <c r="HQU212" s="124"/>
      <c r="HQV212" s="145"/>
      <c r="HQW212" s="145"/>
      <c r="HQX212" s="146"/>
      <c r="HQY212" s="142"/>
      <c r="HQZ212" s="143"/>
      <c r="HRA212" s="144"/>
      <c r="HRB212" s="124"/>
      <c r="HRC212" s="145"/>
      <c r="HRD212" s="145"/>
      <c r="HRE212" s="146"/>
      <c r="HRF212" s="142"/>
      <c r="HRG212" s="143"/>
      <c r="HRH212" s="144"/>
      <c r="HRI212" s="124"/>
      <c r="HRJ212" s="145"/>
      <c r="HRK212" s="145"/>
      <c r="HRL212" s="146"/>
      <c r="HRM212" s="142"/>
      <c r="HRN212" s="143"/>
      <c r="HRO212" s="144"/>
      <c r="HRP212" s="124"/>
      <c r="HRQ212" s="145"/>
      <c r="HRR212" s="145"/>
      <c r="HRS212" s="146"/>
      <c r="HRT212" s="142"/>
      <c r="HRU212" s="143"/>
      <c r="HRV212" s="144"/>
      <c r="HRW212" s="124"/>
      <c r="HRX212" s="145"/>
      <c r="HRY212" s="145"/>
      <c r="HRZ212" s="146"/>
      <c r="HSA212" s="142"/>
      <c r="HSB212" s="143"/>
      <c r="HSC212" s="144"/>
      <c r="HSD212" s="124"/>
      <c r="HSE212" s="145"/>
      <c r="HSF212" s="145"/>
      <c r="HSG212" s="146"/>
      <c r="HSH212" s="142"/>
      <c r="HSI212" s="143"/>
      <c r="HSJ212" s="144"/>
      <c r="HSK212" s="124"/>
      <c r="HSL212" s="145"/>
      <c r="HSM212" s="145"/>
      <c r="HSN212" s="146"/>
      <c r="HSO212" s="142"/>
      <c r="HSP212" s="143"/>
      <c r="HSQ212" s="144"/>
      <c r="HSR212" s="124"/>
      <c r="HSS212" s="145"/>
      <c r="HST212" s="145"/>
      <c r="HSU212" s="146"/>
      <c r="HSV212" s="142"/>
      <c r="HSW212" s="143"/>
      <c r="HSX212" s="144"/>
      <c r="HSY212" s="124"/>
      <c r="HSZ212" s="145"/>
      <c r="HTA212" s="145"/>
      <c r="HTB212" s="146"/>
      <c r="HTC212" s="142"/>
      <c r="HTD212" s="143"/>
      <c r="HTE212" s="144"/>
      <c r="HTF212" s="124"/>
      <c r="HTG212" s="145"/>
      <c r="HTH212" s="145"/>
      <c r="HTI212" s="146"/>
      <c r="HTJ212" s="142"/>
      <c r="HTK212" s="143"/>
      <c r="HTL212" s="144"/>
      <c r="HTM212" s="124"/>
      <c r="HTN212" s="145"/>
      <c r="HTO212" s="145"/>
      <c r="HTP212" s="146"/>
      <c r="HTQ212" s="142"/>
      <c r="HTR212" s="143"/>
      <c r="HTS212" s="144"/>
      <c r="HTT212" s="124"/>
      <c r="HTU212" s="145"/>
      <c r="HTV212" s="145"/>
      <c r="HTW212" s="146"/>
      <c r="HTX212" s="142"/>
      <c r="HTY212" s="143"/>
      <c r="HTZ212" s="144"/>
      <c r="HUA212" s="124"/>
      <c r="HUB212" s="145"/>
      <c r="HUC212" s="145"/>
      <c r="HUD212" s="146"/>
      <c r="HUE212" s="142"/>
      <c r="HUF212" s="143"/>
      <c r="HUG212" s="144"/>
      <c r="HUH212" s="124"/>
      <c r="HUI212" s="145"/>
      <c r="HUJ212" s="145"/>
      <c r="HUK212" s="146"/>
      <c r="HUL212" s="142"/>
      <c r="HUM212" s="143"/>
      <c r="HUN212" s="144"/>
      <c r="HUO212" s="124"/>
      <c r="HUP212" s="145"/>
      <c r="HUQ212" s="145"/>
      <c r="HUR212" s="146"/>
      <c r="HUS212" s="142"/>
      <c r="HUT212" s="143"/>
      <c r="HUU212" s="144"/>
      <c r="HUV212" s="124"/>
      <c r="HUW212" s="145"/>
      <c r="HUX212" s="145"/>
      <c r="HUY212" s="146"/>
      <c r="HUZ212" s="142"/>
      <c r="HVA212" s="143"/>
      <c r="HVB212" s="144"/>
      <c r="HVC212" s="124"/>
      <c r="HVD212" s="145"/>
      <c r="HVE212" s="145"/>
      <c r="HVF212" s="146"/>
      <c r="HVG212" s="142"/>
      <c r="HVH212" s="143"/>
      <c r="HVI212" s="144"/>
      <c r="HVJ212" s="124"/>
      <c r="HVK212" s="145"/>
      <c r="HVL212" s="145"/>
      <c r="HVM212" s="146"/>
      <c r="HVN212" s="142"/>
      <c r="HVO212" s="143"/>
      <c r="HVP212" s="144"/>
      <c r="HVQ212" s="124"/>
      <c r="HVR212" s="145"/>
      <c r="HVS212" s="145"/>
      <c r="HVT212" s="146"/>
      <c r="HVU212" s="142"/>
      <c r="HVV212" s="143"/>
      <c r="HVW212" s="144"/>
      <c r="HVX212" s="124"/>
      <c r="HVY212" s="145"/>
      <c r="HVZ212" s="145"/>
      <c r="HWA212" s="146"/>
      <c r="HWB212" s="142"/>
      <c r="HWC212" s="143"/>
      <c r="HWD212" s="144"/>
      <c r="HWE212" s="124"/>
      <c r="HWF212" s="145"/>
      <c r="HWG212" s="145"/>
      <c r="HWH212" s="146"/>
      <c r="HWI212" s="142"/>
      <c r="HWJ212" s="143"/>
      <c r="HWK212" s="144"/>
      <c r="HWL212" s="124"/>
      <c r="HWM212" s="145"/>
      <c r="HWN212" s="145"/>
      <c r="HWO212" s="146"/>
      <c r="HWP212" s="142"/>
      <c r="HWQ212" s="143"/>
      <c r="HWR212" s="144"/>
      <c r="HWS212" s="124"/>
      <c r="HWT212" s="145"/>
      <c r="HWU212" s="145"/>
      <c r="HWV212" s="146"/>
      <c r="HWW212" s="142"/>
      <c r="HWX212" s="143"/>
      <c r="HWY212" s="144"/>
      <c r="HWZ212" s="124"/>
      <c r="HXA212" s="145"/>
      <c r="HXB212" s="145"/>
      <c r="HXC212" s="146"/>
      <c r="HXD212" s="142"/>
      <c r="HXE212" s="143"/>
      <c r="HXF212" s="144"/>
      <c r="HXG212" s="124"/>
      <c r="HXH212" s="145"/>
      <c r="HXI212" s="145"/>
      <c r="HXJ212" s="146"/>
      <c r="HXK212" s="142"/>
      <c r="HXL212" s="143"/>
      <c r="HXM212" s="144"/>
      <c r="HXN212" s="124"/>
      <c r="HXO212" s="145"/>
      <c r="HXP212" s="145"/>
      <c r="HXQ212" s="146"/>
      <c r="HXR212" s="142"/>
      <c r="HXS212" s="143"/>
      <c r="HXT212" s="144"/>
      <c r="HXU212" s="124"/>
      <c r="HXV212" s="145"/>
      <c r="HXW212" s="145"/>
      <c r="HXX212" s="146"/>
      <c r="HXY212" s="142"/>
      <c r="HXZ212" s="143"/>
      <c r="HYA212" s="144"/>
      <c r="HYB212" s="124"/>
      <c r="HYC212" s="145"/>
      <c r="HYD212" s="145"/>
      <c r="HYE212" s="146"/>
      <c r="HYF212" s="142"/>
      <c r="HYG212" s="143"/>
      <c r="HYH212" s="144"/>
      <c r="HYI212" s="124"/>
      <c r="HYJ212" s="145"/>
      <c r="HYK212" s="145"/>
      <c r="HYL212" s="146"/>
      <c r="HYM212" s="142"/>
      <c r="HYN212" s="143"/>
      <c r="HYO212" s="144"/>
      <c r="HYP212" s="124"/>
      <c r="HYQ212" s="145"/>
      <c r="HYR212" s="145"/>
      <c r="HYS212" s="146"/>
      <c r="HYT212" s="142"/>
      <c r="HYU212" s="143"/>
      <c r="HYV212" s="144"/>
      <c r="HYW212" s="124"/>
      <c r="HYX212" s="145"/>
      <c r="HYY212" s="145"/>
      <c r="HYZ212" s="146"/>
      <c r="HZA212" s="142"/>
      <c r="HZB212" s="143"/>
      <c r="HZC212" s="144"/>
      <c r="HZD212" s="124"/>
      <c r="HZE212" s="145"/>
      <c r="HZF212" s="145"/>
      <c r="HZG212" s="146"/>
      <c r="HZH212" s="142"/>
      <c r="HZI212" s="143"/>
      <c r="HZJ212" s="144"/>
      <c r="HZK212" s="124"/>
      <c r="HZL212" s="145"/>
      <c r="HZM212" s="145"/>
      <c r="HZN212" s="146"/>
      <c r="HZO212" s="142"/>
      <c r="HZP212" s="143"/>
      <c r="HZQ212" s="144"/>
      <c r="HZR212" s="124"/>
      <c r="HZS212" s="145"/>
      <c r="HZT212" s="145"/>
      <c r="HZU212" s="146"/>
      <c r="HZV212" s="142"/>
      <c r="HZW212" s="143"/>
      <c r="HZX212" s="144"/>
      <c r="HZY212" s="124"/>
      <c r="HZZ212" s="145"/>
      <c r="IAA212" s="145"/>
      <c r="IAB212" s="146"/>
      <c r="IAC212" s="142"/>
      <c r="IAD212" s="143"/>
      <c r="IAE212" s="144"/>
      <c r="IAF212" s="124"/>
      <c r="IAG212" s="145"/>
      <c r="IAH212" s="145"/>
      <c r="IAI212" s="146"/>
      <c r="IAJ212" s="142"/>
      <c r="IAK212" s="143"/>
      <c r="IAL212" s="144"/>
      <c r="IAM212" s="124"/>
      <c r="IAN212" s="145"/>
      <c r="IAO212" s="145"/>
      <c r="IAP212" s="146"/>
      <c r="IAQ212" s="142"/>
      <c r="IAR212" s="143"/>
      <c r="IAS212" s="144"/>
      <c r="IAT212" s="124"/>
      <c r="IAU212" s="145"/>
      <c r="IAV212" s="145"/>
      <c r="IAW212" s="146"/>
      <c r="IAX212" s="142"/>
      <c r="IAY212" s="143"/>
      <c r="IAZ212" s="144"/>
      <c r="IBA212" s="124"/>
      <c r="IBB212" s="145"/>
      <c r="IBC212" s="145"/>
      <c r="IBD212" s="146"/>
      <c r="IBE212" s="142"/>
      <c r="IBF212" s="143"/>
      <c r="IBG212" s="144"/>
      <c r="IBH212" s="124"/>
      <c r="IBI212" s="145"/>
      <c r="IBJ212" s="145"/>
      <c r="IBK212" s="146"/>
      <c r="IBL212" s="142"/>
      <c r="IBM212" s="143"/>
      <c r="IBN212" s="144"/>
      <c r="IBO212" s="124"/>
      <c r="IBP212" s="145"/>
      <c r="IBQ212" s="145"/>
      <c r="IBR212" s="146"/>
      <c r="IBS212" s="142"/>
      <c r="IBT212" s="143"/>
      <c r="IBU212" s="144"/>
      <c r="IBV212" s="124"/>
      <c r="IBW212" s="145"/>
      <c r="IBX212" s="145"/>
      <c r="IBY212" s="146"/>
      <c r="IBZ212" s="142"/>
      <c r="ICA212" s="143"/>
      <c r="ICB212" s="144"/>
      <c r="ICC212" s="124"/>
      <c r="ICD212" s="145"/>
      <c r="ICE212" s="145"/>
      <c r="ICF212" s="146"/>
      <c r="ICG212" s="142"/>
      <c r="ICH212" s="143"/>
      <c r="ICI212" s="144"/>
      <c r="ICJ212" s="124"/>
      <c r="ICK212" s="145"/>
      <c r="ICL212" s="145"/>
      <c r="ICM212" s="146"/>
      <c r="ICN212" s="142"/>
      <c r="ICO212" s="143"/>
      <c r="ICP212" s="144"/>
      <c r="ICQ212" s="124"/>
      <c r="ICR212" s="145"/>
      <c r="ICS212" s="145"/>
      <c r="ICT212" s="146"/>
      <c r="ICU212" s="142"/>
      <c r="ICV212" s="143"/>
      <c r="ICW212" s="144"/>
      <c r="ICX212" s="124"/>
      <c r="ICY212" s="145"/>
      <c r="ICZ212" s="145"/>
      <c r="IDA212" s="146"/>
      <c r="IDB212" s="142"/>
      <c r="IDC212" s="143"/>
      <c r="IDD212" s="144"/>
      <c r="IDE212" s="124"/>
      <c r="IDF212" s="145"/>
      <c r="IDG212" s="145"/>
      <c r="IDH212" s="146"/>
      <c r="IDI212" s="142"/>
      <c r="IDJ212" s="143"/>
      <c r="IDK212" s="144"/>
      <c r="IDL212" s="124"/>
      <c r="IDM212" s="145"/>
      <c r="IDN212" s="145"/>
      <c r="IDO212" s="146"/>
      <c r="IDP212" s="142"/>
      <c r="IDQ212" s="143"/>
      <c r="IDR212" s="144"/>
      <c r="IDS212" s="124"/>
      <c r="IDT212" s="145"/>
      <c r="IDU212" s="145"/>
      <c r="IDV212" s="146"/>
      <c r="IDW212" s="142"/>
      <c r="IDX212" s="143"/>
      <c r="IDY212" s="144"/>
      <c r="IDZ212" s="124"/>
      <c r="IEA212" s="145"/>
      <c r="IEB212" s="145"/>
      <c r="IEC212" s="146"/>
      <c r="IED212" s="142"/>
      <c r="IEE212" s="143"/>
      <c r="IEF212" s="144"/>
      <c r="IEG212" s="124"/>
      <c r="IEH212" s="145"/>
      <c r="IEI212" s="145"/>
      <c r="IEJ212" s="146"/>
      <c r="IEK212" s="142"/>
      <c r="IEL212" s="143"/>
      <c r="IEM212" s="144"/>
      <c r="IEN212" s="124"/>
      <c r="IEO212" s="145"/>
      <c r="IEP212" s="145"/>
      <c r="IEQ212" s="146"/>
      <c r="IER212" s="142"/>
      <c r="IES212" s="143"/>
      <c r="IET212" s="144"/>
      <c r="IEU212" s="124"/>
      <c r="IEV212" s="145"/>
      <c r="IEW212" s="145"/>
      <c r="IEX212" s="146"/>
      <c r="IEY212" s="142"/>
      <c r="IEZ212" s="143"/>
      <c r="IFA212" s="144"/>
      <c r="IFB212" s="124"/>
      <c r="IFC212" s="145"/>
      <c r="IFD212" s="145"/>
      <c r="IFE212" s="146"/>
      <c r="IFF212" s="142"/>
      <c r="IFG212" s="143"/>
      <c r="IFH212" s="144"/>
      <c r="IFI212" s="124"/>
      <c r="IFJ212" s="145"/>
      <c r="IFK212" s="145"/>
      <c r="IFL212" s="146"/>
      <c r="IFM212" s="142"/>
      <c r="IFN212" s="143"/>
      <c r="IFO212" s="144"/>
      <c r="IFP212" s="124"/>
      <c r="IFQ212" s="145"/>
      <c r="IFR212" s="145"/>
      <c r="IFS212" s="146"/>
      <c r="IFT212" s="142"/>
      <c r="IFU212" s="143"/>
      <c r="IFV212" s="144"/>
      <c r="IFW212" s="124"/>
      <c r="IFX212" s="145"/>
      <c r="IFY212" s="145"/>
      <c r="IFZ212" s="146"/>
      <c r="IGA212" s="142"/>
      <c r="IGB212" s="143"/>
      <c r="IGC212" s="144"/>
      <c r="IGD212" s="124"/>
      <c r="IGE212" s="145"/>
      <c r="IGF212" s="145"/>
      <c r="IGG212" s="146"/>
      <c r="IGH212" s="142"/>
      <c r="IGI212" s="143"/>
      <c r="IGJ212" s="144"/>
      <c r="IGK212" s="124"/>
      <c r="IGL212" s="145"/>
      <c r="IGM212" s="145"/>
      <c r="IGN212" s="146"/>
      <c r="IGO212" s="142"/>
      <c r="IGP212" s="143"/>
      <c r="IGQ212" s="144"/>
      <c r="IGR212" s="124"/>
      <c r="IGS212" s="145"/>
      <c r="IGT212" s="145"/>
      <c r="IGU212" s="146"/>
      <c r="IGV212" s="142"/>
      <c r="IGW212" s="143"/>
      <c r="IGX212" s="144"/>
      <c r="IGY212" s="124"/>
      <c r="IGZ212" s="145"/>
      <c r="IHA212" s="145"/>
      <c r="IHB212" s="146"/>
      <c r="IHC212" s="142"/>
      <c r="IHD212" s="143"/>
      <c r="IHE212" s="144"/>
      <c r="IHF212" s="124"/>
      <c r="IHG212" s="145"/>
      <c r="IHH212" s="145"/>
      <c r="IHI212" s="146"/>
      <c r="IHJ212" s="142"/>
      <c r="IHK212" s="143"/>
      <c r="IHL212" s="144"/>
      <c r="IHM212" s="124"/>
      <c r="IHN212" s="145"/>
      <c r="IHO212" s="145"/>
      <c r="IHP212" s="146"/>
      <c r="IHQ212" s="142"/>
      <c r="IHR212" s="143"/>
      <c r="IHS212" s="144"/>
      <c r="IHT212" s="124"/>
      <c r="IHU212" s="145"/>
      <c r="IHV212" s="145"/>
      <c r="IHW212" s="146"/>
      <c r="IHX212" s="142"/>
      <c r="IHY212" s="143"/>
      <c r="IHZ212" s="144"/>
      <c r="IIA212" s="124"/>
      <c r="IIB212" s="145"/>
      <c r="IIC212" s="145"/>
      <c r="IID212" s="146"/>
      <c r="IIE212" s="142"/>
      <c r="IIF212" s="143"/>
      <c r="IIG212" s="144"/>
      <c r="IIH212" s="124"/>
      <c r="III212" s="145"/>
      <c r="IIJ212" s="145"/>
      <c r="IIK212" s="146"/>
      <c r="IIL212" s="142"/>
      <c r="IIM212" s="143"/>
      <c r="IIN212" s="144"/>
      <c r="IIO212" s="124"/>
      <c r="IIP212" s="145"/>
      <c r="IIQ212" s="145"/>
      <c r="IIR212" s="146"/>
      <c r="IIS212" s="142"/>
      <c r="IIT212" s="143"/>
      <c r="IIU212" s="144"/>
      <c r="IIV212" s="124"/>
      <c r="IIW212" s="145"/>
      <c r="IIX212" s="145"/>
      <c r="IIY212" s="146"/>
      <c r="IIZ212" s="142"/>
      <c r="IJA212" s="143"/>
      <c r="IJB212" s="144"/>
      <c r="IJC212" s="124"/>
      <c r="IJD212" s="145"/>
      <c r="IJE212" s="145"/>
      <c r="IJF212" s="146"/>
      <c r="IJG212" s="142"/>
      <c r="IJH212" s="143"/>
      <c r="IJI212" s="144"/>
      <c r="IJJ212" s="124"/>
      <c r="IJK212" s="145"/>
      <c r="IJL212" s="145"/>
      <c r="IJM212" s="146"/>
      <c r="IJN212" s="142"/>
      <c r="IJO212" s="143"/>
      <c r="IJP212" s="144"/>
      <c r="IJQ212" s="124"/>
      <c r="IJR212" s="145"/>
      <c r="IJS212" s="145"/>
      <c r="IJT212" s="146"/>
      <c r="IJU212" s="142"/>
      <c r="IJV212" s="143"/>
      <c r="IJW212" s="144"/>
      <c r="IJX212" s="124"/>
      <c r="IJY212" s="145"/>
      <c r="IJZ212" s="145"/>
      <c r="IKA212" s="146"/>
      <c r="IKB212" s="142"/>
      <c r="IKC212" s="143"/>
      <c r="IKD212" s="144"/>
      <c r="IKE212" s="124"/>
      <c r="IKF212" s="145"/>
      <c r="IKG212" s="145"/>
      <c r="IKH212" s="146"/>
      <c r="IKI212" s="142"/>
      <c r="IKJ212" s="143"/>
      <c r="IKK212" s="144"/>
      <c r="IKL212" s="124"/>
      <c r="IKM212" s="145"/>
      <c r="IKN212" s="145"/>
      <c r="IKO212" s="146"/>
      <c r="IKP212" s="142"/>
      <c r="IKQ212" s="143"/>
      <c r="IKR212" s="144"/>
      <c r="IKS212" s="124"/>
      <c r="IKT212" s="145"/>
      <c r="IKU212" s="145"/>
      <c r="IKV212" s="146"/>
      <c r="IKW212" s="142"/>
      <c r="IKX212" s="143"/>
      <c r="IKY212" s="144"/>
      <c r="IKZ212" s="124"/>
      <c r="ILA212" s="145"/>
      <c r="ILB212" s="145"/>
      <c r="ILC212" s="146"/>
      <c r="ILD212" s="142"/>
      <c r="ILE212" s="143"/>
      <c r="ILF212" s="144"/>
      <c r="ILG212" s="124"/>
      <c r="ILH212" s="145"/>
      <c r="ILI212" s="145"/>
      <c r="ILJ212" s="146"/>
      <c r="ILK212" s="142"/>
      <c r="ILL212" s="143"/>
      <c r="ILM212" s="144"/>
      <c r="ILN212" s="124"/>
      <c r="ILO212" s="145"/>
      <c r="ILP212" s="145"/>
      <c r="ILQ212" s="146"/>
      <c r="ILR212" s="142"/>
      <c r="ILS212" s="143"/>
      <c r="ILT212" s="144"/>
      <c r="ILU212" s="124"/>
      <c r="ILV212" s="145"/>
      <c r="ILW212" s="145"/>
      <c r="ILX212" s="146"/>
      <c r="ILY212" s="142"/>
      <c r="ILZ212" s="143"/>
      <c r="IMA212" s="144"/>
      <c r="IMB212" s="124"/>
      <c r="IMC212" s="145"/>
      <c r="IMD212" s="145"/>
      <c r="IME212" s="146"/>
      <c r="IMF212" s="142"/>
      <c r="IMG212" s="143"/>
      <c r="IMH212" s="144"/>
      <c r="IMI212" s="124"/>
      <c r="IMJ212" s="145"/>
      <c r="IMK212" s="145"/>
      <c r="IML212" s="146"/>
      <c r="IMM212" s="142"/>
      <c r="IMN212" s="143"/>
      <c r="IMO212" s="144"/>
      <c r="IMP212" s="124"/>
      <c r="IMQ212" s="145"/>
      <c r="IMR212" s="145"/>
      <c r="IMS212" s="146"/>
      <c r="IMT212" s="142"/>
      <c r="IMU212" s="143"/>
      <c r="IMV212" s="144"/>
      <c r="IMW212" s="124"/>
      <c r="IMX212" s="145"/>
      <c r="IMY212" s="145"/>
      <c r="IMZ212" s="146"/>
      <c r="INA212" s="142"/>
      <c r="INB212" s="143"/>
      <c r="INC212" s="144"/>
      <c r="IND212" s="124"/>
      <c r="INE212" s="145"/>
      <c r="INF212" s="145"/>
      <c r="ING212" s="146"/>
      <c r="INH212" s="142"/>
      <c r="INI212" s="143"/>
      <c r="INJ212" s="144"/>
      <c r="INK212" s="124"/>
      <c r="INL212" s="145"/>
      <c r="INM212" s="145"/>
      <c r="INN212" s="146"/>
      <c r="INO212" s="142"/>
      <c r="INP212" s="143"/>
      <c r="INQ212" s="144"/>
      <c r="INR212" s="124"/>
      <c r="INS212" s="145"/>
      <c r="INT212" s="145"/>
      <c r="INU212" s="146"/>
      <c r="INV212" s="142"/>
      <c r="INW212" s="143"/>
      <c r="INX212" s="144"/>
      <c r="INY212" s="124"/>
      <c r="INZ212" s="145"/>
      <c r="IOA212" s="145"/>
      <c r="IOB212" s="146"/>
      <c r="IOC212" s="142"/>
      <c r="IOD212" s="143"/>
      <c r="IOE212" s="144"/>
      <c r="IOF212" s="124"/>
      <c r="IOG212" s="145"/>
      <c r="IOH212" s="145"/>
      <c r="IOI212" s="146"/>
      <c r="IOJ212" s="142"/>
      <c r="IOK212" s="143"/>
      <c r="IOL212" s="144"/>
      <c r="IOM212" s="124"/>
      <c r="ION212" s="145"/>
      <c r="IOO212" s="145"/>
      <c r="IOP212" s="146"/>
      <c r="IOQ212" s="142"/>
      <c r="IOR212" s="143"/>
      <c r="IOS212" s="144"/>
      <c r="IOT212" s="124"/>
      <c r="IOU212" s="145"/>
      <c r="IOV212" s="145"/>
      <c r="IOW212" s="146"/>
      <c r="IOX212" s="142"/>
      <c r="IOY212" s="143"/>
      <c r="IOZ212" s="144"/>
      <c r="IPA212" s="124"/>
      <c r="IPB212" s="145"/>
      <c r="IPC212" s="145"/>
      <c r="IPD212" s="146"/>
      <c r="IPE212" s="142"/>
      <c r="IPF212" s="143"/>
      <c r="IPG212" s="144"/>
      <c r="IPH212" s="124"/>
      <c r="IPI212" s="145"/>
      <c r="IPJ212" s="145"/>
      <c r="IPK212" s="146"/>
      <c r="IPL212" s="142"/>
      <c r="IPM212" s="143"/>
      <c r="IPN212" s="144"/>
      <c r="IPO212" s="124"/>
      <c r="IPP212" s="145"/>
      <c r="IPQ212" s="145"/>
      <c r="IPR212" s="146"/>
      <c r="IPS212" s="142"/>
      <c r="IPT212" s="143"/>
      <c r="IPU212" s="144"/>
      <c r="IPV212" s="124"/>
      <c r="IPW212" s="145"/>
      <c r="IPX212" s="145"/>
      <c r="IPY212" s="146"/>
      <c r="IPZ212" s="142"/>
      <c r="IQA212" s="143"/>
      <c r="IQB212" s="144"/>
      <c r="IQC212" s="124"/>
      <c r="IQD212" s="145"/>
      <c r="IQE212" s="145"/>
      <c r="IQF212" s="146"/>
      <c r="IQG212" s="142"/>
      <c r="IQH212" s="143"/>
      <c r="IQI212" s="144"/>
      <c r="IQJ212" s="124"/>
      <c r="IQK212" s="145"/>
      <c r="IQL212" s="145"/>
      <c r="IQM212" s="146"/>
      <c r="IQN212" s="142"/>
      <c r="IQO212" s="143"/>
      <c r="IQP212" s="144"/>
      <c r="IQQ212" s="124"/>
      <c r="IQR212" s="145"/>
      <c r="IQS212" s="145"/>
      <c r="IQT212" s="146"/>
      <c r="IQU212" s="142"/>
      <c r="IQV212" s="143"/>
      <c r="IQW212" s="144"/>
      <c r="IQX212" s="124"/>
      <c r="IQY212" s="145"/>
      <c r="IQZ212" s="145"/>
      <c r="IRA212" s="146"/>
      <c r="IRB212" s="142"/>
      <c r="IRC212" s="143"/>
      <c r="IRD212" s="144"/>
      <c r="IRE212" s="124"/>
      <c r="IRF212" s="145"/>
      <c r="IRG212" s="145"/>
      <c r="IRH212" s="146"/>
      <c r="IRI212" s="142"/>
      <c r="IRJ212" s="143"/>
      <c r="IRK212" s="144"/>
      <c r="IRL212" s="124"/>
      <c r="IRM212" s="145"/>
      <c r="IRN212" s="145"/>
      <c r="IRO212" s="146"/>
      <c r="IRP212" s="142"/>
      <c r="IRQ212" s="143"/>
      <c r="IRR212" s="144"/>
      <c r="IRS212" s="124"/>
      <c r="IRT212" s="145"/>
      <c r="IRU212" s="145"/>
      <c r="IRV212" s="146"/>
      <c r="IRW212" s="142"/>
      <c r="IRX212" s="143"/>
      <c r="IRY212" s="144"/>
      <c r="IRZ212" s="124"/>
      <c r="ISA212" s="145"/>
      <c r="ISB212" s="145"/>
      <c r="ISC212" s="146"/>
      <c r="ISD212" s="142"/>
      <c r="ISE212" s="143"/>
      <c r="ISF212" s="144"/>
      <c r="ISG212" s="124"/>
      <c r="ISH212" s="145"/>
      <c r="ISI212" s="145"/>
      <c r="ISJ212" s="146"/>
      <c r="ISK212" s="142"/>
      <c r="ISL212" s="143"/>
      <c r="ISM212" s="144"/>
      <c r="ISN212" s="124"/>
      <c r="ISO212" s="145"/>
      <c r="ISP212" s="145"/>
      <c r="ISQ212" s="146"/>
      <c r="ISR212" s="142"/>
      <c r="ISS212" s="143"/>
      <c r="IST212" s="144"/>
      <c r="ISU212" s="124"/>
      <c r="ISV212" s="145"/>
      <c r="ISW212" s="145"/>
      <c r="ISX212" s="146"/>
      <c r="ISY212" s="142"/>
      <c r="ISZ212" s="143"/>
      <c r="ITA212" s="144"/>
      <c r="ITB212" s="124"/>
      <c r="ITC212" s="145"/>
      <c r="ITD212" s="145"/>
      <c r="ITE212" s="146"/>
      <c r="ITF212" s="142"/>
      <c r="ITG212" s="143"/>
      <c r="ITH212" s="144"/>
      <c r="ITI212" s="124"/>
      <c r="ITJ212" s="145"/>
      <c r="ITK212" s="145"/>
      <c r="ITL212" s="146"/>
      <c r="ITM212" s="142"/>
      <c r="ITN212" s="143"/>
      <c r="ITO212" s="144"/>
      <c r="ITP212" s="124"/>
      <c r="ITQ212" s="145"/>
      <c r="ITR212" s="145"/>
      <c r="ITS212" s="146"/>
      <c r="ITT212" s="142"/>
      <c r="ITU212" s="143"/>
      <c r="ITV212" s="144"/>
      <c r="ITW212" s="124"/>
      <c r="ITX212" s="145"/>
      <c r="ITY212" s="145"/>
      <c r="ITZ212" s="146"/>
      <c r="IUA212" s="142"/>
      <c r="IUB212" s="143"/>
      <c r="IUC212" s="144"/>
      <c r="IUD212" s="124"/>
      <c r="IUE212" s="145"/>
      <c r="IUF212" s="145"/>
      <c r="IUG212" s="146"/>
      <c r="IUH212" s="142"/>
      <c r="IUI212" s="143"/>
      <c r="IUJ212" s="144"/>
      <c r="IUK212" s="124"/>
      <c r="IUL212" s="145"/>
      <c r="IUM212" s="145"/>
      <c r="IUN212" s="146"/>
      <c r="IUO212" s="142"/>
      <c r="IUP212" s="143"/>
      <c r="IUQ212" s="144"/>
      <c r="IUR212" s="124"/>
      <c r="IUS212" s="145"/>
      <c r="IUT212" s="145"/>
      <c r="IUU212" s="146"/>
      <c r="IUV212" s="142"/>
      <c r="IUW212" s="143"/>
      <c r="IUX212" s="144"/>
      <c r="IUY212" s="124"/>
      <c r="IUZ212" s="145"/>
      <c r="IVA212" s="145"/>
      <c r="IVB212" s="146"/>
      <c r="IVC212" s="142"/>
      <c r="IVD212" s="143"/>
      <c r="IVE212" s="144"/>
      <c r="IVF212" s="124"/>
      <c r="IVG212" s="145"/>
      <c r="IVH212" s="145"/>
      <c r="IVI212" s="146"/>
      <c r="IVJ212" s="142"/>
      <c r="IVK212" s="143"/>
      <c r="IVL212" s="144"/>
      <c r="IVM212" s="124"/>
      <c r="IVN212" s="145"/>
      <c r="IVO212" s="145"/>
      <c r="IVP212" s="146"/>
      <c r="IVQ212" s="142"/>
      <c r="IVR212" s="143"/>
      <c r="IVS212" s="144"/>
      <c r="IVT212" s="124"/>
      <c r="IVU212" s="145"/>
      <c r="IVV212" s="145"/>
      <c r="IVW212" s="146"/>
      <c r="IVX212" s="142"/>
      <c r="IVY212" s="143"/>
      <c r="IVZ212" s="144"/>
      <c r="IWA212" s="124"/>
      <c r="IWB212" s="145"/>
      <c r="IWC212" s="145"/>
      <c r="IWD212" s="146"/>
      <c r="IWE212" s="142"/>
      <c r="IWF212" s="143"/>
      <c r="IWG212" s="144"/>
      <c r="IWH212" s="124"/>
      <c r="IWI212" s="145"/>
      <c r="IWJ212" s="145"/>
      <c r="IWK212" s="146"/>
      <c r="IWL212" s="142"/>
      <c r="IWM212" s="143"/>
      <c r="IWN212" s="144"/>
      <c r="IWO212" s="124"/>
      <c r="IWP212" s="145"/>
      <c r="IWQ212" s="145"/>
      <c r="IWR212" s="146"/>
      <c r="IWS212" s="142"/>
      <c r="IWT212" s="143"/>
      <c r="IWU212" s="144"/>
      <c r="IWV212" s="124"/>
      <c r="IWW212" s="145"/>
      <c r="IWX212" s="145"/>
      <c r="IWY212" s="146"/>
      <c r="IWZ212" s="142"/>
      <c r="IXA212" s="143"/>
      <c r="IXB212" s="144"/>
      <c r="IXC212" s="124"/>
      <c r="IXD212" s="145"/>
      <c r="IXE212" s="145"/>
      <c r="IXF212" s="146"/>
      <c r="IXG212" s="142"/>
      <c r="IXH212" s="143"/>
      <c r="IXI212" s="144"/>
      <c r="IXJ212" s="124"/>
      <c r="IXK212" s="145"/>
      <c r="IXL212" s="145"/>
      <c r="IXM212" s="146"/>
      <c r="IXN212" s="142"/>
      <c r="IXO212" s="143"/>
      <c r="IXP212" s="144"/>
      <c r="IXQ212" s="124"/>
      <c r="IXR212" s="145"/>
      <c r="IXS212" s="145"/>
      <c r="IXT212" s="146"/>
      <c r="IXU212" s="142"/>
      <c r="IXV212" s="143"/>
      <c r="IXW212" s="144"/>
      <c r="IXX212" s="124"/>
      <c r="IXY212" s="145"/>
      <c r="IXZ212" s="145"/>
      <c r="IYA212" s="146"/>
      <c r="IYB212" s="142"/>
      <c r="IYC212" s="143"/>
      <c r="IYD212" s="144"/>
      <c r="IYE212" s="124"/>
      <c r="IYF212" s="145"/>
      <c r="IYG212" s="145"/>
      <c r="IYH212" s="146"/>
      <c r="IYI212" s="142"/>
      <c r="IYJ212" s="143"/>
      <c r="IYK212" s="144"/>
      <c r="IYL212" s="124"/>
      <c r="IYM212" s="145"/>
      <c r="IYN212" s="145"/>
      <c r="IYO212" s="146"/>
      <c r="IYP212" s="142"/>
      <c r="IYQ212" s="143"/>
      <c r="IYR212" s="144"/>
      <c r="IYS212" s="124"/>
      <c r="IYT212" s="145"/>
      <c r="IYU212" s="145"/>
      <c r="IYV212" s="146"/>
      <c r="IYW212" s="142"/>
      <c r="IYX212" s="143"/>
      <c r="IYY212" s="144"/>
      <c r="IYZ212" s="124"/>
      <c r="IZA212" s="145"/>
      <c r="IZB212" s="145"/>
      <c r="IZC212" s="146"/>
      <c r="IZD212" s="142"/>
      <c r="IZE212" s="143"/>
      <c r="IZF212" s="144"/>
      <c r="IZG212" s="124"/>
      <c r="IZH212" s="145"/>
      <c r="IZI212" s="145"/>
      <c r="IZJ212" s="146"/>
      <c r="IZK212" s="142"/>
      <c r="IZL212" s="143"/>
      <c r="IZM212" s="144"/>
      <c r="IZN212" s="124"/>
      <c r="IZO212" s="145"/>
      <c r="IZP212" s="145"/>
      <c r="IZQ212" s="146"/>
      <c r="IZR212" s="142"/>
      <c r="IZS212" s="143"/>
      <c r="IZT212" s="144"/>
      <c r="IZU212" s="124"/>
      <c r="IZV212" s="145"/>
      <c r="IZW212" s="145"/>
      <c r="IZX212" s="146"/>
      <c r="IZY212" s="142"/>
      <c r="IZZ212" s="143"/>
      <c r="JAA212" s="144"/>
      <c r="JAB212" s="124"/>
      <c r="JAC212" s="145"/>
      <c r="JAD212" s="145"/>
      <c r="JAE212" s="146"/>
      <c r="JAF212" s="142"/>
      <c r="JAG212" s="143"/>
      <c r="JAH212" s="144"/>
      <c r="JAI212" s="124"/>
      <c r="JAJ212" s="145"/>
      <c r="JAK212" s="145"/>
      <c r="JAL212" s="146"/>
      <c r="JAM212" s="142"/>
      <c r="JAN212" s="143"/>
      <c r="JAO212" s="144"/>
      <c r="JAP212" s="124"/>
      <c r="JAQ212" s="145"/>
      <c r="JAR212" s="145"/>
      <c r="JAS212" s="146"/>
      <c r="JAT212" s="142"/>
      <c r="JAU212" s="143"/>
      <c r="JAV212" s="144"/>
      <c r="JAW212" s="124"/>
      <c r="JAX212" s="145"/>
      <c r="JAY212" s="145"/>
      <c r="JAZ212" s="146"/>
      <c r="JBA212" s="142"/>
      <c r="JBB212" s="143"/>
      <c r="JBC212" s="144"/>
      <c r="JBD212" s="124"/>
      <c r="JBE212" s="145"/>
      <c r="JBF212" s="145"/>
      <c r="JBG212" s="146"/>
      <c r="JBH212" s="142"/>
      <c r="JBI212" s="143"/>
      <c r="JBJ212" s="144"/>
      <c r="JBK212" s="124"/>
      <c r="JBL212" s="145"/>
      <c r="JBM212" s="145"/>
      <c r="JBN212" s="146"/>
      <c r="JBO212" s="142"/>
      <c r="JBP212" s="143"/>
      <c r="JBQ212" s="144"/>
      <c r="JBR212" s="124"/>
      <c r="JBS212" s="145"/>
      <c r="JBT212" s="145"/>
      <c r="JBU212" s="146"/>
      <c r="JBV212" s="142"/>
      <c r="JBW212" s="143"/>
      <c r="JBX212" s="144"/>
      <c r="JBY212" s="124"/>
      <c r="JBZ212" s="145"/>
      <c r="JCA212" s="145"/>
      <c r="JCB212" s="146"/>
      <c r="JCC212" s="142"/>
      <c r="JCD212" s="143"/>
      <c r="JCE212" s="144"/>
      <c r="JCF212" s="124"/>
      <c r="JCG212" s="145"/>
      <c r="JCH212" s="145"/>
      <c r="JCI212" s="146"/>
      <c r="JCJ212" s="142"/>
      <c r="JCK212" s="143"/>
      <c r="JCL212" s="144"/>
      <c r="JCM212" s="124"/>
      <c r="JCN212" s="145"/>
      <c r="JCO212" s="145"/>
      <c r="JCP212" s="146"/>
      <c r="JCQ212" s="142"/>
      <c r="JCR212" s="143"/>
      <c r="JCS212" s="144"/>
      <c r="JCT212" s="124"/>
      <c r="JCU212" s="145"/>
      <c r="JCV212" s="145"/>
      <c r="JCW212" s="146"/>
      <c r="JCX212" s="142"/>
      <c r="JCY212" s="143"/>
      <c r="JCZ212" s="144"/>
      <c r="JDA212" s="124"/>
      <c r="JDB212" s="145"/>
      <c r="JDC212" s="145"/>
      <c r="JDD212" s="146"/>
      <c r="JDE212" s="142"/>
      <c r="JDF212" s="143"/>
      <c r="JDG212" s="144"/>
      <c r="JDH212" s="124"/>
      <c r="JDI212" s="145"/>
      <c r="JDJ212" s="145"/>
      <c r="JDK212" s="146"/>
      <c r="JDL212" s="142"/>
      <c r="JDM212" s="143"/>
      <c r="JDN212" s="144"/>
      <c r="JDO212" s="124"/>
      <c r="JDP212" s="145"/>
      <c r="JDQ212" s="145"/>
      <c r="JDR212" s="146"/>
      <c r="JDS212" s="142"/>
      <c r="JDT212" s="143"/>
      <c r="JDU212" s="144"/>
      <c r="JDV212" s="124"/>
      <c r="JDW212" s="145"/>
      <c r="JDX212" s="145"/>
      <c r="JDY212" s="146"/>
      <c r="JDZ212" s="142"/>
      <c r="JEA212" s="143"/>
      <c r="JEB212" s="144"/>
      <c r="JEC212" s="124"/>
      <c r="JED212" s="145"/>
      <c r="JEE212" s="145"/>
      <c r="JEF212" s="146"/>
      <c r="JEG212" s="142"/>
      <c r="JEH212" s="143"/>
      <c r="JEI212" s="144"/>
      <c r="JEJ212" s="124"/>
      <c r="JEK212" s="145"/>
      <c r="JEL212" s="145"/>
      <c r="JEM212" s="146"/>
      <c r="JEN212" s="142"/>
      <c r="JEO212" s="143"/>
      <c r="JEP212" s="144"/>
      <c r="JEQ212" s="124"/>
      <c r="JER212" s="145"/>
      <c r="JES212" s="145"/>
      <c r="JET212" s="146"/>
      <c r="JEU212" s="142"/>
      <c r="JEV212" s="143"/>
      <c r="JEW212" s="144"/>
      <c r="JEX212" s="124"/>
      <c r="JEY212" s="145"/>
      <c r="JEZ212" s="145"/>
      <c r="JFA212" s="146"/>
      <c r="JFB212" s="142"/>
      <c r="JFC212" s="143"/>
      <c r="JFD212" s="144"/>
      <c r="JFE212" s="124"/>
      <c r="JFF212" s="145"/>
      <c r="JFG212" s="145"/>
      <c r="JFH212" s="146"/>
      <c r="JFI212" s="142"/>
      <c r="JFJ212" s="143"/>
      <c r="JFK212" s="144"/>
      <c r="JFL212" s="124"/>
      <c r="JFM212" s="145"/>
      <c r="JFN212" s="145"/>
      <c r="JFO212" s="146"/>
      <c r="JFP212" s="142"/>
      <c r="JFQ212" s="143"/>
      <c r="JFR212" s="144"/>
      <c r="JFS212" s="124"/>
      <c r="JFT212" s="145"/>
      <c r="JFU212" s="145"/>
      <c r="JFV212" s="146"/>
      <c r="JFW212" s="142"/>
      <c r="JFX212" s="143"/>
      <c r="JFY212" s="144"/>
      <c r="JFZ212" s="124"/>
      <c r="JGA212" s="145"/>
      <c r="JGB212" s="145"/>
      <c r="JGC212" s="146"/>
      <c r="JGD212" s="142"/>
      <c r="JGE212" s="143"/>
      <c r="JGF212" s="144"/>
      <c r="JGG212" s="124"/>
      <c r="JGH212" s="145"/>
      <c r="JGI212" s="145"/>
      <c r="JGJ212" s="146"/>
      <c r="JGK212" s="142"/>
      <c r="JGL212" s="143"/>
      <c r="JGM212" s="144"/>
      <c r="JGN212" s="124"/>
      <c r="JGO212" s="145"/>
      <c r="JGP212" s="145"/>
      <c r="JGQ212" s="146"/>
      <c r="JGR212" s="142"/>
      <c r="JGS212" s="143"/>
      <c r="JGT212" s="144"/>
      <c r="JGU212" s="124"/>
      <c r="JGV212" s="145"/>
      <c r="JGW212" s="145"/>
      <c r="JGX212" s="146"/>
      <c r="JGY212" s="142"/>
      <c r="JGZ212" s="143"/>
      <c r="JHA212" s="144"/>
      <c r="JHB212" s="124"/>
      <c r="JHC212" s="145"/>
      <c r="JHD212" s="145"/>
      <c r="JHE212" s="146"/>
      <c r="JHF212" s="142"/>
      <c r="JHG212" s="143"/>
      <c r="JHH212" s="144"/>
      <c r="JHI212" s="124"/>
      <c r="JHJ212" s="145"/>
      <c r="JHK212" s="145"/>
      <c r="JHL212" s="146"/>
      <c r="JHM212" s="142"/>
      <c r="JHN212" s="143"/>
      <c r="JHO212" s="144"/>
      <c r="JHP212" s="124"/>
      <c r="JHQ212" s="145"/>
      <c r="JHR212" s="145"/>
      <c r="JHS212" s="146"/>
      <c r="JHT212" s="142"/>
      <c r="JHU212" s="143"/>
      <c r="JHV212" s="144"/>
      <c r="JHW212" s="124"/>
      <c r="JHX212" s="145"/>
      <c r="JHY212" s="145"/>
      <c r="JHZ212" s="146"/>
      <c r="JIA212" s="142"/>
      <c r="JIB212" s="143"/>
      <c r="JIC212" s="144"/>
      <c r="JID212" s="124"/>
      <c r="JIE212" s="145"/>
      <c r="JIF212" s="145"/>
      <c r="JIG212" s="146"/>
      <c r="JIH212" s="142"/>
      <c r="JII212" s="143"/>
      <c r="JIJ212" s="144"/>
      <c r="JIK212" s="124"/>
      <c r="JIL212" s="145"/>
      <c r="JIM212" s="145"/>
      <c r="JIN212" s="146"/>
      <c r="JIO212" s="142"/>
      <c r="JIP212" s="143"/>
      <c r="JIQ212" s="144"/>
      <c r="JIR212" s="124"/>
      <c r="JIS212" s="145"/>
      <c r="JIT212" s="145"/>
      <c r="JIU212" s="146"/>
      <c r="JIV212" s="142"/>
      <c r="JIW212" s="143"/>
      <c r="JIX212" s="144"/>
      <c r="JIY212" s="124"/>
      <c r="JIZ212" s="145"/>
      <c r="JJA212" s="145"/>
      <c r="JJB212" s="146"/>
      <c r="JJC212" s="142"/>
      <c r="JJD212" s="143"/>
      <c r="JJE212" s="144"/>
      <c r="JJF212" s="124"/>
      <c r="JJG212" s="145"/>
      <c r="JJH212" s="145"/>
      <c r="JJI212" s="146"/>
      <c r="JJJ212" s="142"/>
      <c r="JJK212" s="143"/>
      <c r="JJL212" s="144"/>
      <c r="JJM212" s="124"/>
      <c r="JJN212" s="145"/>
      <c r="JJO212" s="145"/>
      <c r="JJP212" s="146"/>
      <c r="JJQ212" s="142"/>
      <c r="JJR212" s="143"/>
      <c r="JJS212" s="144"/>
      <c r="JJT212" s="124"/>
      <c r="JJU212" s="145"/>
      <c r="JJV212" s="145"/>
      <c r="JJW212" s="146"/>
      <c r="JJX212" s="142"/>
      <c r="JJY212" s="143"/>
      <c r="JJZ212" s="144"/>
      <c r="JKA212" s="124"/>
      <c r="JKB212" s="145"/>
      <c r="JKC212" s="145"/>
      <c r="JKD212" s="146"/>
      <c r="JKE212" s="142"/>
      <c r="JKF212" s="143"/>
      <c r="JKG212" s="144"/>
      <c r="JKH212" s="124"/>
      <c r="JKI212" s="145"/>
      <c r="JKJ212" s="145"/>
      <c r="JKK212" s="146"/>
      <c r="JKL212" s="142"/>
      <c r="JKM212" s="143"/>
      <c r="JKN212" s="144"/>
      <c r="JKO212" s="124"/>
      <c r="JKP212" s="145"/>
      <c r="JKQ212" s="145"/>
      <c r="JKR212" s="146"/>
      <c r="JKS212" s="142"/>
      <c r="JKT212" s="143"/>
      <c r="JKU212" s="144"/>
      <c r="JKV212" s="124"/>
      <c r="JKW212" s="145"/>
      <c r="JKX212" s="145"/>
      <c r="JKY212" s="146"/>
      <c r="JKZ212" s="142"/>
      <c r="JLA212" s="143"/>
      <c r="JLB212" s="144"/>
      <c r="JLC212" s="124"/>
      <c r="JLD212" s="145"/>
      <c r="JLE212" s="145"/>
      <c r="JLF212" s="146"/>
      <c r="JLG212" s="142"/>
      <c r="JLH212" s="143"/>
      <c r="JLI212" s="144"/>
      <c r="JLJ212" s="124"/>
      <c r="JLK212" s="145"/>
      <c r="JLL212" s="145"/>
      <c r="JLM212" s="146"/>
      <c r="JLN212" s="142"/>
      <c r="JLO212" s="143"/>
      <c r="JLP212" s="144"/>
      <c r="JLQ212" s="124"/>
      <c r="JLR212" s="145"/>
      <c r="JLS212" s="145"/>
      <c r="JLT212" s="146"/>
      <c r="JLU212" s="142"/>
      <c r="JLV212" s="143"/>
      <c r="JLW212" s="144"/>
      <c r="JLX212" s="124"/>
      <c r="JLY212" s="145"/>
      <c r="JLZ212" s="145"/>
      <c r="JMA212" s="146"/>
      <c r="JMB212" s="142"/>
      <c r="JMC212" s="143"/>
      <c r="JMD212" s="144"/>
      <c r="JME212" s="124"/>
      <c r="JMF212" s="145"/>
      <c r="JMG212" s="145"/>
      <c r="JMH212" s="146"/>
      <c r="JMI212" s="142"/>
      <c r="JMJ212" s="143"/>
      <c r="JMK212" s="144"/>
      <c r="JML212" s="124"/>
      <c r="JMM212" s="145"/>
      <c r="JMN212" s="145"/>
      <c r="JMO212" s="146"/>
      <c r="JMP212" s="142"/>
      <c r="JMQ212" s="143"/>
      <c r="JMR212" s="144"/>
      <c r="JMS212" s="124"/>
      <c r="JMT212" s="145"/>
      <c r="JMU212" s="145"/>
      <c r="JMV212" s="146"/>
      <c r="JMW212" s="142"/>
      <c r="JMX212" s="143"/>
      <c r="JMY212" s="144"/>
      <c r="JMZ212" s="124"/>
      <c r="JNA212" s="145"/>
      <c r="JNB212" s="145"/>
      <c r="JNC212" s="146"/>
      <c r="JND212" s="142"/>
      <c r="JNE212" s="143"/>
      <c r="JNF212" s="144"/>
      <c r="JNG212" s="124"/>
      <c r="JNH212" s="145"/>
      <c r="JNI212" s="145"/>
      <c r="JNJ212" s="146"/>
      <c r="JNK212" s="142"/>
      <c r="JNL212" s="143"/>
      <c r="JNM212" s="144"/>
      <c r="JNN212" s="124"/>
      <c r="JNO212" s="145"/>
      <c r="JNP212" s="145"/>
      <c r="JNQ212" s="146"/>
      <c r="JNR212" s="142"/>
      <c r="JNS212" s="143"/>
      <c r="JNT212" s="144"/>
      <c r="JNU212" s="124"/>
      <c r="JNV212" s="145"/>
      <c r="JNW212" s="145"/>
      <c r="JNX212" s="146"/>
      <c r="JNY212" s="142"/>
      <c r="JNZ212" s="143"/>
      <c r="JOA212" s="144"/>
      <c r="JOB212" s="124"/>
      <c r="JOC212" s="145"/>
      <c r="JOD212" s="145"/>
      <c r="JOE212" s="146"/>
      <c r="JOF212" s="142"/>
      <c r="JOG212" s="143"/>
      <c r="JOH212" s="144"/>
      <c r="JOI212" s="124"/>
      <c r="JOJ212" s="145"/>
      <c r="JOK212" s="145"/>
      <c r="JOL212" s="146"/>
      <c r="JOM212" s="142"/>
      <c r="JON212" s="143"/>
      <c r="JOO212" s="144"/>
      <c r="JOP212" s="124"/>
      <c r="JOQ212" s="145"/>
      <c r="JOR212" s="145"/>
      <c r="JOS212" s="146"/>
      <c r="JOT212" s="142"/>
      <c r="JOU212" s="143"/>
      <c r="JOV212" s="144"/>
      <c r="JOW212" s="124"/>
      <c r="JOX212" s="145"/>
      <c r="JOY212" s="145"/>
      <c r="JOZ212" s="146"/>
      <c r="JPA212" s="142"/>
      <c r="JPB212" s="143"/>
      <c r="JPC212" s="144"/>
      <c r="JPD212" s="124"/>
      <c r="JPE212" s="145"/>
      <c r="JPF212" s="145"/>
      <c r="JPG212" s="146"/>
      <c r="JPH212" s="142"/>
      <c r="JPI212" s="143"/>
      <c r="JPJ212" s="144"/>
      <c r="JPK212" s="124"/>
      <c r="JPL212" s="145"/>
      <c r="JPM212" s="145"/>
      <c r="JPN212" s="146"/>
      <c r="JPO212" s="142"/>
      <c r="JPP212" s="143"/>
      <c r="JPQ212" s="144"/>
      <c r="JPR212" s="124"/>
      <c r="JPS212" s="145"/>
      <c r="JPT212" s="145"/>
      <c r="JPU212" s="146"/>
      <c r="JPV212" s="142"/>
      <c r="JPW212" s="143"/>
      <c r="JPX212" s="144"/>
      <c r="JPY212" s="124"/>
      <c r="JPZ212" s="145"/>
      <c r="JQA212" s="145"/>
      <c r="JQB212" s="146"/>
      <c r="JQC212" s="142"/>
      <c r="JQD212" s="143"/>
      <c r="JQE212" s="144"/>
      <c r="JQF212" s="124"/>
      <c r="JQG212" s="145"/>
      <c r="JQH212" s="145"/>
      <c r="JQI212" s="146"/>
      <c r="JQJ212" s="142"/>
      <c r="JQK212" s="143"/>
      <c r="JQL212" s="144"/>
      <c r="JQM212" s="124"/>
      <c r="JQN212" s="145"/>
      <c r="JQO212" s="145"/>
      <c r="JQP212" s="146"/>
      <c r="JQQ212" s="142"/>
      <c r="JQR212" s="143"/>
      <c r="JQS212" s="144"/>
      <c r="JQT212" s="124"/>
      <c r="JQU212" s="145"/>
      <c r="JQV212" s="145"/>
      <c r="JQW212" s="146"/>
      <c r="JQX212" s="142"/>
      <c r="JQY212" s="143"/>
      <c r="JQZ212" s="144"/>
      <c r="JRA212" s="124"/>
      <c r="JRB212" s="145"/>
      <c r="JRC212" s="145"/>
      <c r="JRD212" s="146"/>
      <c r="JRE212" s="142"/>
      <c r="JRF212" s="143"/>
      <c r="JRG212" s="144"/>
      <c r="JRH212" s="124"/>
      <c r="JRI212" s="145"/>
      <c r="JRJ212" s="145"/>
      <c r="JRK212" s="146"/>
      <c r="JRL212" s="142"/>
      <c r="JRM212" s="143"/>
      <c r="JRN212" s="144"/>
      <c r="JRO212" s="124"/>
      <c r="JRP212" s="145"/>
      <c r="JRQ212" s="145"/>
      <c r="JRR212" s="146"/>
      <c r="JRS212" s="142"/>
      <c r="JRT212" s="143"/>
      <c r="JRU212" s="144"/>
      <c r="JRV212" s="124"/>
      <c r="JRW212" s="145"/>
      <c r="JRX212" s="145"/>
      <c r="JRY212" s="146"/>
      <c r="JRZ212" s="142"/>
      <c r="JSA212" s="143"/>
      <c r="JSB212" s="144"/>
      <c r="JSC212" s="124"/>
      <c r="JSD212" s="145"/>
      <c r="JSE212" s="145"/>
      <c r="JSF212" s="146"/>
      <c r="JSG212" s="142"/>
      <c r="JSH212" s="143"/>
      <c r="JSI212" s="144"/>
      <c r="JSJ212" s="124"/>
      <c r="JSK212" s="145"/>
      <c r="JSL212" s="145"/>
      <c r="JSM212" s="146"/>
      <c r="JSN212" s="142"/>
      <c r="JSO212" s="143"/>
      <c r="JSP212" s="144"/>
      <c r="JSQ212" s="124"/>
      <c r="JSR212" s="145"/>
      <c r="JSS212" s="145"/>
      <c r="JST212" s="146"/>
      <c r="JSU212" s="142"/>
      <c r="JSV212" s="143"/>
      <c r="JSW212" s="144"/>
      <c r="JSX212" s="124"/>
      <c r="JSY212" s="145"/>
      <c r="JSZ212" s="145"/>
      <c r="JTA212" s="146"/>
      <c r="JTB212" s="142"/>
      <c r="JTC212" s="143"/>
      <c r="JTD212" s="144"/>
      <c r="JTE212" s="124"/>
      <c r="JTF212" s="145"/>
      <c r="JTG212" s="145"/>
      <c r="JTH212" s="146"/>
      <c r="JTI212" s="142"/>
      <c r="JTJ212" s="143"/>
      <c r="JTK212" s="144"/>
      <c r="JTL212" s="124"/>
      <c r="JTM212" s="145"/>
      <c r="JTN212" s="145"/>
      <c r="JTO212" s="146"/>
      <c r="JTP212" s="142"/>
      <c r="JTQ212" s="143"/>
      <c r="JTR212" s="144"/>
      <c r="JTS212" s="124"/>
      <c r="JTT212" s="145"/>
      <c r="JTU212" s="145"/>
      <c r="JTV212" s="146"/>
      <c r="JTW212" s="142"/>
      <c r="JTX212" s="143"/>
      <c r="JTY212" s="144"/>
      <c r="JTZ212" s="124"/>
      <c r="JUA212" s="145"/>
      <c r="JUB212" s="145"/>
      <c r="JUC212" s="146"/>
      <c r="JUD212" s="142"/>
      <c r="JUE212" s="143"/>
      <c r="JUF212" s="144"/>
      <c r="JUG212" s="124"/>
      <c r="JUH212" s="145"/>
      <c r="JUI212" s="145"/>
      <c r="JUJ212" s="146"/>
      <c r="JUK212" s="142"/>
      <c r="JUL212" s="143"/>
      <c r="JUM212" s="144"/>
      <c r="JUN212" s="124"/>
      <c r="JUO212" s="145"/>
      <c r="JUP212" s="145"/>
      <c r="JUQ212" s="146"/>
      <c r="JUR212" s="142"/>
      <c r="JUS212" s="143"/>
      <c r="JUT212" s="144"/>
      <c r="JUU212" s="124"/>
      <c r="JUV212" s="145"/>
      <c r="JUW212" s="145"/>
      <c r="JUX212" s="146"/>
      <c r="JUY212" s="142"/>
      <c r="JUZ212" s="143"/>
      <c r="JVA212" s="144"/>
      <c r="JVB212" s="124"/>
      <c r="JVC212" s="145"/>
      <c r="JVD212" s="145"/>
      <c r="JVE212" s="146"/>
      <c r="JVF212" s="142"/>
      <c r="JVG212" s="143"/>
      <c r="JVH212" s="144"/>
      <c r="JVI212" s="124"/>
      <c r="JVJ212" s="145"/>
      <c r="JVK212" s="145"/>
      <c r="JVL212" s="146"/>
      <c r="JVM212" s="142"/>
      <c r="JVN212" s="143"/>
      <c r="JVO212" s="144"/>
      <c r="JVP212" s="124"/>
      <c r="JVQ212" s="145"/>
      <c r="JVR212" s="145"/>
      <c r="JVS212" s="146"/>
      <c r="JVT212" s="142"/>
      <c r="JVU212" s="143"/>
      <c r="JVV212" s="144"/>
      <c r="JVW212" s="124"/>
      <c r="JVX212" s="145"/>
      <c r="JVY212" s="145"/>
      <c r="JVZ212" s="146"/>
      <c r="JWA212" s="142"/>
      <c r="JWB212" s="143"/>
      <c r="JWC212" s="144"/>
      <c r="JWD212" s="124"/>
      <c r="JWE212" s="145"/>
      <c r="JWF212" s="145"/>
      <c r="JWG212" s="146"/>
      <c r="JWH212" s="142"/>
      <c r="JWI212" s="143"/>
      <c r="JWJ212" s="144"/>
      <c r="JWK212" s="124"/>
      <c r="JWL212" s="145"/>
      <c r="JWM212" s="145"/>
      <c r="JWN212" s="146"/>
      <c r="JWO212" s="142"/>
      <c r="JWP212" s="143"/>
      <c r="JWQ212" s="144"/>
      <c r="JWR212" s="124"/>
      <c r="JWS212" s="145"/>
      <c r="JWT212" s="145"/>
      <c r="JWU212" s="146"/>
      <c r="JWV212" s="142"/>
      <c r="JWW212" s="143"/>
      <c r="JWX212" s="144"/>
      <c r="JWY212" s="124"/>
      <c r="JWZ212" s="145"/>
      <c r="JXA212" s="145"/>
      <c r="JXB212" s="146"/>
      <c r="JXC212" s="142"/>
      <c r="JXD212" s="143"/>
      <c r="JXE212" s="144"/>
      <c r="JXF212" s="124"/>
      <c r="JXG212" s="145"/>
      <c r="JXH212" s="145"/>
      <c r="JXI212" s="146"/>
      <c r="JXJ212" s="142"/>
      <c r="JXK212" s="143"/>
      <c r="JXL212" s="144"/>
      <c r="JXM212" s="124"/>
      <c r="JXN212" s="145"/>
      <c r="JXO212" s="145"/>
      <c r="JXP212" s="146"/>
      <c r="JXQ212" s="142"/>
      <c r="JXR212" s="143"/>
      <c r="JXS212" s="144"/>
      <c r="JXT212" s="124"/>
      <c r="JXU212" s="145"/>
      <c r="JXV212" s="145"/>
      <c r="JXW212" s="146"/>
      <c r="JXX212" s="142"/>
      <c r="JXY212" s="143"/>
      <c r="JXZ212" s="144"/>
      <c r="JYA212" s="124"/>
      <c r="JYB212" s="145"/>
      <c r="JYC212" s="145"/>
      <c r="JYD212" s="146"/>
      <c r="JYE212" s="142"/>
      <c r="JYF212" s="143"/>
      <c r="JYG212" s="144"/>
      <c r="JYH212" s="124"/>
      <c r="JYI212" s="145"/>
      <c r="JYJ212" s="145"/>
      <c r="JYK212" s="146"/>
      <c r="JYL212" s="142"/>
      <c r="JYM212" s="143"/>
      <c r="JYN212" s="144"/>
      <c r="JYO212" s="124"/>
      <c r="JYP212" s="145"/>
      <c r="JYQ212" s="145"/>
      <c r="JYR212" s="146"/>
      <c r="JYS212" s="142"/>
      <c r="JYT212" s="143"/>
      <c r="JYU212" s="144"/>
      <c r="JYV212" s="124"/>
      <c r="JYW212" s="145"/>
      <c r="JYX212" s="145"/>
      <c r="JYY212" s="146"/>
      <c r="JYZ212" s="142"/>
      <c r="JZA212" s="143"/>
      <c r="JZB212" s="144"/>
      <c r="JZC212" s="124"/>
      <c r="JZD212" s="145"/>
      <c r="JZE212" s="145"/>
      <c r="JZF212" s="146"/>
      <c r="JZG212" s="142"/>
      <c r="JZH212" s="143"/>
      <c r="JZI212" s="144"/>
      <c r="JZJ212" s="124"/>
      <c r="JZK212" s="145"/>
      <c r="JZL212" s="145"/>
      <c r="JZM212" s="146"/>
      <c r="JZN212" s="142"/>
      <c r="JZO212" s="143"/>
      <c r="JZP212" s="144"/>
      <c r="JZQ212" s="124"/>
      <c r="JZR212" s="145"/>
      <c r="JZS212" s="145"/>
      <c r="JZT212" s="146"/>
      <c r="JZU212" s="142"/>
      <c r="JZV212" s="143"/>
      <c r="JZW212" s="144"/>
      <c r="JZX212" s="124"/>
      <c r="JZY212" s="145"/>
      <c r="JZZ212" s="145"/>
      <c r="KAA212" s="146"/>
      <c r="KAB212" s="142"/>
      <c r="KAC212" s="143"/>
      <c r="KAD212" s="144"/>
      <c r="KAE212" s="124"/>
      <c r="KAF212" s="145"/>
      <c r="KAG212" s="145"/>
      <c r="KAH212" s="146"/>
      <c r="KAI212" s="142"/>
      <c r="KAJ212" s="143"/>
      <c r="KAK212" s="144"/>
      <c r="KAL212" s="124"/>
      <c r="KAM212" s="145"/>
      <c r="KAN212" s="145"/>
      <c r="KAO212" s="146"/>
      <c r="KAP212" s="142"/>
      <c r="KAQ212" s="143"/>
      <c r="KAR212" s="144"/>
      <c r="KAS212" s="124"/>
      <c r="KAT212" s="145"/>
      <c r="KAU212" s="145"/>
      <c r="KAV212" s="146"/>
      <c r="KAW212" s="142"/>
      <c r="KAX212" s="143"/>
      <c r="KAY212" s="144"/>
      <c r="KAZ212" s="124"/>
      <c r="KBA212" s="145"/>
      <c r="KBB212" s="145"/>
      <c r="KBC212" s="146"/>
      <c r="KBD212" s="142"/>
      <c r="KBE212" s="143"/>
      <c r="KBF212" s="144"/>
      <c r="KBG212" s="124"/>
      <c r="KBH212" s="145"/>
      <c r="KBI212" s="145"/>
      <c r="KBJ212" s="146"/>
      <c r="KBK212" s="142"/>
      <c r="KBL212" s="143"/>
      <c r="KBM212" s="144"/>
      <c r="KBN212" s="124"/>
      <c r="KBO212" s="145"/>
      <c r="KBP212" s="145"/>
      <c r="KBQ212" s="146"/>
      <c r="KBR212" s="142"/>
      <c r="KBS212" s="143"/>
      <c r="KBT212" s="144"/>
      <c r="KBU212" s="124"/>
      <c r="KBV212" s="145"/>
      <c r="KBW212" s="145"/>
      <c r="KBX212" s="146"/>
      <c r="KBY212" s="142"/>
      <c r="KBZ212" s="143"/>
      <c r="KCA212" s="144"/>
      <c r="KCB212" s="124"/>
      <c r="KCC212" s="145"/>
      <c r="KCD212" s="145"/>
      <c r="KCE212" s="146"/>
      <c r="KCF212" s="142"/>
      <c r="KCG212" s="143"/>
      <c r="KCH212" s="144"/>
      <c r="KCI212" s="124"/>
      <c r="KCJ212" s="145"/>
      <c r="KCK212" s="145"/>
      <c r="KCL212" s="146"/>
      <c r="KCM212" s="142"/>
      <c r="KCN212" s="143"/>
      <c r="KCO212" s="144"/>
      <c r="KCP212" s="124"/>
      <c r="KCQ212" s="145"/>
      <c r="KCR212" s="145"/>
      <c r="KCS212" s="146"/>
      <c r="KCT212" s="142"/>
      <c r="KCU212" s="143"/>
      <c r="KCV212" s="144"/>
      <c r="KCW212" s="124"/>
      <c r="KCX212" s="145"/>
      <c r="KCY212" s="145"/>
      <c r="KCZ212" s="146"/>
      <c r="KDA212" s="142"/>
      <c r="KDB212" s="143"/>
      <c r="KDC212" s="144"/>
      <c r="KDD212" s="124"/>
      <c r="KDE212" s="145"/>
      <c r="KDF212" s="145"/>
      <c r="KDG212" s="146"/>
      <c r="KDH212" s="142"/>
      <c r="KDI212" s="143"/>
      <c r="KDJ212" s="144"/>
      <c r="KDK212" s="124"/>
      <c r="KDL212" s="145"/>
      <c r="KDM212" s="145"/>
      <c r="KDN212" s="146"/>
      <c r="KDO212" s="142"/>
      <c r="KDP212" s="143"/>
      <c r="KDQ212" s="144"/>
      <c r="KDR212" s="124"/>
      <c r="KDS212" s="145"/>
      <c r="KDT212" s="145"/>
      <c r="KDU212" s="146"/>
      <c r="KDV212" s="142"/>
      <c r="KDW212" s="143"/>
      <c r="KDX212" s="144"/>
      <c r="KDY212" s="124"/>
      <c r="KDZ212" s="145"/>
      <c r="KEA212" s="145"/>
      <c r="KEB212" s="146"/>
      <c r="KEC212" s="142"/>
      <c r="KED212" s="143"/>
      <c r="KEE212" s="144"/>
      <c r="KEF212" s="124"/>
      <c r="KEG212" s="145"/>
      <c r="KEH212" s="145"/>
      <c r="KEI212" s="146"/>
      <c r="KEJ212" s="142"/>
      <c r="KEK212" s="143"/>
      <c r="KEL212" s="144"/>
      <c r="KEM212" s="124"/>
      <c r="KEN212" s="145"/>
      <c r="KEO212" s="145"/>
      <c r="KEP212" s="146"/>
      <c r="KEQ212" s="142"/>
      <c r="KER212" s="143"/>
      <c r="KES212" s="144"/>
      <c r="KET212" s="124"/>
      <c r="KEU212" s="145"/>
      <c r="KEV212" s="145"/>
      <c r="KEW212" s="146"/>
      <c r="KEX212" s="142"/>
      <c r="KEY212" s="143"/>
      <c r="KEZ212" s="144"/>
      <c r="KFA212" s="124"/>
      <c r="KFB212" s="145"/>
      <c r="KFC212" s="145"/>
      <c r="KFD212" s="146"/>
      <c r="KFE212" s="142"/>
      <c r="KFF212" s="143"/>
      <c r="KFG212" s="144"/>
      <c r="KFH212" s="124"/>
      <c r="KFI212" s="145"/>
      <c r="KFJ212" s="145"/>
      <c r="KFK212" s="146"/>
      <c r="KFL212" s="142"/>
      <c r="KFM212" s="143"/>
      <c r="KFN212" s="144"/>
      <c r="KFO212" s="124"/>
      <c r="KFP212" s="145"/>
      <c r="KFQ212" s="145"/>
      <c r="KFR212" s="146"/>
      <c r="KFS212" s="142"/>
      <c r="KFT212" s="143"/>
      <c r="KFU212" s="144"/>
      <c r="KFV212" s="124"/>
      <c r="KFW212" s="145"/>
      <c r="KFX212" s="145"/>
      <c r="KFY212" s="146"/>
      <c r="KFZ212" s="142"/>
      <c r="KGA212" s="143"/>
      <c r="KGB212" s="144"/>
      <c r="KGC212" s="124"/>
      <c r="KGD212" s="145"/>
      <c r="KGE212" s="145"/>
      <c r="KGF212" s="146"/>
      <c r="KGG212" s="142"/>
      <c r="KGH212" s="143"/>
      <c r="KGI212" s="144"/>
      <c r="KGJ212" s="124"/>
      <c r="KGK212" s="145"/>
      <c r="KGL212" s="145"/>
      <c r="KGM212" s="146"/>
      <c r="KGN212" s="142"/>
      <c r="KGO212" s="143"/>
      <c r="KGP212" s="144"/>
      <c r="KGQ212" s="124"/>
      <c r="KGR212" s="145"/>
      <c r="KGS212" s="145"/>
      <c r="KGT212" s="146"/>
      <c r="KGU212" s="142"/>
      <c r="KGV212" s="143"/>
      <c r="KGW212" s="144"/>
      <c r="KGX212" s="124"/>
      <c r="KGY212" s="145"/>
      <c r="KGZ212" s="145"/>
      <c r="KHA212" s="146"/>
      <c r="KHB212" s="142"/>
      <c r="KHC212" s="143"/>
      <c r="KHD212" s="144"/>
      <c r="KHE212" s="124"/>
      <c r="KHF212" s="145"/>
      <c r="KHG212" s="145"/>
      <c r="KHH212" s="146"/>
      <c r="KHI212" s="142"/>
      <c r="KHJ212" s="143"/>
      <c r="KHK212" s="144"/>
      <c r="KHL212" s="124"/>
      <c r="KHM212" s="145"/>
      <c r="KHN212" s="145"/>
      <c r="KHO212" s="146"/>
      <c r="KHP212" s="142"/>
      <c r="KHQ212" s="143"/>
      <c r="KHR212" s="144"/>
      <c r="KHS212" s="124"/>
      <c r="KHT212" s="145"/>
      <c r="KHU212" s="145"/>
      <c r="KHV212" s="146"/>
      <c r="KHW212" s="142"/>
      <c r="KHX212" s="143"/>
      <c r="KHY212" s="144"/>
      <c r="KHZ212" s="124"/>
      <c r="KIA212" s="145"/>
      <c r="KIB212" s="145"/>
      <c r="KIC212" s="146"/>
      <c r="KID212" s="142"/>
      <c r="KIE212" s="143"/>
      <c r="KIF212" s="144"/>
      <c r="KIG212" s="124"/>
      <c r="KIH212" s="145"/>
      <c r="KII212" s="145"/>
      <c r="KIJ212" s="146"/>
      <c r="KIK212" s="142"/>
      <c r="KIL212" s="143"/>
      <c r="KIM212" s="144"/>
      <c r="KIN212" s="124"/>
      <c r="KIO212" s="145"/>
      <c r="KIP212" s="145"/>
      <c r="KIQ212" s="146"/>
      <c r="KIR212" s="142"/>
      <c r="KIS212" s="143"/>
      <c r="KIT212" s="144"/>
      <c r="KIU212" s="124"/>
      <c r="KIV212" s="145"/>
      <c r="KIW212" s="145"/>
      <c r="KIX212" s="146"/>
      <c r="KIY212" s="142"/>
      <c r="KIZ212" s="143"/>
      <c r="KJA212" s="144"/>
      <c r="KJB212" s="124"/>
      <c r="KJC212" s="145"/>
      <c r="KJD212" s="145"/>
      <c r="KJE212" s="146"/>
      <c r="KJF212" s="142"/>
      <c r="KJG212" s="143"/>
      <c r="KJH212" s="144"/>
      <c r="KJI212" s="124"/>
      <c r="KJJ212" s="145"/>
      <c r="KJK212" s="145"/>
      <c r="KJL212" s="146"/>
      <c r="KJM212" s="142"/>
      <c r="KJN212" s="143"/>
      <c r="KJO212" s="144"/>
      <c r="KJP212" s="124"/>
      <c r="KJQ212" s="145"/>
      <c r="KJR212" s="145"/>
      <c r="KJS212" s="146"/>
      <c r="KJT212" s="142"/>
      <c r="KJU212" s="143"/>
      <c r="KJV212" s="144"/>
      <c r="KJW212" s="124"/>
      <c r="KJX212" s="145"/>
      <c r="KJY212" s="145"/>
      <c r="KJZ212" s="146"/>
      <c r="KKA212" s="142"/>
      <c r="KKB212" s="143"/>
      <c r="KKC212" s="144"/>
      <c r="KKD212" s="124"/>
      <c r="KKE212" s="145"/>
      <c r="KKF212" s="145"/>
      <c r="KKG212" s="146"/>
      <c r="KKH212" s="142"/>
      <c r="KKI212" s="143"/>
      <c r="KKJ212" s="144"/>
      <c r="KKK212" s="124"/>
      <c r="KKL212" s="145"/>
      <c r="KKM212" s="145"/>
      <c r="KKN212" s="146"/>
      <c r="KKO212" s="142"/>
      <c r="KKP212" s="143"/>
      <c r="KKQ212" s="144"/>
      <c r="KKR212" s="124"/>
      <c r="KKS212" s="145"/>
      <c r="KKT212" s="145"/>
      <c r="KKU212" s="146"/>
      <c r="KKV212" s="142"/>
      <c r="KKW212" s="143"/>
      <c r="KKX212" s="144"/>
      <c r="KKY212" s="124"/>
      <c r="KKZ212" s="145"/>
      <c r="KLA212" s="145"/>
      <c r="KLB212" s="146"/>
      <c r="KLC212" s="142"/>
      <c r="KLD212" s="143"/>
      <c r="KLE212" s="144"/>
      <c r="KLF212" s="124"/>
      <c r="KLG212" s="145"/>
      <c r="KLH212" s="145"/>
      <c r="KLI212" s="146"/>
      <c r="KLJ212" s="142"/>
      <c r="KLK212" s="143"/>
      <c r="KLL212" s="144"/>
      <c r="KLM212" s="124"/>
      <c r="KLN212" s="145"/>
      <c r="KLO212" s="145"/>
      <c r="KLP212" s="146"/>
      <c r="KLQ212" s="142"/>
      <c r="KLR212" s="143"/>
      <c r="KLS212" s="144"/>
      <c r="KLT212" s="124"/>
      <c r="KLU212" s="145"/>
      <c r="KLV212" s="145"/>
      <c r="KLW212" s="146"/>
      <c r="KLX212" s="142"/>
      <c r="KLY212" s="143"/>
      <c r="KLZ212" s="144"/>
      <c r="KMA212" s="124"/>
      <c r="KMB212" s="145"/>
      <c r="KMC212" s="145"/>
      <c r="KMD212" s="146"/>
      <c r="KME212" s="142"/>
      <c r="KMF212" s="143"/>
      <c r="KMG212" s="144"/>
      <c r="KMH212" s="124"/>
      <c r="KMI212" s="145"/>
      <c r="KMJ212" s="145"/>
      <c r="KMK212" s="146"/>
      <c r="KML212" s="142"/>
      <c r="KMM212" s="143"/>
      <c r="KMN212" s="144"/>
      <c r="KMO212" s="124"/>
      <c r="KMP212" s="145"/>
      <c r="KMQ212" s="145"/>
      <c r="KMR212" s="146"/>
      <c r="KMS212" s="142"/>
      <c r="KMT212" s="143"/>
      <c r="KMU212" s="144"/>
      <c r="KMV212" s="124"/>
      <c r="KMW212" s="145"/>
      <c r="KMX212" s="145"/>
      <c r="KMY212" s="146"/>
      <c r="KMZ212" s="142"/>
      <c r="KNA212" s="143"/>
      <c r="KNB212" s="144"/>
      <c r="KNC212" s="124"/>
      <c r="KND212" s="145"/>
      <c r="KNE212" s="145"/>
      <c r="KNF212" s="146"/>
      <c r="KNG212" s="142"/>
      <c r="KNH212" s="143"/>
      <c r="KNI212" s="144"/>
      <c r="KNJ212" s="124"/>
      <c r="KNK212" s="145"/>
      <c r="KNL212" s="145"/>
      <c r="KNM212" s="146"/>
      <c r="KNN212" s="142"/>
      <c r="KNO212" s="143"/>
      <c r="KNP212" s="144"/>
      <c r="KNQ212" s="124"/>
      <c r="KNR212" s="145"/>
      <c r="KNS212" s="145"/>
      <c r="KNT212" s="146"/>
      <c r="KNU212" s="142"/>
      <c r="KNV212" s="143"/>
      <c r="KNW212" s="144"/>
      <c r="KNX212" s="124"/>
      <c r="KNY212" s="145"/>
      <c r="KNZ212" s="145"/>
      <c r="KOA212" s="146"/>
      <c r="KOB212" s="142"/>
      <c r="KOC212" s="143"/>
      <c r="KOD212" s="144"/>
      <c r="KOE212" s="124"/>
      <c r="KOF212" s="145"/>
      <c r="KOG212" s="145"/>
      <c r="KOH212" s="146"/>
      <c r="KOI212" s="142"/>
      <c r="KOJ212" s="143"/>
      <c r="KOK212" s="144"/>
      <c r="KOL212" s="124"/>
      <c r="KOM212" s="145"/>
      <c r="KON212" s="145"/>
      <c r="KOO212" s="146"/>
      <c r="KOP212" s="142"/>
      <c r="KOQ212" s="143"/>
      <c r="KOR212" s="144"/>
      <c r="KOS212" s="124"/>
      <c r="KOT212" s="145"/>
      <c r="KOU212" s="145"/>
      <c r="KOV212" s="146"/>
      <c r="KOW212" s="142"/>
      <c r="KOX212" s="143"/>
      <c r="KOY212" s="144"/>
      <c r="KOZ212" s="124"/>
      <c r="KPA212" s="145"/>
      <c r="KPB212" s="145"/>
      <c r="KPC212" s="146"/>
      <c r="KPD212" s="142"/>
      <c r="KPE212" s="143"/>
      <c r="KPF212" s="144"/>
      <c r="KPG212" s="124"/>
      <c r="KPH212" s="145"/>
      <c r="KPI212" s="145"/>
      <c r="KPJ212" s="146"/>
      <c r="KPK212" s="142"/>
      <c r="KPL212" s="143"/>
      <c r="KPM212" s="144"/>
      <c r="KPN212" s="124"/>
      <c r="KPO212" s="145"/>
      <c r="KPP212" s="145"/>
      <c r="KPQ212" s="146"/>
      <c r="KPR212" s="142"/>
      <c r="KPS212" s="143"/>
      <c r="KPT212" s="144"/>
      <c r="KPU212" s="124"/>
      <c r="KPV212" s="145"/>
      <c r="KPW212" s="145"/>
      <c r="KPX212" s="146"/>
      <c r="KPY212" s="142"/>
      <c r="KPZ212" s="143"/>
      <c r="KQA212" s="144"/>
      <c r="KQB212" s="124"/>
      <c r="KQC212" s="145"/>
      <c r="KQD212" s="145"/>
      <c r="KQE212" s="146"/>
      <c r="KQF212" s="142"/>
      <c r="KQG212" s="143"/>
      <c r="KQH212" s="144"/>
      <c r="KQI212" s="124"/>
      <c r="KQJ212" s="145"/>
      <c r="KQK212" s="145"/>
      <c r="KQL212" s="146"/>
      <c r="KQM212" s="142"/>
      <c r="KQN212" s="143"/>
      <c r="KQO212" s="144"/>
      <c r="KQP212" s="124"/>
      <c r="KQQ212" s="145"/>
      <c r="KQR212" s="145"/>
      <c r="KQS212" s="146"/>
      <c r="KQT212" s="142"/>
      <c r="KQU212" s="143"/>
      <c r="KQV212" s="144"/>
      <c r="KQW212" s="124"/>
      <c r="KQX212" s="145"/>
      <c r="KQY212" s="145"/>
      <c r="KQZ212" s="146"/>
      <c r="KRA212" s="142"/>
      <c r="KRB212" s="143"/>
      <c r="KRC212" s="144"/>
      <c r="KRD212" s="124"/>
      <c r="KRE212" s="145"/>
      <c r="KRF212" s="145"/>
      <c r="KRG212" s="146"/>
      <c r="KRH212" s="142"/>
      <c r="KRI212" s="143"/>
      <c r="KRJ212" s="144"/>
      <c r="KRK212" s="124"/>
      <c r="KRL212" s="145"/>
      <c r="KRM212" s="145"/>
      <c r="KRN212" s="146"/>
      <c r="KRO212" s="142"/>
      <c r="KRP212" s="143"/>
      <c r="KRQ212" s="144"/>
      <c r="KRR212" s="124"/>
      <c r="KRS212" s="145"/>
      <c r="KRT212" s="145"/>
      <c r="KRU212" s="146"/>
      <c r="KRV212" s="142"/>
      <c r="KRW212" s="143"/>
      <c r="KRX212" s="144"/>
      <c r="KRY212" s="124"/>
      <c r="KRZ212" s="145"/>
      <c r="KSA212" s="145"/>
      <c r="KSB212" s="146"/>
      <c r="KSC212" s="142"/>
      <c r="KSD212" s="143"/>
      <c r="KSE212" s="144"/>
      <c r="KSF212" s="124"/>
      <c r="KSG212" s="145"/>
      <c r="KSH212" s="145"/>
      <c r="KSI212" s="146"/>
      <c r="KSJ212" s="142"/>
      <c r="KSK212" s="143"/>
      <c r="KSL212" s="144"/>
      <c r="KSM212" s="124"/>
      <c r="KSN212" s="145"/>
      <c r="KSO212" s="145"/>
      <c r="KSP212" s="146"/>
      <c r="KSQ212" s="142"/>
      <c r="KSR212" s="143"/>
      <c r="KSS212" s="144"/>
      <c r="KST212" s="124"/>
      <c r="KSU212" s="145"/>
      <c r="KSV212" s="145"/>
      <c r="KSW212" s="146"/>
      <c r="KSX212" s="142"/>
      <c r="KSY212" s="143"/>
      <c r="KSZ212" s="144"/>
      <c r="KTA212" s="124"/>
      <c r="KTB212" s="145"/>
      <c r="KTC212" s="145"/>
      <c r="KTD212" s="146"/>
      <c r="KTE212" s="142"/>
      <c r="KTF212" s="143"/>
      <c r="KTG212" s="144"/>
      <c r="KTH212" s="124"/>
      <c r="KTI212" s="145"/>
      <c r="KTJ212" s="145"/>
      <c r="KTK212" s="146"/>
      <c r="KTL212" s="142"/>
      <c r="KTM212" s="143"/>
      <c r="KTN212" s="144"/>
      <c r="KTO212" s="124"/>
      <c r="KTP212" s="145"/>
      <c r="KTQ212" s="145"/>
      <c r="KTR212" s="146"/>
      <c r="KTS212" s="142"/>
      <c r="KTT212" s="143"/>
      <c r="KTU212" s="144"/>
      <c r="KTV212" s="124"/>
      <c r="KTW212" s="145"/>
      <c r="KTX212" s="145"/>
      <c r="KTY212" s="146"/>
      <c r="KTZ212" s="142"/>
      <c r="KUA212" s="143"/>
      <c r="KUB212" s="144"/>
      <c r="KUC212" s="124"/>
      <c r="KUD212" s="145"/>
      <c r="KUE212" s="145"/>
      <c r="KUF212" s="146"/>
      <c r="KUG212" s="142"/>
      <c r="KUH212" s="143"/>
      <c r="KUI212" s="144"/>
      <c r="KUJ212" s="124"/>
      <c r="KUK212" s="145"/>
      <c r="KUL212" s="145"/>
      <c r="KUM212" s="146"/>
      <c r="KUN212" s="142"/>
      <c r="KUO212" s="143"/>
      <c r="KUP212" s="144"/>
      <c r="KUQ212" s="124"/>
      <c r="KUR212" s="145"/>
      <c r="KUS212" s="145"/>
      <c r="KUT212" s="146"/>
      <c r="KUU212" s="142"/>
      <c r="KUV212" s="143"/>
      <c r="KUW212" s="144"/>
      <c r="KUX212" s="124"/>
      <c r="KUY212" s="145"/>
      <c r="KUZ212" s="145"/>
      <c r="KVA212" s="146"/>
      <c r="KVB212" s="142"/>
      <c r="KVC212" s="143"/>
      <c r="KVD212" s="144"/>
      <c r="KVE212" s="124"/>
      <c r="KVF212" s="145"/>
      <c r="KVG212" s="145"/>
      <c r="KVH212" s="146"/>
      <c r="KVI212" s="142"/>
      <c r="KVJ212" s="143"/>
      <c r="KVK212" s="144"/>
      <c r="KVL212" s="124"/>
      <c r="KVM212" s="145"/>
      <c r="KVN212" s="145"/>
      <c r="KVO212" s="146"/>
      <c r="KVP212" s="142"/>
      <c r="KVQ212" s="143"/>
      <c r="KVR212" s="144"/>
      <c r="KVS212" s="124"/>
      <c r="KVT212" s="145"/>
      <c r="KVU212" s="145"/>
      <c r="KVV212" s="146"/>
      <c r="KVW212" s="142"/>
      <c r="KVX212" s="143"/>
      <c r="KVY212" s="144"/>
      <c r="KVZ212" s="124"/>
      <c r="KWA212" s="145"/>
      <c r="KWB212" s="145"/>
      <c r="KWC212" s="146"/>
      <c r="KWD212" s="142"/>
      <c r="KWE212" s="143"/>
      <c r="KWF212" s="144"/>
      <c r="KWG212" s="124"/>
      <c r="KWH212" s="145"/>
      <c r="KWI212" s="145"/>
      <c r="KWJ212" s="146"/>
      <c r="KWK212" s="142"/>
      <c r="KWL212" s="143"/>
      <c r="KWM212" s="144"/>
      <c r="KWN212" s="124"/>
      <c r="KWO212" s="145"/>
      <c r="KWP212" s="145"/>
      <c r="KWQ212" s="146"/>
      <c r="KWR212" s="142"/>
      <c r="KWS212" s="143"/>
      <c r="KWT212" s="144"/>
      <c r="KWU212" s="124"/>
      <c r="KWV212" s="145"/>
      <c r="KWW212" s="145"/>
      <c r="KWX212" s="146"/>
      <c r="KWY212" s="142"/>
      <c r="KWZ212" s="143"/>
      <c r="KXA212" s="144"/>
      <c r="KXB212" s="124"/>
      <c r="KXC212" s="145"/>
      <c r="KXD212" s="145"/>
      <c r="KXE212" s="146"/>
      <c r="KXF212" s="142"/>
      <c r="KXG212" s="143"/>
      <c r="KXH212" s="144"/>
      <c r="KXI212" s="124"/>
      <c r="KXJ212" s="145"/>
      <c r="KXK212" s="145"/>
      <c r="KXL212" s="146"/>
      <c r="KXM212" s="142"/>
      <c r="KXN212" s="143"/>
      <c r="KXO212" s="144"/>
      <c r="KXP212" s="124"/>
      <c r="KXQ212" s="145"/>
      <c r="KXR212" s="145"/>
      <c r="KXS212" s="146"/>
      <c r="KXT212" s="142"/>
      <c r="KXU212" s="143"/>
      <c r="KXV212" s="144"/>
      <c r="KXW212" s="124"/>
      <c r="KXX212" s="145"/>
      <c r="KXY212" s="145"/>
      <c r="KXZ212" s="146"/>
      <c r="KYA212" s="142"/>
      <c r="KYB212" s="143"/>
      <c r="KYC212" s="144"/>
      <c r="KYD212" s="124"/>
      <c r="KYE212" s="145"/>
      <c r="KYF212" s="145"/>
      <c r="KYG212" s="146"/>
      <c r="KYH212" s="142"/>
      <c r="KYI212" s="143"/>
      <c r="KYJ212" s="144"/>
      <c r="KYK212" s="124"/>
      <c r="KYL212" s="145"/>
      <c r="KYM212" s="145"/>
      <c r="KYN212" s="146"/>
      <c r="KYO212" s="142"/>
      <c r="KYP212" s="143"/>
      <c r="KYQ212" s="144"/>
      <c r="KYR212" s="124"/>
      <c r="KYS212" s="145"/>
      <c r="KYT212" s="145"/>
      <c r="KYU212" s="146"/>
      <c r="KYV212" s="142"/>
      <c r="KYW212" s="143"/>
      <c r="KYX212" s="144"/>
      <c r="KYY212" s="124"/>
      <c r="KYZ212" s="145"/>
      <c r="KZA212" s="145"/>
      <c r="KZB212" s="146"/>
      <c r="KZC212" s="142"/>
      <c r="KZD212" s="143"/>
      <c r="KZE212" s="144"/>
      <c r="KZF212" s="124"/>
      <c r="KZG212" s="145"/>
      <c r="KZH212" s="145"/>
      <c r="KZI212" s="146"/>
      <c r="KZJ212" s="142"/>
      <c r="KZK212" s="143"/>
      <c r="KZL212" s="144"/>
      <c r="KZM212" s="124"/>
      <c r="KZN212" s="145"/>
      <c r="KZO212" s="145"/>
      <c r="KZP212" s="146"/>
      <c r="KZQ212" s="142"/>
      <c r="KZR212" s="143"/>
      <c r="KZS212" s="144"/>
      <c r="KZT212" s="124"/>
      <c r="KZU212" s="145"/>
      <c r="KZV212" s="145"/>
      <c r="KZW212" s="146"/>
      <c r="KZX212" s="142"/>
      <c r="KZY212" s="143"/>
      <c r="KZZ212" s="144"/>
      <c r="LAA212" s="124"/>
      <c r="LAB212" s="145"/>
      <c r="LAC212" s="145"/>
      <c r="LAD212" s="146"/>
      <c r="LAE212" s="142"/>
      <c r="LAF212" s="143"/>
      <c r="LAG212" s="144"/>
      <c r="LAH212" s="124"/>
      <c r="LAI212" s="145"/>
      <c r="LAJ212" s="145"/>
      <c r="LAK212" s="146"/>
      <c r="LAL212" s="142"/>
      <c r="LAM212" s="143"/>
      <c r="LAN212" s="144"/>
      <c r="LAO212" s="124"/>
      <c r="LAP212" s="145"/>
      <c r="LAQ212" s="145"/>
      <c r="LAR212" s="146"/>
      <c r="LAS212" s="142"/>
      <c r="LAT212" s="143"/>
      <c r="LAU212" s="144"/>
      <c r="LAV212" s="124"/>
      <c r="LAW212" s="145"/>
      <c r="LAX212" s="145"/>
      <c r="LAY212" s="146"/>
      <c r="LAZ212" s="142"/>
      <c r="LBA212" s="143"/>
      <c r="LBB212" s="144"/>
      <c r="LBC212" s="124"/>
      <c r="LBD212" s="145"/>
      <c r="LBE212" s="145"/>
      <c r="LBF212" s="146"/>
      <c r="LBG212" s="142"/>
      <c r="LBH212" s="143"/>
      <c r="LBI212" s="144"/>
      <c r="LBJ212" s="124"/>
      <c r="LBK212" s="145"/>
      <c r="LBL212" s="145"/>
      <c r="LBM212" s="146"/>
      <c r="LBN212" s="142"/>
      <c r="LBO212" s="143"/>
      <c r="LBP212" s="144"/>
      <c r="LBQ212" s="124"/>
      <c r="LBR212" s="145"/>
      <c r="LBS212" s="145"/>
      <c r="LBT212" s="146"/>
      <c r="LBU212" s="142"/>
      <c r="LBV212" s="143"/>
      <c r="LBW212" s="144"/>
      <c r="LBX212" s="124"/>
      <c r="LBY212" s="145"/>
      <c r="LBZ212" s="145"/>
      <c r="LCA212" s="146"/>
      <c r="LCB212" s="142"/>
      <c r="LCC212" s="143"/>
      <c r="LCD212" s="144"/>
      <c r="LCE212" s="124"/>
      <c r="LCF212" s="145"/>
      <c r="LCG212" s="145"/>
      <c r="LCH212" s="146"/>
      <c r="LCI212" s="142"/>
      <c r="LCJ212" s="143"/>
      <c r="LCK212" s="144"/>
      <c r="LCL212" s="124"/>
      <c r="LCM212" s="145"/>
      <c r="LCN212" s="145"/>
      <c r="LCO212" s="146"/>
      <c r="LCP212" s="142"/>
      <c r="LCQ212" s="143"/>
      <c r="LCR212" s="144"/>
      <c r="LCS212" s="124"/>
      <c r="LCT212" s="145"/>
      <c r="LCU212" s="145"/>
      <c r="LCV212" s="146"/>
      <c r="LCW212" s="142"/>
      <c r="LCX212" s="143"/>
      <c r="LCY212" s="144"/>
      <c r="LCZ212" s="124"/>
      <c r="LDA212" s="145"/>
      <c r="LDB212" s="145"/>
      <c r="LDC212" s="146"/>
      <c r="LDD212" s="142"/>
      <c r="LDE212" s="143"/>
      <c r="LDF212" s="144"/>
      <c r="LDG212" s="124"/>
      <c r="LDH212" s="145"/>
      <c r="LDI212" s="145"/>
      <c r="LDJ212" s="146"/>
      <c r="LDK212" s="142"/>
      <c r="LDL212" s="143"/>
      <c r="LDM212" s="144"/>
      <c r="LDN212" s="124"/>
      <c r="LDO212" s="145"/>
      <c r="LDP212" s="145"/>
      <c r="LDQ212" s="146"/>
      <c r="LDR212" s="142"/>
      <c r="LDS212" s="143"/>
      <c r="LDT212" s="144"/>
      <c r="LDU212" s="124"/>
      <c r="LDV212" s="145"/>
      <c r="LDW212" s="145"/>
      <c r="LDX212" s="146"/>
      <c r="LDY212" s="142"/>
      <c r="LDZ212" s="143"/>
      <c r="LEA212" s="144"/>
      <c r="LEB212" s="124"/>
      <c r="LEC212" s="145"/>
      <c r="LED212" s="145"/>
      <c r="LEE212" s="146"/>
      <c r="LEF212" s="142"/>
      <c r="LEG212" s="143"/>
      <c r="LEH212" s="144"/>
      <c r="LEI212" s="124"/>
      <c r="LEJ212" s="145"/>
      <c r="LEK212" s="145"/>
      <c r="LEL212" s="146"/>
      <c r="LEM212" s="142"/>
      <c r="LEN212" s="143"/>
      <c r="LEO212" s="144"/>
      <c r="LEP212" s="124"/>
      <c r="LEQ212" s="145"/>
      <c r="LER212" s="145"/>
      <c r="LES212" s="146"/>
      <c r="LET212" s="142"/>
      <c r="LEU212" s="143"/>
      <c r="LEV212" s="144"/>
      <c r="LEW212" s="124"/>
      <c r="LEX212" s="145"/>
      <c r="LEY212" s="145"/>
      <c r="LEZ212" s="146"/>
      <c r="LFA212" s="142"/>
      <c r="LFB212" s="143"/>
      <c r="LFC212" s="144"/>
      <c r="LFD212" s="124"/>
      <c r="LFE212" s="145"/>
      <c r="LFF212" s="145"/>
      <c r="LFG212" s="146"/>
      <c r="LFH212" s="142"/>
      <c r="LFI212" s="143"/>
      <c r="LFJ212" s="144"/>
      <c r="LFK212" s="124"/>
      <c r="LFL212" s="145"/>
      <c r="LFM212" s="145"/>
      <c r="LFN212" s="146"/>
      <c r="LFO212" s="142"/>
      <c r="LFP212" s="143"/>
      <c r="LFQ212" s="144"/>
      <c r="LFR212" s="124"/>
      <c r="LFS212" s="145"/>
      <c r="LFT212" s="145"/>
      <c r="LFU212" s="146"/>
      <c r="LFV212" s="142"/>
      <c r="LFW212" s="143"/>
      <c r="LFX212" s="144"/>
      <c r="LFY212" s="124"/>
      <c r="LFZ212" s="145"/>
      <c r="LGA212" s="145"/>
      <c r="LGB212" s="146"/>
      <c r="LGC212" s="142"/>
      <c r="LGD212" s="143"/>
      <c r="LGE212" s="144"/>
      <c r="LGF212" s="124"/>
      <c r="LGG212" s="145"/>
      <c r="LGH212" s="145"/>
      <c r="LGI212" s="146"/>
      <c r="LGJ212" s="142"/>
      <c r="LGK212" s="143"/>
      <c r="LGL212" s="144"/>
      <c r="LGM212" s="124"/>
      <c r="LGN212" s="145"/>
      <c r="LGO212" s="145"/>
      <c r="LGP212" s="146"/>
      <c r="LGQ212" s="142"/>
      <c r="LGR212" s="143"/>
      <c r="LGS212" s="144"/>
      <c r="LGT212" s="124"/>
      <c r="LGU212" s="145"/>
      <c r="LGV212" s="145"/>
      <c r="LGW212" s="146"/>
      <c r="LGX212" s="142"/>
      <c r="LGY212" s="143"/>
      <c r="LGZ212" s="144"/>
      <c r="LHA212" s="124"/>
      <c r="LHB212" s="145"/>
      <c r="LHC212" s="145"/>
      <c r="LHD212" s="146"/>
      <c r="LHE212" s="142"/>
      <c r="LHF212" s="143"/>
      <c r="LHG212" s="144"/>
      <c r="LHH212" s="124"/>
      <c r="LHI212" s="145"/>
      <c r="LHJ212" s="145"/>
      <c r="LHK212" s="146"/>
      <c r="LHL212" s="142"/>
      <c r="LHM212" s="143"/>
      <c r="LHN212" s="144"/>
      <c r="LHO212" s="124"/>
      <c r="LHP212" s="145"/>
      <c r="LHQ212" s="145"/>
      <c r="LHR212" s="146"/>
      <c r="LHS212" s="142"/>
      <c r="LHT212" s="143"/>
      <c r="LHU212" s="144"/>
      <c r="LHV212" s="124"/>
      <c r="LHW212" s="145"/>
      <c r="LHX212" s="145"/>
      <c r="LHY212" s="146"/>
      <c r="LHZ212" s="142"/>
      <c r="LIA212" s="143"/>
      <c r="LIB212" s="144"/>
      <c r="LIC212" s="124"/>
      <c r="LID212" s="145"/>
      <c r="LIE212" s="145"/>
      <c r="LIF212" s="146"/>
      <c r="LIG212" s="142"/>
      <c r="LIH212" s="143"/>
      <c r="LII212" s="144"/>
      <c r="LIJ212" s="124"/>
      <c r="LIK212" s="145"/>
      <c r="LIL212" s="145"/>
      <c r="LIM212" s="146"/>
      <c r="LIN212" s="142"/>
      <c r="LIO212" s="143"/>
      <c r="LIP212" s="144"/>
      <c r="LIQ212" s="124"/>
      <c r="LIR212" s="145"/>
      <c r="LIS212" s="145"/>
      <c r="LIT212" s="146"/>
      <c r="LIU212" s="142"/>
      <c r="LIV212" s="143"/>
      <c r="LIW212" s="144"/>
      <c r="LIX212" s="124"/>
      <c r="LIY212" s="145"/>
      <c r="LIZ212" s="145"/>
      <c r="LJA212" s="146"/>
      <c r="LJB212" s="142"/>
      <c r="LJC212" s="143"/>
      <c r="LJD212" s="144"/>
      <c r="LJE212" s="124"/>
      <c r="LJF212" s="145"/>
      <c r="LJG212" s="145"/>
      <c r="LJH212" s="146"/>
      <c r="LJI212" s="142"/>
      <c r="LJJ212" s="143"/>
      <c r="LJK212" s="144"/>
      <c r="LJL212" s="124"/>
      <c r="LJM212" s="145"/>
      <c r="LJN212" s="145"/>
      <c r="LJO212" s="146"/>
      <c r="LJP212" s="142"/>
      <c r="LJQ212" s="143"/>
      <c r="LJR212" s="144"/>
      <c r="LJS212" s="124"/>
      <c r="LJT212" s="145"/>
      <c r="LJU212" s="145"/>
      <c r="LJV212" s="146"/>
      <c r="LJW212" s="142"/>
      <c r="LJX212" s="143"/>
      <c r="LJY212" s="144"/>
      <c r="LJZ212" s="124"/>
      <c r="LKA212" s="145"/>
      <c r="LKB212" s="145"/>
      <c r="LKC212" s="146"/>
      <c r="LKD212" s="142"/>
      <c r="LKE212" s="143"/>
      <c r="LKF212" s="144"/>
      <c r="LKG212" s="124"/>
      <c r="LKH212" s="145"/>
      <c r="LKI212" s="145"/>
      <c r="LKJ212" s="146"/>
      <c r="LKK212" s="142"/>
      <c r="LKL212" s="143"/>
      <c r="LKM212" s="144"/>
      <c r="LKN212" s="124"/>
      <c r="LKO212" s="145"/>
      <c r="LKP212" s="145"/>
      <c r="LKQ212" s="146"/>
      <c r="LKR212" s="142"/>
      <c r="LKS212" s="143"/>
      <c r="LKT212" s="144"/>
      <c r="LKU212" s="124"/>
      <c r="LKV212" s="145"/>
      <c r="LKW212" s="145"/>
      <c r="LKX212" s="146"/>
      <c r="LKY212" s="142"/>
      <c r="LKZ212" s="143"/>
      <c r="LLA212" s="144"/>
      <c r="LLB212" s="124"/>
      <c r="LLC212" s="145"/>
      <c r="LLD212" s="145"/>
      <c r="LLE212" s="146"/>
      <c r="LLF212" s="142"/>
      <c r="LLG212" s="143"/>
      <c r="LLH212" s="144"/>
      <c r="LLI212" s="124"/>
      <c r="LLJ212" s="145"/>
      <c r="LLK212" s="145"/>
      <c r="LLL212" s="146"/>
      <c r="LLM212" s="142"/>
      <c r="LLN212" s="143"/>
      <c r="LLO212" s="144"/>
      <c r="LLP212" s="124"/>
      <c r="LLQ212" s="145"/>
      <c r="LLR212" s="145"/>
      <c r="LLS212" s="146"/>
      <c r="LLT212" s="142"/>
      <c r="LLU212" s="143"/>
      <c r="LLV212" s="144"/>
      <c r="LLW212" s="124"/>
      <c r="LLX212" s="145"/>
      <c r="LLY212" s="145"/>
      <c r="LLZ212" s="146"/>
      <c r="LMA212" s="142"/>
      <c r="LMB212" s="143"/>
      <c r="LMC212" s="144"/>
      <c r="LMD212" s="124"/>
      <c r="LME212" s="145"/>
      <c r="LMF212" s="145"/>
      <c r="LMG212" s="146"/>
      <c r="LMH212" s="142"/>
      <c r="LMI212" s="143"/>
      <c r="LMJ212" s="144"/>
      <c r="LMK212" s="124"/>
      <c r="LML212" s="145"/>
      <c r="LMM212" s="145"/>
      <c r="LMN212" s="146"/>
      <c r="LMO212" s="142"/>
      <c r="LMP212" s="143"/>
      <c r="LMQ212" s="144"/>
      <c r="LMR212" s="124"/>
      <c r="LMS212" s="145"/>
      <c r="LMT212" s="145"/>
      <c r="LMU212" s="146"/>
      <c r="LMV212" s="142"/>
      <c r="LMW212" s="143"/>
      <c r="LMX212" s="144"/>
      <c r="LMY212" s="124"/>
      <c r="LMZ212" s="145"/>
      <c r="LNA212" s="145"/>
      <c r="LNB212" s="146"/>
      <c r="LNC212" s="142"/>
      <c r="LND212" s="143"/>
      <c r="LNE212" s="144"/>
      <c r="LNF212" s="124"/>
      <c r="LNG212" s="145"/>
      <c r="LNH212" s="145"/>
      <c r="LNI212" s="146"/>
      <c r="LNJ212" s="142"/>
      <c r="LNK212" s="143"/>
      <c r="LNL212" s="144"/>
      <c r="LNM212" s="124"/>
      <c r="LNN212" s="145"/>
      <c r="LNO212" s="145"/>
      <c r="LNP212" s="146"/>
      <c r="LNQ212" s="142"/>
      <c r="LNR212" s="143"/>
      <c r="LNS212" s="144"/>
      <c r="LNT212" s="124"/>
      <c r="LNU212" s="145"/>
      <c r="LNV212" s="145"/>
      <c r="LNW212" s="146"/>
      <c r="LNX212" s="142"/>
      <c r="LNY212" s="143"/>
      <c r="LNZ212" s="144"/>
      <c r="LOA212" s="124"/>
      <c r="LOB212" s="145"/>
      <c r="LOC212" s="145"/>
      <c r="LOD212" s="146"/>
      <c r="LOE212" s="142"/>
      <c r="LOF212" s="143"/>
      <c r="LOG212" s="144"/>
      <c r="LOH212" s="124"/>
      <c r="LOI212" s="145"/>
      <c r="LOJ212" s="145"/>
      <c r="LOK212" s="146"/>
      <c r="LOL212" s="142"/>
      <c r="LOM212" s="143"/>
      <c r="LON212" s="144"/>
      <c r="LOO212" s="124"/>
      <c r="LOP212" s="145"/>
      <c r="LOQ212" s="145"/>
      <c r="LOR212" s="146"/>
      <c r="LOS212" s="142"/>
      <c r="LOT212" s="143"/>
      <c r="LOU212" s="144"/>
      <c r="LOV212" s="124"/>
      <c r="LOW212" s="145"/>
      <c r="LOX212" s="145"/>
      <c r="LOY212" s="146"/>
      <c r="LOZ212" s="142"/>
      <c r="LPA212" s="143"/>
      <c r="LPB212" s="144"/>
      <c r="LPC212" s="124"/>
      <c r="LPD212" s="145"/>
      <c r="LPE212" s="145"/>
      <c r="LPF212" s="146"/>
      <c r="LPG212" s="142"/>
      <c r="LPH212" s="143"/>
      <c r="LPI212" s="144"/>
      <c r="LPJ212" s="124"/>
      <c r="LPK212" s="145"/>
      <c r="LPL212" s="145"/>
      <c r="LPM212" s="146"/>
      <c r="LPN212" s="142"/>
      <c r="LPO212" s="143"/>
      <c r="LPP212" s="144"/>
      <c r="LPQ212" s="124"/>
      <c r="LPR212" s="145"/>
      <c r="LPS212" s="145"/>
      <c r="LPT212" s="146"/>
      <c r="LPU212" s="142"/>
      <c r="LPV212" s="143"/>
      <c r="LPW212" s="144"/>
      <c r="LPX212" s="124"/>
      <c r="LPY212" s="145"/>
      <c r="LPZ212" s="145"/>
      <c r="LQA212" s="146"/>
      <c r="LQB212" s="142"/>
      <c r="LQC212" s="143"/>
      <c r="LQD212" s="144"/>
      <c r="LQE212" s="124"/>
      <c r="LQF212" s="145"/>
      <c r="LQG212" s="145"/>
      <c r="LQH212" s="146"/>
      <c r="LQI212" s="142"/>
      <c r="LQJ212" s="143"/>
      <c r="LQK212" s="144"/>
      <c r="LQL212" s="124"/>
      <c r="LQM212" s="145"/>
      <c r="LQN212" s="145"/>
      <c r="LQO212" s="146"/>
      <c r="LQP212" s="142"/>
      <c r="LQQ212" s="143"/>
      <c r="LQR212" s="144"/>
      <c r="LQS212" s="124"/>
      <c r="LQT212" s="145"/>
      <c r="LQU212" s="145"/>
      <c r="LQV212" s="146"/>
      <c r="LQW212" s="142"/>
      <c r="LQX212" s="143"/>
      <c r="LQY212" s="144"/>
      <c r="LQZ212" s="124"/>
      <c r="LRA212" s="145"/>
      <c r="LRB212" s="145"/>
      <c r="LRC212" s="146"/>
      <c r="LRD212" s="142"/>
      <c r="LRE212" s="143"/>
      <c r="LRF212" s="144"/>
      <c r="LRG212" s="124"/>
      <c r="LRH212" s="145"/>
      <c r="LRI212" s="145"/>
      <c r="LRJ212" s="146"/>
      <c r="LRK212" s="142"/>
      <c r="LRL212" s="143"/>
      <c r="LRM212" s="144"/>
      <c r="LRN212" s="124"/>
      <c r="LRO212" s="145"/>
      <c r="LRP212" s="145"/>
      <c r="LRQ212" s="146"/>
      <c r="LRR212" s="142"/>
      <c r="LRS212" s="143"/>
      <c r="LRT212" s="144"/>
      <c r="LRU212" s="124"/>
      <c r="LRV212" s="145"/>
      <c r="LRW212" s="145"/>
      <c r="LRX212" s="146"/>
      <c r="LRY212" s="142"/>
      <c r="LRZ212" s="143"/>
      <c r="LSA212" s="144"/>
      <c r="LSB212" s="124"/>
      <c r="LSC212" s="145"/>
      <c r="LSD212" s="145"/>
      <c r="LSE212" s="146"/>
      <c r="LSF212" s="142"/>
      <c r="LSG212" s="143"/>
      <c r="LSH212" s="144"/>
      <c r="LSI212" s="124"/>
      <c r="LSJ212" s="145"/>
      <c r="LSK212" s="145"/>
      <c r="LSL212" s="146"/>
      <c r="LSM212" s="142"/>
      <c r="LSN212" s="143"/>
      <c r="LSO212" s="144"/>
      <c r="LSP212" s="124"/>
      <c r="LSQ212" s="145"/>
      <c r="LSR212" s="145"/>
      <c r="LSS212" s="146"/>
      <c r="LST212" s="142"/>
      <c r="LSU212" s="143"/>
      <c r="LSV212" s="144"/>
      <c r="LSW212" s="124"/>
      <c r="LSX212" s="145"/>
      <c r="LSY212" s="145"/>
      <c r="LSZ212" s="146"/>
      <c r="LTA212" s="142"/>
      <c r="LTB212" s="143"/>
      <c r="LTC212" s="144"/>
      <c r="LTD212" s="124"/>
      <c r="LTE212" s="145"/>
      <c r="LTF212" s="145"/>
      <c r="LTG212" s="146"/>
      <c r="LTH212" s="142"/>
      <c r="LTI212" s="143"/>
      <c r="LTJ212" s="144"/>
      <c r="LTK212" s="124"/>
      <c r="LTL212" s="145"/>
      <c r="LTM212" s="145"/>
      <c r="LTN212" s="146"/>
      <c r="LTO212" s="142"/>
      <c r="LTP212" s="143"/>
      <c r="LTQ212" s="144"/>
      <c r="LTR212" s="124"/>
      <c r="LTS212" s="145"/>
      <c r="LTT212" s="145"/>
      <c r="LTU212" s="146"/>
      <c r="LTV212" s="142"/>
      <c r="LTW212" s="143"/>
      <c r="LTX212" s="144"/>
      <c r="LTY212" s="124"/>
      <c r="LTZ212" s="145"/>
      <c r="LUA212" s="145"/>
      <c r="LUB212" s="146"/>
      <c r="LUC212" s="142"/>
      <c r="LUD212" s="143"/>
      <c r="LUE212" s="144"/>
      <c r="LUF212" s="124"/>
      <c r="LUG212" s="145"/>
      <c r="LUH212" s="145"/>
      <c r="LUI212" s="146"/>
      <c r="LUJ212" s="142"/>
      <c r="LUK212" s="143"/>
      <c r="LUL212" s="144"/>
      <c r="LUM212" s="124"/>
      <c r="LUN212" s="145"/>
      <c r="LUO212" s="145"/>
      <c r="LUP212" s="146"/>
      <c r="LUQ212" s="142"/>
      <c r="LUR212" s="143"/>
      <c r="LUS212" s="144"/>
      <c r="LUT212" s="124"/>
      <c r="LUU212" s="145"/>
      <c r="LUV212" s="145"/>
      <c r="LUW212" s="146"/>
      <c r="LUX212" s="142"/>
      <c r="LUY212" s="143"/>
      <c r="LUZ212" s="144"/>
      <c r="LVA212" s="124"/>
      <c r="LVB212" s="145"/>
      <c r="LVC212" s="145"/>
      <c r="LVD212" s="146"/>
      <c r="LVE212" s="142"/>
      <c r="LVF212" s="143"/>
      <c r="LVG212" s="144"/>
      <c r="LVH212" s="124"/>
      <c r="LVI212" s="145"/>
      <c r="LVJ212" s="145"/>
      <c r="LVK212" s="146"/>
      <c r="LVL212" s="142"/>
      <c r="LVM212" s="143"/>
      <c r="LVN212" s="144"/>
      <c r="LVO212" s="124"/>
      <c r="LVP212" s="145"/>
      <c r="LVQ212" s="145"/>
      <c r="LVR212" s="146"/>
      <c r="LVS212" s="142"/>
      <c r="LVT212" s="143"/>
      <c r="LVU212" s="144"/>
      <c r="LVV212" s="124"/>
      <c r="LVW212" s="145"/>
      <c r="LVX212" s="145"/>
      <c r="LVY212" s="146"/>
      <c r="LVZ212" s="142"/>
      <c r="LWA212" s="143"/>
      <c r="LWB212" s="144"/>
      <c r="LWC212" s="124"/>
      <c r="LWD212" s="145"/>
      <c r="LWE212" s="145"/>
      <c r="LWF212" s="146"/>
      <c r="LWG212" s="142"/>
      <c r="LWH212" s="143"/>
      <c r="LWI212" s="144"/>
      <c r="LWJ212" s="124"/>
      <c r="LWK212" s="145"/>
      <c r="LWL212" s="145"/>
      <c r="LWM212" s="146"/>
      <c r="LWN212" s="142"/>
      <c r="LWO212" s="143"/>
      <c r="LWP212" s="144"/>
      <c r="LWQ212" s="124"/>
      <c r="LWR212" s="145"/>
      <c r="LWS212" s="145"/>
      <c r="LWT212" s="146"/>
      <c r="LWU212" s="142"/>
      <c r="LWV212" s="143"/>
      <c r="LWW212" s="144"/>
      <c r="LWX212" s="124"/>
      <c r="LWY212" s="145"/>
      <c r="LWZ212" s="145"/>
      <c r="LXA212" s="146"/>
      <c r="LXB212" s="142"/>
      <c r="LXC212" s="143"/>
      <c r="LXD212" s="144"/>
      <c r="LXE212" s="124"/>
      <c r="LXF212" s="145"/>
      <c r="LXG212" s="145"/>
      <c r="LXH212" s="146"/>
      <c r="LXI212" s="142"/>
      <c r="LXJ212" s="143"/>
      <c r="LXK212" s="144"/>
      <c r="LXL212" s="124"/>
      <c r="LXM212" s="145"/>
      <c r="LXN212" s="145"/>
      <c r="LXO212" s="146"/>
      <c r="LXP212" s="142"/>
      <c r="LXQ212" s="143"/>
      <c r="LXR212" s="144"/>
      <c r="LXS212" s="124"/>
      <c r="LXT212" s="145"/>
      <c r="LXU212" s="145"/>
      <c r="LXV212" s="146"/>
      <c r="LXW212" s="142"/>
      <c r="LXX212" s="143"/>
      <c r="LXY212" s="144"/>
      <c r="LXZ212" s="124"/>
      <c r="LYA212" s="145"/>
      <c r="LYB212" s="145"/>
      <c r="LYC212" s="146"/>
      <c r="LYD212" s="142"/>
      <c r="LYE212" s="143"/>
      <c r="LYF212" s="144"/>
      <c r="LYG212" s="124"/>
      <c r="LYH212" s="145"/>
      <c r="LYI212" s="145"/>
      <c r="LYJ212" s="146"/>
      <c r="LYK212" s="142"/>
      <c r="LYL212" s="143"/>
      <c r="LYM212" s="144"/>
      <c r="LYN212" s="124"/>
      <c r="LYO212" s="145"/>
      <c r="LYP212" s="145"/>
      <c r="LYQ212" s="146"/>
      <c r="LYR212" s="142"/>
      <c r="LYS212" s="143"/>
      <c r="LYT212" s="144"/>
      <c r="LYU212" s="124"/>
      <c r="LYV212" s="145"/>
      <c r="LYW212" s="145"/>
      <c r="LYX212" s="146"/>
      <c r="LYY212" s="142"/>
      <c r="LYZ212" s="143"/>
      <c r="LZA212" s="144"/>
      <c r="LZB212" s="124"/>
      <c r="LZC212" s="145"/>
      <c r="LZD212" s="145"/>
      <c r="LZE212" s="146"/>
      <c r="LZF212" s="142"/>
      <c r="LZG212" s="143"/>
      <c r="LZH212" s="144"/>
      <c r="LZI212" s="124"/>
      <c r="LZJ212" s="145"/>
      <c r="LZK212" s="145"/>
      <c r="LZL212" s="146"/>
      <c r="LZM212" s="142"/>
      <c r="LZN212" s="143"/>
      <c r="LZO212" s="144"/>
      <c r="LZP212" s="124"/>
      <c r="LZQ212" s="145"/>
      <c r="LZR212" s="145"/>
      <c r="LZS212" s="146"/>
      <c r="LZT212" s="142"/>
      <c r="LZU212" s="143"/>
      <c r="LZV212" s="144"/>
      <c r="LZW212" s="124"/>
      <c r="LZX212" s="145"/>
      <c r="LZY212" s="145"/>
      <c r="LZZ212" s="146"/>
      <c r="MAA212" s="142"/>
      <c r="MAB212" s="143"/>
      <c r="MAC212" s="144"/>
      <c r="MAD212" s="124"/>
      <c r="MAE212" s="145"/>
      <c r="MAF212" s="145"/>
      <c r="MAG212" s="146"/>
      <c r="MAH212" s="142"/>
      <c r="MAI212" s="143"/>
      <c r="MAJ212" s="144"/>
      <c r="MAK212" s="124"/>
      <c r="MAL212" s="145"/>
      <c r="MAM212" s="145"/>
      <c r="MAN212" s="146"/>
      <c r="MAO212" s="142"/>
      <c r="MAP212" s="143"/>
      <c r="MAQ212" s="144"/>
      <c r="MAR212" s="124"/>
      <c r="MAS212" s="145"/>
      <c r="MAT212" s="145"/>
      <c r="MAU212" s="146"/>
      <c r="MAV212" s="142"/>
      <c r="MAW212" s="143"/>
      <c r="MAX212" s="144"/>
      <c r="MAY212" s="124"/>
      <c r="MAZ212" s="145"/>
      <c r="MBA212" s="145"/>
      <c r="MBB212" s="146"/>
      <c r="MBC212" s="142"/>
      <c r="MBD212" s="143"/>
      <c r="MBE212" s="144"/>
      <c r="MBF212" s="124"/>
      <c r="MBG212" s="145"/>
      <c r="MBH212" s="145"/>
      <c r="MBI212" s="146"/>
      <c r="MBJ212" s="142"/>
      <c r="MBK212" s="143"/>
      <c r="MBL212" s="144"/>
      <c r="MBM212" s="124"/>
      <c r="MBN212" s="145"/>
      <c r="MBO212" s="145"/>
      <c r="MBP212" s="146"/>
      <c r="MBQ212" s="142"/>
      <c r="MBR212" s="143"/>
      <c r="MBS212" s="144"/>
      <c r="MBT212" s="124"/>
      <c r="MBU212" s="145"/>
      <c r="MBV212" s="145"/>
      <c r="MBW212" s="146"/>
      <c r="MBX212" s="142"/>
      <c r="MBY212" s="143"/>
      <c r="MBZ212" s="144"/>
      <c r="MCA212" s="124"/>
      <c r="MCB212" s="145"/>
      <c r="MCC212" s="145"/>
      <c r="MCD212" s="146"/>
      <c r="MCE212" s="142"/>
      <c r="MCF212" s="143"/>
      <c r="MCG212" s="144"/>
      <c r="MCH212" s="124"/>
      <c r="MCI212" s="145"/>
      <c r="MCJ212" s="145"/>
      <c r="MCK212" s="146"/>
      <c r="MCL212" s="142"/>
      <c r="MCM212" s="143"/>
      <c r="MCN212" s="144"/>
      <c r="MCO212" s="124"/>
      <c r="MCP212" s="145"/>
      <c r="MCQ212" s="145"/>
      <c r="MCR212" s="146"/>
      <c r="MCS212" s="142"/>
      <c r="MCT212" s="143"/>
      <c r="MCU212" s="144"/>
      <c r="MCV212" s="124"/>
      <c r="MCW212" s="145"/>
      <c r="MCX212" s="145"/>
      <c r="MCY212" s="146"/>
      <c r="MCZ212" s="142"/>
      <c r="MDA212" s="143"/>
      <c r="MDB212" s="144"/>
      <c r="MDC212" s="124"/>
      <c r="MDD212" s="145"/>
      <c r="MDE212" s="145"/>
      <c r="MDF212" s="146"/>
      <c r="MDG212" s="142"/>
      <c r="MDH212" s="143"/>
      <c r="MDI212" s="144"/>
      <c r="MDJ212" s="124"/>
      <c r="MDK212" s="145"/>
      <c r="MDL212" s="145"/>
      <c r="MDM212" s="146"/>
      <c r="MDN212" s="142"/>
      <c r="MDO212" s="143"/>
      <c r="MDP212" s="144"/>
      <c r="MDQ212" s="124"/>
      <c r="MDR212" s="145"/>
      <c r="MDS212" s="145"/>
      <c r="MDT212" s="146"/>
      <c r="MDU212" s="142"/>
      <c r="MDV212" s="143"/>
      <c r="MDW212" s="144"/>
      <c r="MDX212" s="124"/>
      <c r="MDY212" s="145"/>
      <c r="MDZ212" s="145"/>
      <c r="MEA212" s="146"/>
      <c r="MEB212" s="142"/>
      <c r="MEC212" s="143"/>
      <c r="MED212" s="144"/>
      <c r="MEE212" s="124"/>
      <c r="MEF212" s="145"/>
      <c r="MEG212" s="145"/>
      <c r="MEH212" s="146"/>
      <c r="MEI212" s="142"/>
      <c r="MEJ212" s="143"/>
      <c r="MEK212" s="144"/>
      <c r="MEL212" s="124"/>
      <c r="MEM212" s="145"/>
      <c r="MEN212" s="145"/>
      <c r="MEO212" s="146"/>
      <c r="MEP212" s="142"/>
      <c r="MEQ212" s="143"/>
      <c r="MER212" s="144"/>
      <c r="MES212" s="124"/>
      <c r="MET212" s="145"/>
      <c r="MEU212" s="145"/>
      <c r="MEV212" s="146"/>
      <c r="MEW212" s="142"/>
      <c r="MEX212" s="143"/>
      <c r="MEY212" s="144"/>
      <c r="MEZ212" s="124"/>
      <c r="MFA212" s="145"/>
      <c r="MFB212" s="145"/>
      <c r="MFC212" s="146"/>
      <c r="MFD212" s="142"/>
      <c r="MFE212" s="143"/>
      <c r="MFF212" s="144"/>
      <c r="MFG212" s="124"/>
      <c r="MFH212" s="145"/>
      <c r="MFI212" s="145"/>
      <c r="MFJ212" s="146"/>
      <c r="MFK212" s="142"/>
      <c r="MFL212" s="143"/>
      <c r="MFM212" s="144"/>
      <c r="MFN212" s="124"/>
      <c r="MFO212" s="145"/>
      <c r="MFP212" s="145"/>
      <c r="MFQ212" s="146"/>
      <c r="MFR212" s="142"/>
      <c r="MFS212" s="143"/>
      <c r="MFT212" s="144"/>
      <c r="MFU212" s="124"/>
      <c r="MFV212" s="145"/>
      <c r="MFW212" s="145"/>
      <c r="MFX212" s="146"/>
      <c r="MFY212" s="142"/>
      <c r="MFZ212" s="143"/>
      <c r="MGA212" s="144"/>
      <c r="MGB212" s="124"/>
      <c r="MGC212" s="145"/>
      <c r="MGD212" s="145"/>
      <c r="MGE212" s="146"/>
      <c r="MGF212" s="142"/>
      <c r="MGG212" s="143"/>
      <c r="MGH212" s="144"/>
      <c r="MGI212" s="124"/>
      <c r="MGJ212" s="145"/>
      <c r="MGK212" s="145"/>
      <c r="MGL212" s="146"/>
      <c r="MGM212" s="142"/>
      <c r="MGN212" s="143"/>
      <c r="MGO212" s="144"/>
      <c r="MGP212" s="124"/>
      <c r="MGQ212" s="145"/>
      <c r="MGR212" s="145"/>
      <c r="MGS212" s="146"/>
      <c r="MGT212" s="142"/>
      <c r="MGU212" s="143"/>
      <c r="MGV212" s="144"/>
      <c r="MGW212" s="124"/>
      <c r="MGX212" s="145"/>
      <c r="MGY212" s="145"/>
      <c r="MGZ212" s="146"/>
      <c r="MHA212" s="142"/>
      <c r="MHB212" s="143"/>
      <c r="MHC212" s="144"/>
      <c r="MHD212" s="124"/>
      <c r="MHE212" s="145"/>
      <c r="MHF212" s="145"/>
      <c r="MHG212" s="146"/>
      <c r="MHH212" s="142"/>
      <c r="MHI212" s="143"/>
      <c r="MHJ212" s="144"/>
      <c r="MHK212" s="124"/>
      <c r="MHL212" s="145"/>
      <c r="MHM212" s="145"/>
      <c r="MHN212" s="146"/>
      <c r="MHO212" s="142"/>
      <c r="MHP212" s="143"/>
      <c r="MHQ212" s="144"/>
      <c r="MHR212" s="124"/>
      <c r="MHS212" s="145"/>
      <c r="MHT212" s="145"/>
      <c r="MHU212" s="146"/>
      <c r="MHV212" s="142"/>
      <c r="MHW212" s="143"/>
      <c r="MHX212" s="144"/>
      <c r="MHY212" s="124"/>
      <c r="MHZ212" s="145"/>
      <c r="MIA212" s="145"/>
      <c r="MIB212" s="146"/>
      <c r="MIC212" s="142"/>
      <c r="MID212" s="143"/>
      <c r="MIE212" s="144"/>
      <c r="MIF212" s="124"/>
      <c r="MIG212" s="145"/>
      <c r="MIH212" s="145"/>
      <c r="MII212" s="146"/>
      <c r="MIJ212" s="142"/>
      <c r="MIK212" s="143"/>
      <c r="MIL212" s="144"/>
      <c r="MIM212" s="124"/>
      <c r="MIN212" s="145"/>
      <c r="MIO212" s="145"/>
      <c r="MIP212" s="146"/>
      <c r="MIQ212" s="142"/>
      <c r="MIR212" s="143"/>
      <c r="MIS212" s="144"/>
      <c r="MIT212" s="124"/>
      <c r="MIU212" s="145"/>
      <c r="MIV212" s="145"/>
      <c r="MIW212" s="146"/>
      <c r="MIX212" s="142"/>
      <c r="MIY212" s="143"/>
      <c r="MIZ212" s="144"/>
      <c r="MJA212" s="124"/>
      <c r="MJB212" s="145"/>
      <c r="MJC212" s="145"/>
      <c r="MJD212" s="146"/>
      <c r="MJE212" s="142"/>
      <c r="MJF212" s="143"/>
      <c r="MJG212" s="144"/>
      <c r="MJH212" s="124"/>
      <c r="MJI212" s="145"/>
      <c r="MJJ212" s="145"/>
      <c r="MJK212" s="146"/>
      <c r="MJL212" s="142"/>
      <c r="MJM212" s="143"/>
      <c r="MJN212" s="144"/>
      <c r="MJO212" s="124"/>
      <c r="MJP212" s="145"/>
      <c r="MJQ212" s="145"/>
      <c r="MJR212" s="146"/>
      <c r="MJS212" s="142"/>
      <c r="MJT212" s="143"/>
      <c r="MJU212" s="144"/>
      <c r="MJV212" s="124"/>
      <c r="MJW212" s="145"/>
      <c r="MJX212" s="145"/>
      <c r="MJY212" s="146"/>
      <c r="MJZ212" s="142"/>
      <c r="MKA212" s="143"/>
      <c r="MKB212" s="144"/>
      <c r="MKC212" s="124"/>
      <c r="MKD212" s="145"/>
      <c r="MKE212" s="145"/>
      <c r="MKF212" s="146"/>
      <c r="MKG212" s="142"/>
      <c r="MKH212" s="143"/>
      <c r="MKI212" s="144"/>
      <c r="MKJ212" s="124"/>
      <c r="MKK212" s="145"/>
      <c r="MKL212" s="145"/>
      <c r="MKM212" s="146"/>
      <c r="MKN212" s="142"/>
      <c r="MKO212" s="143"/>
      <c r="MKP212" s="144"/>
      <c r="MKQ212" s="124"/>
      <c r="MKR212" s="145"/>
      <c r="MKS212" s="145"/>
      <c r="MKT212" s="146"/>
      <c r="MKU212" s="142"/>
      <c r="MKV212" s="143"/>
      <c r="MKW212" s="144"/>
      <c r="MKX212" s="124"/>
      <c r="MKY212" s="145"/>
      <c r="MKZ212" s="145"/>
      <c r="MLA212" s="146"/>
      <c r="MLB212" s="142"/>
      <c r="MLC212" s="143"/>
      <c r="MLD212" s="144"/>
      <c r="MLE212" s="124"/>
      <c r="MLF212" s="145"/>
      <c r="MLG212" s="145"/>
      <c r="MLH212" s="146"/>
      <c r="MLI212" s="142"/>
      <c r="MLJ212" s="143"/>
      <c r="MLK212" s="144"/>
      <c r="MLL212" s="124"/>
      <c r="MLM212" s="145"/>
      <c r="MLN212" s="145"/>
      <c r="MLO212" s="146"/>
      <c r="MLP212" s="142"/>
      <c r="MLQ212" s="143"/>
      <c r="MLR212" s="144"/>
      <c r="MLS212" s="124"/>
      <c r="MLT212" s="145"/>
      <c r="MLU212" s="145"/>
      <c r="MLV212" s="146"/>
      <c r="MLW212" s="142"/>
      <c r="MLX212" s="143"/>
      <c r="MLY212" s="144"/>
      <c r="MLZ212" s="124"/>
      <c r="MMA212" s="145"/>
      <c r="MMB212" s="145"/>
      <c r="MMC212" s="146"/>
      <c r="MMD212" s="142"/>
      <c r="MME212" s="143"/>
      <c r="MMF212" s="144"/>
      <c r="MMG212" s="124"/>
      <c r="MMH212" s="145"/>
      <c r="MMI212" s="145"/>
      <c r="MMJ212" s="146"/>
      <c r="MMK212" s="142"/>
      <c r="MML212" s="143"/>
      <c r="MMM212" s="144"/>
      <c r="MMN212" s="124"/>
      <c r="MMO212" s="145"/>
      <c r="MMP212" s="145"/>
      <c r="MMQ212" s="146"/>
      <c r="MMR212" s="142"/>
      <c r="MMS212" s="143"/>
      <c r="MMT212" s="144"/>
      <c r="MMU212" s="124"/>
      <c r="MMV212" s="145"/>
      <c r="MMW212" s="145"/>
      <c r="MMX212" s="146"/>
      <c r="MMY212" s="142"/>
      <c r="MMZ212" s="143"/>
      <c r="MNA212" s="144"/>
      <c r="MNB212" s="124"/>
      <c r="MNC212" s="145"/>
      <c r="MND212" s="145"/>
      <c r="MNE212" s="146"/>
      <c r="MNF212" s="142"/>
      <c r="MNG212" s="143"/>
      <c r="MNH212" s="144"/>
      <c r="MNI212" s="124"/>
      <c r="MNJ212" s="145"/>
      <c r="MNK212" s="145"/>
      <c r="MNL212" s="146"/>
      <c r="MNM212" s="142"/>
      <c r="MNN212" s="143"/>
      <c r="MNO212" s="144"/>
      <c r="MNP212" s="124"/>
      <c r="MNQ212" s="145"/>
      <c r="MNR212" s="145"/>
      <c r="MNS212" s="146"/>
      <c r="MNT212" s="142"/>
      <c r="MNU212" s="143"/>
      <c r="MNV212" s="144"/>
      <c r="MNW212" s="124"/>
      <c r="MNX212" s="145"/>
      <c r="MNY212" s="145"/>
      <c r="MNZ212" s="146"/>
      <c r="MOA212" s="142"/>
      <c r="MOB212" s="143"/>
      <c r="MOC212" s="144"/>
      <c r="MOD212" s="124"/>
      <c r="MOE212" s="145"/>
      <c r="MOF212" s="145"/>
      <c r="MOG212" s="146"/>
      <c r="MOH212" s="142"/>
      <c r="MOI212" s="143"/>
      <c r="MOJ212" s="144"/>
      <c r="MOK212" s="124"/>
      <c r="MOL212" s="145"/>
      <c r="MOM212" s="145"/>
      <c r="MON212" s="146"/>
      <c r="MOO212" s="142"/>
      <c r="MOP212" s="143"/>
      <c r="MOQ212" s="144"/>
      <c r="MOR212" s="124"/>
      <c r="MOS212" s="145"/>
      <c r="MOT212" s="145"/>
      <c r="MOU212" s="146"/>
      <c r="MOV212" s="142"/>
      <c r="MOW212" s="143"/>
      <c r="MOX212" s="144"/>
      <c r="MOY212" s="124"/>
      <c r="MOZ212" s="145"/>
      <c r="MPA212" s="145"/>
      <c r="MPB212" s="146"/>
      <c r="MPC212" s="142"/>
      <c r="MPD212" s="143"/>
      <c r="MPE212" s="144"/>
      <c r="MPF212" s="124"/>
      <c r="MPG212" s="145"/>
      <c r="MPH212" s="145"/>
      <c r="MPI212" s="146"/>
      <c r="MPJ212" s="142"/>
      <c r="MPK212" s="143"/>
      <c r="MPL212" s="144"/>
      <c r="MPM212" s="124"/>
      <c r="MPN212" s="145"/>
      <c r="MPO212" s="145"/>
      <c r="MPP212" s="146"/>
      <c r="MPQ212" s="142"/>
      <c r="MPR212" s="143"/>
      <c r="MPS212" s="144"/>
      <c r="MPT212" s="124"/>
      <c r="MPU212" s="145"/>
      <c r="MPV212" s="145"/>
      <c r="MPW212" s="146"/>
      <c r="MPX212" s="142"/>
      <c r="MPY212" s="143"/>
      <c r="MPZ212" s="144"/>
      <c r="MQA212" s="124"/>
      <c r="MQB212" s="145"/>
      <c r="MQC212" s="145"/>
      <c r="MQD212" s="146"/>
      <c r="MQE212" s="142"/>
      <c r="MQF212" s="143"/>
      <c r="MQG212" s="144"/>
      <c r="MQH212" s="124"/>
      <c r="MQI212" s="145"/>
      <c r="MQJ212" s="145"/>
      <c r="MQK212" s="146"/>
      <c r="MQL212" s="142"/>
      <c r="MQM212" s="143"/>
      <c r="MQN212" s="144"/>
      <c r="MQO212" s="124"/>
      <c r="MQP212" s="145"/>
      <c r="MQQ212" s="145"/>
      <c r="MQR212" s="146"/>
      <c r="MQS212" s="142"/>
      <c r="MQT212" s="143"/>
      <c r="MQU212" s="144"/>
      <c r="MQV212" s="124"/>
      <c r="MQW212" s="145"/>
      <c r="MQX212" s="145"/>
      <c r="MQY212" s="146"/>
      <c r="MQZ212" s="142"/>
      <c r="MRA212" s="143"/>
      <c r="MRB212" s="144"/>
      <c r="MRC212" s="124"/>
      <c r="MRD212" s="145"/>
      <c r="MRE212" s="145"/>
      <c r="MRF212" s="146"/>
      <c r="MRG212" s="142"/>
      <c r="MRH212" s="143"/>
      <c r="MRI212" s="144"/>
      <c r="MRJ212" s="124"/>
      <c r="MRK212" s="145"/>
      <c r="MRL212" s="145"/>
      <c r="MRM212" s="146"/>
      <c r="MRN212" s="142"/>
      <c r="MRO212" s="143"/>
      <c r="MRP212" s="144"/>
      <c r="MRQ212" s="124"/>
      <c r="MRR212" s="145"/>
      <c r="MRS212" s="145"/>
      <c r="MRT212" s="146"/>
      <c r="MRU212" s="142"/>
      <c r="MRV212" s="143"/>
      <c r="MRW212" s="144"/>
      <c r="MRX212" s="124"/>
      <c r="MRY212" s="145"/>
      <c r="MRZ212" s="145"/>
      <c r="MSA212" s="146"/>
      <c r="MSB212" s="142"/>
      <c r="MSC212" s="143"/>
      <c r="MSD212" s="144"/>
      <c r="MSE212" s="124"/>
      <c r="MSF212" s="145"/>
      <c r="MSG212" s="145"/>
      <c r="MSH212" s="146"/>
      <c r="MSI212" s="142"/>
      <c r="MSJ212" s="143"/>
      <c r="MSK212" s="144"/>
      <c r="MSL212" s="124"/>
      <c r="MSM212" s="145"/>
      <c r="MSN212" s="145"/>
      <c r="MSO212" s="146"/>
      <c r="MSP212" s="142"/>
      <c r="MSQ212" s="143"/>
      <c r="MSR212" s="144"/>
      <c r="MSS212" s="124"/>
      <c r="MST212" s="145"/>
      <c r="MSU212" s="145"/>
      <c r="MSV212" s="146"/>
      <c r="MSW212" s="142"/>
      <c r="MSX212" s="143"/>
      <c r="MSY212" s="144"/>
      <c r="MSZ212" s="124"/>
      <c r="MTA212" s="145"/>
      <c r="MTB212" s="145"/>
      <c r="MTC212" s="146"/>
      <c r="MTD212" s="142"/>
      <c r="MTE212" s="143"/>
      <c r="MTF212" s="144"/>
      <c r="MTG212" s="124"/>
      <c r="MTH212" s="145"/>
      <c r="MTI212" s="145"/>
      <c r="MTJ212" s="146"/>
      <c r="MTK212" s="142"/>
      <c r="MTL212" s="143"/>
      <c r="MTM212" s="144"/>
      <c r="MTN212" s="124"/>
      <c r="MTO212" s="145"/>
      <c r="MTP212" s="145"/>
      <c r="MTQ212" s="146"/>
      <c r="MTR212" s="142"/>
      <c r="MTS212" s="143"/>
      <c r="MTT212" s="144"/>
      <c r="MTU212" s="124"/>
      <c r="MTV212" s="145"/>
      <c r="MTW212" s="145"/>
      <c r="MTX212" s="146"/>
      <c r="MTY212" s="142"/>
      <c r="MTZ212" s="143"/>
      <c r="MUA212" s="144"/>
      <c r="MUB212" s="124"/>
      <c r="MUC212" s="145"/>
      <c r="MUD212" s="145"/>
      <c r="MUE212" s="146"/>
      <c r="MUF212" s="142"/>
      <c r="MUG212" s="143"/>
      <c r="MUH212" s="144"/>
      <c r="MUI212" s="124"/>
      <c r="MUJ212" s="145"/>
      <c r="MUK212" s="145"/>
      <c r="MUL212" s="146"/>
      <c r="MUM212" s="142"/>
      <c r="MUN212" s="143"/>
      <c r="MUO212" s="144"/>
      <c r="MUP212" s="124"/>
      <c r="MUQ212" s="145"/>
      <c r="MUR212" s="145"/>
      <c r="MUS212" s="146"/>
      <c r="MUT212" s="142"/>
      <c r="MUU212" s="143"/>
      <c r="MUV212" s="144"/>
      <c r="MUW212" s="124"/>
      <c r="MUX212" s="145"/>
      <c r="MUY212" s="145"/>
      <c r="MUZ212" s="146"/>
      <c r="MVA212" s="142"/>
      <c r="MVB212" s="143"/>
      <c r="MVC212" s="144"/>
      <c r="MVD212" s="124"/>
      <c r="MVE212" s="145"/>
      <c r="MVF212" s="145"/>
      <c r="MVG212" s="146"/>
      <c r="MVH212" s="142"/>
      <c r="MVI212" s="143"/>
      <c r="MVJ212" s="144"/>
      <c r="MVK212" s="124"/>
      <c r="MVL212" s="145"/>
      <c r="MVM212" s="145"/>
      <c r="MVN212" s="146"/>
      <c r="MVO212" s="142"/>
      <c r="MVP212" s="143"/>
      <c r="MVQ212" s="144"/>
      <c r="MVR212" s="124"/>
      <c r="MVS212" s="145"/>
      <c r="MVT212" s="145"/>
      <c r="MVU212" s="146"/>
      <c r="MVV212" s="142"/>
      <c r="MVW212" s="143"/>
      <c r="MVX212" s="144"/>
      <c r="MVY212" s="124"/>
      <c r="MVZ212" s="145"/>
      <c r="MWA212" s="145"/>
      <c r="MWB212" s="146"/>
      <c r="MWC212" s="142"/>
      <c r="MWD212" s="143"/>
      <c r="MWE212" s="144"/>
      <c r="MWF212" s="124"/>
      <c r="MWG212" s="145"/>
      <c r="MWH212" s="145"/>
      <c r="MWI212" s="146"/>
      <c r="MWJ212" s="142"/>
      <c r="MWK212" s="143"/>
      <c r="MWL212" s="144"/>
      <c r="MWM212" s="124"/>
      <c r="MWN212" s="145"/>
      <c r="MWO212" s="145"/>
      <c r="MWP212" s="146"/>
      <c r="MWQ212" s="142"/>
      <c r="MWR212" s="143"/>
      <c r="MWS212" s="144"/>
      <c r="MWT212" s="124"/>
      <c r="MWU212" s="145"/>
      <c r="MWV212" s="145"/>
      <c r="MWW212" s="146"/>
      <c r="MWX212" s="142"/>
      <c r="MWY212" s="143"/>
      <c r="MWZ212" s="144"/>
      <c r="MXA212" s="124"/>
      <c r="MXB212" s="145"/>
      <c r="MXC212" s="145"/>
      <c r="MXD212" s="146"/>
      <c r="MXE212" s="142"/>
      <c r="MXF212" s="143"/>
      <c r="MXG212" s="144"/>
      <c r="MXH212" s="124"/>
      <c r="MXI212" s="145"/>
      <c r="MXJ212" s="145"/>
      <c r="MXK212" s="146"/>
      <c r="MXL212" s="142"/>
      <c r="MXM212" s="143"/>
      <c r="MXN212" s="144"/>
      <c r="MXO212" s="124"/>
      <c r="MXP212" s="145"/>
      <c r="MXQ212" s="145"/>
      <c r="MXR212" s="146"/>
      <c r="MXS212" s="142"/>
      <c r="MXT212" s="143"/>
      <c r="MXU212" s="144"/>
      <c r="MXV212" s="124"/>
      <c r="MXW212" s="145"/>
      <c r="MXX212" s="145"/>
      <c r="MXY212" s="146"/>
      <c r="MXZ212" s="142"/>
      <c r="MYA212" s="143"/>
      <c r="MYB212" s="144"/>
      <c r="MYC212" s="124"/>
      <c r="MYD212" s="145"/>
      <c r="MYE212" s="145"/>
      <c r="MYF212" s="146"/>
      <c r="MYG212" s="142"/>
      <c r="MYH212" s="143"/>
      <c r="MYI212" s="144"/>
      <c r="MYJ212" s="124"/>
      <c r="MYK212" s="145"/>
      <c r="MYL212" s="145"/>
      <c r="MYM212" s="146"/>
      <c r="MYN212" s="142"/>
      <c r="MYO212" s="143"/>
      <c r="MYP212" s="144"/>
      <c r="MYQ212" s="124"/>
      <c r="MYR212" s="145"/>
      <c r="MYS212" s="145"/>
      <c r="MYT212" s="146"/>
      <c r="MYU212" s="142"/>
      <c r="MYV212" s="143"/>
      <c r="MYW212" s="144"/>
      <c r="MYX212" s="124"/>
      <c r="MYY212" s="145"/>
      <c r="MYZ212" s="145"/>
      <c r="MZA212" s="146"/>
      <c r="MZB212" s="142"/>
      <c r="MZC212" s="143"/>
      <c r="MZD212" s="144"/>
      <c r="MZE212" s="124"/>
      <c r="MZF212" s="145"/>
      <c r="MZG212" s="145"/>
      <c r="MZH212" s="146"/>
      <c r="MZI212" s="142"/>
      <c r="MZJ212" s="143"/>
      <c r="MZK212" s="144"/>
      <c r="MZL212" s="124"/>
      <c r="MZM212" s="145"/>
      <c r="MZN212" s="145"/>
      <c r="MZO212" s="146"/>
      <c r="MZP212" s="142"/>
      <c r="MZQ212" s="143"/>
      <c r="MZR212" s="144"/>
      <c r="MZS212" s="124"/>
      <c r="MZT212" s="145"/>
      <c r="MZU212" s="145"/>
      <c r="MZV212" s="146"/>
      <c r="MZW212" s="142"/>
      <c r="MZX212" s="143"/>
      <c r="MZY212" s="144"/>
      <c r="MZZ212" s="124"/>
      <c r="NAA212" s="145"/>
      <c r="NAB212" s="145"/>
      <c r="NAC212" s="146"/>
      <c r="NAD212" s="142"/>
      <c r="NAE212" s="143"/>
      <c r="NAF212" s="144"/>
      <c r="NAG212" s="124"/>
      <c r="NAH212" s="145"/>
      <c r="NAI212" s="145"/>
      <c r="NAJ212" s="146"/>
      <c r="NAK212" s="142"/>
      <c r="NAL212" s="143"/>
      <c r="NAM212" s="144"/>
      <c r="NAN212" s="124"/>
      <c r="NAO212" s="145"/>
      <c r="NAP212" s="145"/>
      <c r="NAQ212" s="146"/>
      <c r="NAR212" s="142"/>
      <c r="NAS212" s="143"/>
      <c r="NAT212" s="144"/>
      <c r="NAU212" s="124"/>
      <c r="NAV212" s="145"/>
      <c r="NAW212" s="145"/>
      <c r="NAX212" s="146"/>
      <c r="NAY212" s="142"/>
      <c r="NAZ212" s="143"/>
      <c r="NBA212" s="144"/>
      <c r="NBB212" s="124"/>
      <c r="NBC212" s="145"/>
      <c r="NBD212" s="145"/>
      <c r="NBE212" s="146"/>
      <c r="NBF212" s="142"/>
      <c r="NBG212" s="143"/>
      <c r="NBH212" s="144"/>
      <c r="NBI212" s="124"/>
      <c r="NBJ212" s="145"/>
      <c r="NBK212" s="145"/>
      <c r="NBL212" s="146"/>
      <c r="NBM212" s="142"/>
      <c r="NBN212" s="143"/>
      <c r="NBO212" s="144"/>
      <c r="NBP212" s="124"/>
      <c r="NBQ212" s="145"/>
      <c r="NBR212" s="145"/>
      <c r="NBS212" s="146"/>
      <c r="NBT212" s="142"/>
      <c r="NBU212" s="143"/>
      <c r="NBV212" s="144"/>
      <c r="NBW212" s="124"/>
      <c r="NBX212" s="145"/>
      <c r="NBY212" s="145"/>
      <c r="NBZ212" s="146"/>
      <c r="NCA212" s="142"/>
      <c r="NCB212" s="143"/>
      <c r="NCC212" s="144"/>
      <c r="NCD212" s="124"/>
      <c r="NCE212" s="145"/>
      <c r="NCF212" s="145"/>
      <c r="NCG212" s="146"/>
      <c r="NCH212" s="142"/>
      <c r="NCI212" s="143"/>
      <c r="NCJ212" s="144"/>
      <c r="NCK212" s="124"/>
      <c r="NCL212" s="145"/>
      <c r="NCM212" s="145"/>
      <c r="NCN212" s="146"/>
      <c r="NCO212" s="142"/>
      <c r="NCP212" s="143"/>
      <c r="NCQ212" s="144"/>
      <c r="NCR212" s="124"/>
      <c r="NCS212" s="145"/>
      <c r="NCT212" s="145"/>
      <c r="NCU212" s="146"/>
      <c r="NCV212" s="142"/>
      <c r="NCW212" s="143"/>
      <c r="NCX212" s="144"/>
      <c r="NCY212" s="124"/>
      <c r="NCZ212" s="145"/>
      <c r="NDA212" s="145"/>
      <c r="NDB212" s="146"/>
      <c r="NDC212" s="142"/>
      <c r="NDD212" s="143"/>
      <c r="NDE212" s="144"/>
      <c r="NDF212" s="124"/>
      <c r="NDG212" s="145"/>
      <c r="NDH212" s="145"/>
      <c r="NDI212" s="146"/>
      <c r="NDJ212" s="142"/>
      <c r="NDK212" s="143"/>
      <c r="NDL212" s="144"/>
      <c r="NDM212" s="124"/>
      <c r="NDN212" s="145"/>
      <c r="NDO212" s="145"/>
      <c r="NDP212" s="146"/>
      <c r="NDQ212" s="142"/>
      <c r="NDR212" s="143"/>
      <c r="NDS212" s="144"/>
      <c r="NDT212" s="124"/>
      <c r="NDU212" s="145"/>
      <c r="NDV212" s="145"/>
      <c r="NDW212" s="146"/>
      <c r="NDX212" s="142"/>
      <c r="NDY212" s="143"/>
      <c r="NDZ212" s="144"/>
      <c r="NEA212" s="124"/>
      <c r="NEB212" s="145"/>
      <c r="NEC212" s="145"/>
      <c r="NED212" s="146"/>
      <c r="NEE212" s="142"/>
      <c r="NEF212" s="143"/>
      <c r="NEG212" s="144"/>
      <c r="NEH212" s="124"/>
      <c r="NEI212" s="145"/>
      <c r="NEJ212" s="145"/>
      <c r="NEK212" s="146"/>
      <c r="NEL212" s="142"/>
      <c r="NEM212" s="143"/>
      <c r="NEN212" s="144"/>
      <c r="NEO212" s="124"/>
      <c r="NEP212" s="145"/>
      <c r="NEQ212" s="145"/>
      <c r="NER212" s="146"/>
      <c r="NES212" s="142"/>
      <c r="NET212" s="143"/>
      <c r="NEU212" s="144"/>
      <c r="NEV212" s="124"/>
      <c r="NEW212" s="145"/>
      <c r="NEX212" s="145"/>
      <c r="NEY212" s="146"/>
      <c r="NEZ212" s="142"/>
      <c r="NFA212" s="143"/>
      <c r="NFB212" s="144"/>
      <c r="NFC212" s="124"/>
      <c r="NFD212" s="145"/>
      <c r="NFE212" s="145"/>
      <c r="NFF212" s="146"/>
      <c r="NFG212" s="142"/>
      <c r="NFH212" s="143"/>
      <c r="NFI212" s="144"/>
      <c r="NFJ212" s="124"/>
      <c r="NFK212" s="145"/>
      <c r="NFL212" s="145"/>
      <c r="NFM212" s="146"/>
      <c r="NFN212" s="142"/>
      <c r="NFO212" s="143"/>
      <c r="NFP212" s="144"/>
      <c r="NFQ212" s="124"/>
      <c r="NFR212" s="145"/>
      <c r="NFS212" s="145"/>
      <c r="NFT212" s="146"/>
      <c r="NFU212" s="142"/>
      <c r="NFV212" s="143"/>
      <c r="NFW212" s="144"/>
      <c r="NFX212" s="124"/>
      <c r="NFY212" s="145"/>
      <c r="NFZ212" s="145"/>
      <c r="NGA212" s="146"/>
      <c r="NGB212" s="142"/>
      <c r="NGC212" s="143"/>
      <c r="NGD212" s="144"/>
      <c r="NGE212" s="124"/>
      <c r="NGF212" s="145"/>
      <c r="NGG212" s="145"/>
      <c r="NGH212" s="146"/>
      <c r="NGI212" s="142"/>
      <c r="NGJ212" s="143"/>
      <c r="NGK212" s="144"/>
      <c r="NGL212" s="124"/>
      <c r="NGM212" s="145"/>
      <c r="NGN212" s="145"/>
      <c r="NGO212" s="146"/>
      <c r="NGP212" s="142"/>
      <c r="NGQ212" s="143"/>
      <c r="NGR212" s="144"/>
      <c r="NGS212" s="124"/>
      <c r="NGT212" s="145"/>
      <c r="NGU212" s="145"/>
      <c r="NGV212" s="146"/>
      <c r="NGW212" s="142"/>
      <c r="NGX212" s="143"/>
      <c r="NGY212" s="144"/>
      <c r="NGZ212" s="124"/>
      <c r="NHA212" s="145"/>
      <c r="NHB212" s="145"/>
      <c r="NHC212" s="146"/>
      <c r="NHD212" s="142"/>
      <c r="NHE212" s="143"/>
      <c r="NHF212" s="144"/>
      <c r="NHG212" s="124"/>
      <c r="NHH212" s="145"/>
      <c r="NHI212" s="145"/>
      <c r="NHJ212" s="146"/>
      <c r="NHK212" s="142"/>
      <c r="NHL212" s="143"/>
      <c r="NHM212" s="144"/>
      <c r="NHN212" s="124"/>
      <c r="NHO212" s="145"/>
      <c r="NHP212" s="145"/>
      <c r="NHQ212" s="146"/>
      <c r="NHR212" s="142"/>
      <c r="NHS212" s="143"/>
      <c r="NHT212" s="144"/>
      <c r="NHU212" s="124"/>
      <c r="NHV212" s="145"/>
      <c r="NHW212" s="145"/>
      <c r="NHX212" s="146"/>
      <c r="NHY212" s="142"/>
      <c r="NHZ212" s="143"/>
      <c r="NIA212" s="144"/>
      <c r="NIB212" s="124"/>
      <c r="NIC212" s="145"/>
      <c r="NID212" s="145"/>
      <c r="NIE212" s="146"/>
      <c r="NIF212" s="142"/>
      <c r="NIG212" s="143"/>
      <c r="NIH212" s="144"/>
      <c r="NII212" s="124"/>
      <c r="NIJ212" s="145"/>
      <c r="NIK212" s="145"/>
      <c r="NIL212" s="146"/>
      <c r="NIM212" s="142"/>
      <c r="NIN212" s="143"/>
      <c r="NIO212" s="144"/>
      <c r="NIP212" s="124"/>
      <c r="NIQ212" s="145"/>
      <c r="NIR212" s="145"/>
      <c r="NIS212" s="146"/>
      <c r="NIT212" s="142"/>
      <c r="NIU212" s="143"/>
      <c r="NIV212" s="144"/>
      <c r="NIW212" s="124"/>
      <c r="NIX212" s="145"/>
      <c r="NIY212" s="145"/>
      <c r="NIZ212" s="146"/>
      <c r="NJA212" s="142"/>
      <c r="NJB212" s="143"/>
      <c r="NJC212" s="144"/>
      <c r="NJD212" s="124"/>
      <c r="NJE212" s="145"/>
      <c r="NJF212" s="145"/>
      <c r="NJG212" s="146"/>
      <c r="NJH212" s="142"/>
      <c r="NJI212" s="143"/>
      <c r="NJJ212" s="144"/>
      <c r="NJK212" s="124"/>
      <c r="NJL212" s="145"/>
      <c r="NJM212" s="145"/>
      <c r="NJN212" s="146"/>
      <c r="NJO212" s="142"/>
      <c r="NJP212" s="143"/>
      <c r="NJQ212" s="144"/>
      <c r="NJR212" s="124"/>
      <c r="NJS212" s="145"/>
      <c r="NJT212" s="145"/>
      <c r="NJU212" s="146"/>
      <c r="NJV212" s="142"/>
      <c r="NJW212" s="143"/>
      <c r="NJX212" s="144"/>
      <c r="NJY212" s="124"/>
      <c r="NJZ212" s="145"/>
      <c r="NKA212" s="145"/>
      <c r="NKB212" s="146"/>
      <c r="NKC212" s="142"/>
      <c r="NKD212" s="143"/>
      <c r="NKE212" s="144"/>
      <c r="NKF212" s="124"/>
      <c r="NKG212" s="145"/>
      <c r="NKH212" s="145"/>
      <c r="NKI212" s="146"/>
      <c r="NKJ212" s="142"/>
      <c r="NKK212" s="143"/>
      <c r="NKL212" s="144"/>
      <c r="NKM212" s="124"/>
      <c r="NKN212" s="145"/>
      <c r="NKO212" s="145"/>
      <c r="NKP212" s="146"/>
      <c r="NKQ212" s="142"/>
      <c r="NKR212" s="143"/>
      <c r="NKS212" s="144"/>
      <c r="NKT212" s="124"/>
      <c r="NKU212" s="145"/>
      <c r="NKV212" s="145"/>
      <c r="NKW212" s="146"/>
      <c r="NKX212" s="142"/>
      <c r="NKY212" s="143"/>
      <c r="NKZ212" s="144"/>
      <c r="NLA212" s="124"/>
      <c r="NLB212" s="145"/>
      <c r="NLC212" s="145"/>
      <c r="NLD212" s="146"/>
      <c r="NLE212" s="142"/>
      <c r="NLF212" s="143"/>
      <c r="NLG212" s="144"/>
      <c r="NLH212" s="124"/>
      <c r="NLI212" s="145"/>
      <c r="NLJ212" s="145"/>
      <c r="NLK212" s="146"/>
      <c r="NLL212" s="142"/>
      <c r="NLM212" s="143"/>
      <c r="NLN212" s="144"/>
      <c r="NLO212" s="124"/>
      <c r="NLP212" s="145"/>
      <c r="NLQ212" s="145"/>
      <c r="NLR212" s="146"/>
      <c r="NLS212" s="142"/>
      <c r="NLT212" s="143"/>
      <c r="NLU212" s="144"/>
      <c r="NLV212" s="124"/>
      <c r="NLW212" s="145"/>
      <c r="NLX212" s="145"/>
      <c r="NLY212" s="146"/>
      <c r="NLZ212" s="142"/>
      <c r="NMA212" s="143"/>
      <c r="NMB212" s="144"/>
      <c r="NMC212" s="124"/>
      <c r="NMD212" s="145"/>
      <c r="NME212" s="145"/>
      <c r="NMF212" s="146"/>
      <c r="NMG212" s="142"/>
      <c r="NMH212" s="143"/>
      <c r="NMI212" s="144"/>
      <c r="NMJ212" s="124"/>
      <c r="NMK212" s="145"/>
      <c r="NML212" s="145"/>
      <c r="NMM212" s="146"/>
      <c r="NMN212" s="142"/>
      <c r="NMO212" s="143"/>
      <c r="NMP212" s="144"/>
      <c r="NMQ212" s="124"/>
      <c r="NMR212" s="145"/>
      <c r="NMS212" s="145"/>
      <c r="NMT212" s="146"/>
      <c r="NMU212" s="142"/>
      <c r="NMV212" s="143"/>
      <c r="NMW212" s="144"/>
      <c r="NMX212" s="124"/>
      <c r="NMY212" s="145"/>
      <c r="NMZ212" s="145"/>
      <c r="NNA212" s="146"/>
      <c r="NNB212" s="142"/>
      <c r="NNC212" s="143"/>
      <c r="NND212" s="144"/>
      <c r="NNE212" s="124"/>
      <c r="NNF212" s="145"/>
      <c r="NNG212" s="145"/>
      <c r="NNH212" s="146"/>
      <c r="NNI212" s="142"/>
      <c r="NNJ212" s="143"/>
      <c r="NNK212" s="144"/>
      <c r="NNL212" s="124"/>
      <c r="NNM212" s="145"/>
      <c r="NNN212" s="145"/>
      <c r="NNO212" s="146"/>
      <c r="NNP212" s="142"/>
      <c r="NNQ212" s="143"/>
      <c r="NNR212" s="144"/>
      <c r="NNS212" s="124"/>
      <c r="NNT212" s="145"/>
      <c r="NNU212" s="145"/>
      <c r="NNV212" s="146"/>
      <c r="NNW212" s="142"/>
      <c r="NNX212" s="143"/>
      <c r="NNY212" s="144"/>
      <c r="NNZ212" s="124"/>
      <c r="NOA212" s="145"/>
      <c r="NOB212" s="145"/>
      <c r="NOC212" s="146"/>
      <c r="NOD212" s="142"/>
      <c r="NOE212" s="143"/>
      <c r="NOF212" s="144"/>
      <c r="NOG212" s="124"/>
      <c r="NOH212" s="145"/>
      <c r="NOI212" s="145"/>
      <c r="NOJ212" s="146"/>
      <c r="NOK212" s="142"/>
      <c r="NOL212" s="143"/>
      <c r="NOM212" s="144"/>
      <c r="NON212" s="124"/>
      <c r="NOO212" s="145"/>
      <c r="NOP212" s="145"/>
      <c r="NOQ212" s="146"/>
      <c r="NOR212" s="142"/>
      <c r="NOS212" s="143"/>
      <c r="NOT212" s="144"/>
      <c r="NOU212" s="124"/>
      <c r="NOV212" s="145"/>
      <c r="NOW212" s="145"/>
      <c r="NOX212" s="146"/>
      <c r="NOY212" s="142"/>
      <c r="NOZ212" s="143"/>
      <c r="NPA212" s="144"/>
      <c r="NPB212" s="124"/>
      <c r="NPC212" s="145"/>
      <c r="NPD212" s="145"/>
      <c r="NPE212" s="146"/>
      <c r="NPF212" s="142"/>
      <c r="NPG212" s="143"/>
      <c r="NPH212" s="144"/>
      <c r="NPI212" s="124"/>
      <c r="NPJ212" s="145"/>
      <c r="NPK212" s="145"/>
      <c r="NPL212" s="146"/>
      <c r="NPM212" s="142"/>
      <c r="NPN212" s="143"/>
      <c r="NPO212" s="144"/>
      <c r="NPP212" s="124"/>
      <c r="NPQ212" s="145"/>
      <c r="NPR212" s="145"/>
      <c r="NPS212" s="146"/>
      <c r="NPT212" s="142"/>
      <c r="NPU212" s="143"/>
      <c r="NPV212" s="144"/>
      <c r="NPW212" s="124"/>
      <c r="NPX212" s="145"/>
      <c r="NPY212" s="145"/>
      <c r="NPZ212" s="146"/>
      <c r="NQA212" s="142"/>
      <c r="NQB212" s="143"/>
      <c r="NQC212" s="144"/>
      <c r="NQD212" s="124"/>
      <c r="NQE212" s="145"/>
      <c r="NQF212" s="145"/>
      <c r="NQG212" s="146"/>
      <c r="NQH212" s="142"/>
      <c r="NQI212" s="143"/>
      <c r="NQJ212" s="144"/>
      <c r="NQK212" s="124"/>
      <c r="NQL212" s="145"/>
      <c r="NQM212" s="145"/>
      <c r="NQN212" s="146"/>
      <c r="NQO212" s="142"/>
      <c r="NQP212" s="143"/>
      <c r="NQQ212" s="144"/>
      <c r="NQR212" s="124"/>
      <c r="NQS212" s="145"/>
      <c r="NQT212" s="145"/>
      <c r="NQU212" s="146"/>
      <c r="NQV212" s="142"/>
      <c r="NQW212" s="143"/>
      <c r="NQX212" s="144"/>
      <c r="NQY212" s="124"/>
      <c r="NQZ212" s="145"/>
      <c r="NRA212" s="145"/>
      <c r="NRB212" s="146"/>
      <c r="NRC212" s="142"/>
      <c r="NRD212" s="143"/>
      <c r="NRE212" s="144"/>
      <c r="NRF212" s="124"/>
      <c r="NRG212" s="145"/>
      <c r="NRH212" s="145"/>
      <c r="NRI212" s="146"/>
      <c r="NRJ212" s="142"/>
      <c r="NRK212" s="143"/>
      <c r="NRL212" s="144"/>
      <c r="NRM212" s="124"/>
      <c r="NRN212" s="145"/>
      <c r="NRO212" s="145"/>
      <c r="NRP212" s="146"/>
      <c r="NRQ212" s="142"/>
      <c r="NRR212" s="143"/>
      <c r="NRS212" s="144"/>
      <c r="NRT212" s="124"/>
      <c r="NRU212" s="145"/>
      <c r="NRV212" s="145"/>
      <c r="NRW212" s="146"/>
      <c r="NRX212" s="142"/>
      <c r="NRY212" s="143"/>
      <c r="NRZ212" s="144"/>
      <c r="NSA212" s="124"/>
      <c r="NSB212" s="145"/>
      <c r="NSC212" s="145"/>
      <c r="NSD212" s="146"/>
      <c r="NSE212" s="142"/>
      <c r="NSF212" s="143"/>
      <c r="NSG212" s="144"/>
      <c r="NSH212" s="124"/>
      <c r="NSI212" s="145"/>
      <c r="NSJ212" s="145"/>
      <c r="NSK212" s="146"/>
      <c r="NSL212" s="142"/>
      <c r="NSM212" s="143"/>
      <c r="NSN212" s="144"/>
      <c r="NSO212" s="124"/>
      <c r="NSP212" s="145"/>
      <c r="NSQ212" s="145"/>
      <c r="NSR212" s="146"/>
      <c r="NSS212" s="142"/>
      <c r="NST212" s="143"/>
      <c r="NSU212" s="144"/>
      <c r="NSV212" s="124"/>
      <c r="NSW212" s="145"/>
      <c r="NSX212" s="145"/>
      <c r="NSY212" s="146"/>
      <c r="NSZ212" s="142"/>
      <c r="NTA212" s="143"/>
      <c r="NTB212" s="144"/>
      <c r="NTC212" s="124"/>
      <c r="NTD212" s="145"/>
      <c r="NTE212" s="145"/>
      <c r="NTF212" s="146"/>
      <c r="NTG212" s="142"/>
      <c r="NTH212" s="143"/>
      <c r="NTI212" s="144"/>
      <c r="NTJ212" s="124"/>
      <c r="NTK212" s="145"/>
      <c r="NTL212" s="145"/>
      <c r="NTM212" s="146"/>
      <c r="NTN212" s="142"/>
      <c r="NTO212" s="143"/>
      <c r="NTP212" s="144"/>
      <c r="NTQ212" s="124"/>
      <c r="NTR212" s="145"/>
      <c r="NTS212" s="145"/>
      <c r="NTT212" s="146"/>
      <c r="NTU212" s="142"/>
      <c r="NTV212" s="143"/>
      <c r="NTW212" s="144"/>
      <c r="NTX212" s="124"/>
      <c r="NTY212" s="145"/>
      <c r="NTZ212" s="145"/>
      <c r="NUA212" s="146"/>
      <c r="NUB212" s="142"/>
      <c r="NUC212" s="143"/>
      <c r="NUD212" s="144"/>
      <c r="NUE212" s="124"/>
      <c r="NUF212" s="145"/>
      <c r="NUG212" s="145"/>
      <c r="NUH212" s="146"/>
      <c r="NUI212" s="142"/>
      <c r="NUJ212" s="143"/>
      <c r="NUK212" s="144"/>
      <c r="NUL212" s="124"/>
      <c r="NUM212" s="145"/>
      <c r="NUN212" s="145"/>
      <c r="NUO212" s="146"/>
      <c r="NUP212" s="142"/>
      <c r="NUQ212" s="143"/>
      <c r="NUR212" s="144"/>
      <c r="NUS212" s="124"/>
      <c r="NUT212" s="145"/>
      <c r="NUU212" s="145"/>
      <c r="NUV212" s="146"/>
      <c r="NUW212" s="142"/>
      <c r="NUX212" s="143"/>
      <c r="NUY212" s="144"/>
      <c r="NUZ212" s="124"/>
      <c r="NVA212" s="145"/>
      <c r="NVB212" s="145"/>
      <c r="NVC212" s="146"/>
      <c r="NVD212" s="142"/>
      <c r="NVE212" s="143"/>
      <c r="NVF212" s="144"/>
      <c r="NVG212" s="124"/>
      <c r="NVH212" s="145"/>
      <c r="NVI212" s="145"/>
      <c r="NVJ212" s="146"/>
      <c r="NVK212" s="142"/>
      <c r="NVL212" s="143"/>
      <c r="NVM212" s="144"/>
      <c r="NVN212" s="124"/>
      <c r="NVO212" s="145"/>
      <c r="NVP212" s="145"/>
      <c r="NVQ212" s="146"/>
      <c r="NVR212" s="142"/>
      <c r="NVS212" s="143"/>
      <c r="NVT212" s="144"/>
      <c r="NVU212" s="124"/>
      <c r="NVV212" s="145"/>
      <c r="NVW212" s="145"/>
      <c r="NVX212" s="146"/>
      <c r="NVY212" s="142"/>
      <c r="NVZ212" s="143"/>
      <c r="NWA212" s="144"/>
      <c r="NWB212" s="124"/>
      <c r="NWC212" s="145"/>
      <c r="NWD212" s="145"/>
      <c r="NWE212" s="146"/>
      <c r="NWF212" s="142"/>
      <c r="NWG212" s="143"/>
      <c r="NWH212" s="144"/>
      <c r="NWI212" s="124"/>
      <c r="NWJ212" s="145"/>
      <c r="NWK212" s="145"/>
      <c r="NWL212" s="146"/>
      <c r="NWM212" s="142"/>
      <c r="NWN212" s="143"/>
      <c r="NWO212" s="144"/>
      <c r="NWP212" s="124"/>
      <c r="NWQ212" s="145"/>
      <c r="NWR212" s="145"/>
      <c r="NWS212" s="146"/>
      <c r="NWT212" s="142"/>
      <c r="NWU212" s="143"/>
      <c r="NWV212" s="144"/>
      <c r="NWW212" s="124"/>
      <c r="NWX212" s="145"/>
      <c r="NWY212" s="145"/>
      <c r="NWZ212" s="146"/>
      <c r="NXA212" s="142"/>
      <c r="NXB212" s="143"/>
      <c r="NXC212" s="144"/>
      <c r="NXD212" s="124"/>
      <c r="NXE212" s="145"/>
      <c r="NXF212" s="145"/>
      <c r="NXG212" s="146"/>
      <c r="NXH212" s="142"/>
      <c r="NXI212" s="143"/>
      <c r="NXJ212" s="144"/>
      <c r="NXK212" s="124"/>
      <c r="NXL212" s="145"/>
      <c r="NXM212" s="145"/>
      <c r="NXN212" s="146"/>
      <c r="NXO212" s="142"/>
      <c r="NXP212" s="143"/>
      <c r="NXQ212" s="144"/>
      <c r="NXR212" s="124"/>
      <c r="NXS212" s="145"/>
      <c r="NXT212" s="145"/>
      <c r="NXU212" s="146"/>
      <c r="NXV212" s="142"/>
      <c r="NXW212" s="143"/>
      <c r="NXX212" s="144"/>
      <c r="NXY212" s="124"/>
      <c r="NXZ212" s="145"/>
      <c r="NYA212" s="145"/>
      <c r="NYB212" s="146"/>
      <c r="NYC212" s="142"/>
      <c r="NYD212" s="143"/>
      <c r="NYE212" s="144"/>
      <c r="NYF212" s="124"/>
      <c r="NYG212" s="145"/>
      <c r="NYH212" s="145"/>
      <c r="NYI212" s="146"/>
      <c r="NYJ212" s="142"/>
      <c r="NYK212" s="143"/>
      <c r="NYL212" s="144"/>
      <c r="NYM212" s="124"/>
      <c r="NYN212" s="145"/>
      <c r="NYO212" s="145"/>
      <c r="NYP212" s="146"/>
      <c r="NYQ212" s="142"/>
      <c r="NYR212" s="143"/>
      <c r="NYS212" s="144"/>
      <c r="NYT212" s="124"/>
      <c r="NYU212" s="145"/>
      <c r="NYV212" s="145"/>
      <c r="NYW212" s="146"/>
      <c r="NYX212" s="142"/>
      <c r="NYY212" s="143"/>
      <c r="NYZ212" s="144"/>
      <c r="NZA212" s="124"/>
      <c r="NZB212" s="145"/>
      <c r="NZC212" s="145"/>
      <c r="NZD212" s="146"/>
      <c r="NZE212" s="142"/>
      <c r="NZF212" s="143"/>
      <c r="NZG212" s="144"/>
      <c r="NZH212" s="124"/>
      <c r="NZI212" s="145"/>
      <c r="NZJ212" s="145"/>
      <c r="NZK212" s="146"/>
      <c r="NZL212" s="142"/>
      <c r="NZM212" s="143"/>
      <c r="NZN212" s="144"/>
      <c r="NZO212" s="124"/>
      <c r="NZP212" s="145"/>
      <c r="NZQ212" s="145"/>
      <c r="NZR212" s="146"/>
      <c r="NZS212" s="142"/>
      <c r="NZT212" s="143"/>
      <c r="NZU212" s="144"/>
      <c r="NZV212" s="124"/>
      <c r="NZW212" s="145"/>
      <c r="NZX212" s="145"/>
      <c r="NZY212" s="146"/>
      <c r="NZZ212" s="142"/>
      <c r="OAA212" s="143"/>
      <c r="OAB212" s="144"/>
      <c r="OAC212" s="124"/>
      <c r="OAD212" s="145"/>
      <c r="OAE212" s="145"/>
      <c r="OAF212" s="146"/>
      <c r="OAG212" s="142"/>
      <c r="OAH212" s="143"/>
      <c r="OAI212" s="144"/>
      <c r="OAJ212" s="124"/>
      <c r="OAK212" s="145"/>
      <c r="OAL212" s="145"/>
      <c r="OAM212" s="146"/>
      <c r="OAN212" s="142"/>
      <c r="OAO212" s="143"/>
      <c r="OAP212" s="144"/>
      <c r="OAQ212" s="124"/>
      <c r="OAR212" s="145"/>
      <c r="OAS212" s="145"/>
      <c r="OAT212" s="146"/>
      <c r="OAU212" s="142"/>
      <c r="OAV212" s="143"/>
      <c r="OAW212" s="144"/>
      <c r="OAX212" s="124"/>
      <c r="OAY212" s="145"/>
      <c r="OAZ212" s="145"/>
      <c r="OBA212" s="146"/>
      <c r="OBB212" s="142"/>
      <c r="OBC212" s="143"/>
      <c r="OBD212" s="144"/>
      <c r="OBE212" s="124"/>
      <c r="OBF212" s="145"/>
      <c r="OBG212" s="145"/>
      <c r="OBH212" s="146"/>
      <c r="OBI212" s="142"/>
      <c r="OBJ212" s="143"/>
      <c r="OBK212" s="144"/>
      <c r="OBL212" s="124"/>
      <c r="OBM212" s="145"/>
      <c r="OBN212" s="145"/>
      <c r="OBO212" s="146"/>
      <c r="OBP212" s="142"/>
      <c r="OBQ212" s="143"/>
      <c r="OBR212" s="144"/>
      <c r="OBS212" s="124"/>
      <c r="OBT212" s="145"/>
      <c r="OBU212" s="145"/>
      <c r="OBV212" s="146"/>
      <c r="OBW212" s="142"/>
      <c r="OBX212" s="143"/>
      <c r="OBY212" s="144"/>
      <c r="OBZ212" s="124"/>
      <c r="OCA212" s="145"/>
      <c r="OCB212" s="145"/>
      <c r="OCC212" s="146"/>
      <c r="OCD212" s="142"/>
      <c r="OCE212" s="143"/>
      <c r="OCF212" s="144"/>
      <c r="OCG212" s="124"/>
      <c r="OCH212" s="145"/>
      <c r="OCI212" s="145"/>
      <c r="OCJ212" s="146"/>
      <c r="OCK212" s="142"/>
      <c r="OCL212" s="143"/>
      <c r="OCM212" s="144"/>
      <c r="OCN212" s="124"/>
      <c r="OCO212" s="145"/>
      <c r="OCP212" s="145"/>
      <c r="OCQ212" s="146"/>
      <c r="OCR212" s="142"/>
      <c r="OCS212" s="143"/>
      <c r="OCT212" s="144"/>
      <c r="OCU212" s="124"/>
      <c r="OCV212" s="145"/>
      <c r="OCW212" s="145"/>
      <c r="OCX212" s="146"/>
      <c r="OCY212" s="142"/>
      <c r="OCZ212" s="143"/>
      <c r="ODA212" s="144"/>
      <c r="ODB212" s="124"/>
      <c r="ODC212" s="145"/>
      <c r="ODD212" s="145"/>
      <c r="ODE212" s="146"/>
      <c r="ODF212" s="142"/>
      <c r="ODG212" s="143"/>
      <c r="ODH212" s="144"/>
      <c r="ODI212" s="124"/>
      <c r="ODJ212" s="145"/>
      <c r="ODK212" s="145"/>
      <c r="ODL212" s="146"/>
      <c r="ODM212" s="142"/>
      <c r="ODN212" s="143"/>
      <c r="ODO212" s="144"/>
      <c r="ODP212" s="124"/>
      <c r="ODQ212" s="145"/>
      <c r="ODR212" s="145"/>
      <c r="ODS212" s="146"/>
      <c r="ODT212" s="142"/>
      <c r="ODU212" s="143"/>
      <c r="ODV212" s="144"/>
      <c r="ODW212" s="124"/>
      <c r="ODX212" s="145"/>
      <c r="ODY212" s="145"/>
      <c r="ODZ212" s="146"/>
      <c r="OEA212" s="142"/>
      <c r="OEB212" s="143"/>
      <c r="OEC212" s="144"/>
      <c r="OED212" s="124"/>
      <c r="OEE212" s="145"/>
      <c r="OEF212" s="145"/>
      <c r="OEG212" s="146"/>
      <c r="OEH212" s="142"/>
      <c r="OEI212" s="143"/>
      <c r="OEJ212" s="144"/>
      <c r="OEK212" s="124"/>
      <c r="OEL212" s="145"/>
      <c r="OEM212" s="145"/>
      <c r="OEN212" s="146"/>
      <c r="OEO212" s="142"/>
      <c r="OEP212" s="143"/>
      <c r="OEQ212" s="144"/>
      <c r="OER212" s="124"/>
      <c r="OES212" s="145"/>
      <c r="OET212" s="145"/>
      <c r="OEU212" s="146"/>
      <c r="OEV212" s="142"/>
      <c r="OEW212" s="143"/>
      <c r="OEX212" s="144"/>
      <c r="OEY212" s="124"/>
      <c r="OEZ212" s="145"/>
      <c r="OFA212" s="145"/>
      <c r="OFB212" s="146"/>
      <c r="OFC212" s="142"/>
      <c r="OFD212" s="143"/>
      <c r="OFE212" s="144"/>
      <c r="OFF212" s="124"/>
      <c r="OFG212" s="145"/>
      <c r="OFH212" s="145"/>
      <c r="OFI212" s="146"/>
      <c r="OFJ212" s="142"/>
      <c r="OFK212" s="143"/>
      <c r="OFL212" s="144"/>
      <c r="OFM212" s="124"/>
      <c r="OFN212" s="145"/>
      <c r="OFO212" s="145"/>
      <c r="OFP212" s="146"/>
      <c r="OFQ212" s="142"/>
      <c r="OFR212" s="143"/>
      <c r="OFS212" s="144"/>
      <c r="OFT212" s="124"/>
      <c r="OFU212" s="145"/>
      <c r="OFV212" s="145"/>
      <c r="OFW212" s="146"/>
      <c r="OFX212" s="142"/>
      <c r="OFY212" s="143"/>
      <c r="OFZ212" s="144"/>
      <c r="OGA212" s="124"/>
      <c r="OGB212" s="145"/>
      <c r="OGC212" s="145"/>
      <c r="OGD212" s="146"/>
      <c r="OGE212" s="142"/>
      <c r="OGF212" s="143"/>
      <c r="OGG212" s="144"/>
      <c r="OGH212" s="124"/>
      <c r="OGI212" s="145"/>
      <c r="OGJ212" s="145"/>
      <c r="OGK212" s="146"/>
      <c r="OGL212" s="142"/>
      <c r="OGM212" s="143"/>
      <c r="OGN212" s="144"/>
      <c r="OGO212" s="124"/>
      <c r="OGP212" s="145"/>
      <c r="OGQ212" s="145"/>
      <c r="OGR212" s="146"/>
      <c r="OGS212" s="142"/>
      <c r="OGT212" s="143"/>
      <c r="OGU212" s="144"/>
      <c r="OGV212" s="124"/>
      <c r="OGW212" s="145"/>
      <c r="OGX212" s="145"/>
      <c r="OGY212" s="146"/>
      <c r="OGZ212" s="142"/>
      <c r="OHA212" s="143"/>
      <c r="OHB212" s="144"/>
      <c r="OHC212" s="124"/>
      <c r="OHD212" s="145"/>
      <c r="OHE212" s="145"/>
      <c r="OHF212" s="146"/>
      <c r="OHG212" s="142"/>
      <c r="OHH212" s="143"/>
      <c r="OHI212" s="144"/>
      <c r="OHJ212" s="124"/>
      <c r="OHK212" s="145"/>
      <c r="OHL212" s="145"/>
      <c r="OHM212" s="146"/>
      <c r="OHN212" s="142"/>
      <c r="OHO212" s="143"/>
      <c r="OHP212" s="144"/>
      <c r="OHQ212" s="124"/>
      <c r="OHR212" s="145"/>
      <c r="OHS212" s="145"/>
      <c r="OHT212" s="146"/>
      <c r="OHU212" s="142"/>
      <c r="OHV212" s="143"/>
      <c r="OHW212" s="144"/>
      <c r="OHX212" s="124"/>
      <c r="OHY212" s="145"/>
      <c r="OHZ212" s="145"/>
      <c r="OIA212" s="146"/>
      <c r="OIB212" s="142"/>
      <c r="OIC212" s="143"/>
      <c r="OID212" s="144"/>
      <c r="OIE212" s="124"/>
      <c r="OIF212" s="145"/>
      <c r="OIG212" s="145"/>
      <c r="OIH212" s="146"/>
      <c r="OII212" s="142"/>
      <c r="OIJ212" s="143"/>
      <c r="OIK212" s="144"/>
      <c r="OIL212" s="124"/>
      <c r="OIM212" s="145"/>
      <c r="OIN212" s="145"/>
      <c r="OIO212" s="146"/>
      <c r="OIP212" s="142"/>
      <c r="OIQ212" s="143"/>
      <c r="OIR212" s="144"/>
      <c r="OIS212" s="124"/>
      <c r="OIT212" s="145"/>
      <c r="OIU212" s="145"/>
      <c r="OIV212" s="146"/>
      <c r="OIW212" s="142"/>
      <c r="OIX212" s="143"/>
      <c r="OIY212" s="144"/>
      <c r="OIZ212" s="124"/>
      <c r="OJA212" s="145"/>
      <c r="OJB212" s="145"/>
      <c r="OJC212" s="146"/>
      <c r="OJD212" s="142"/>
      <c r="OJE212" s="143"/>
      <c r="OJF212" s="144"/>
      <c r="OJG212" s="124"/>
      <c r="OJH212" s="145"/>
      <c r="OJI212" s="145"/>
      <c r="OJJ212" s="146"/>
      <c r="OJK212" s="142"/>
      <c r="OJL212" s="143"/>
      <c r="OJM212" s="144"/>
      <c r="OJN212" s="124"/>
      <c r="OJO212" s="145"/>
      <c r="OJP212" s="145"/>
      <c r="OJQ212" s="146"/>
      <c r="OJR212" s="142"/>
      <c r="OJS212" s="143"/>
      <c r="OJT212" s="144"/>
      <c r="OJU212" s="124"/>
      <c r="OJV212" s="145"/>
      <c r="OJW212" s="145"/>
      <c r="OJX212" s="146"/>
      <c r="OJY212" s="142"/>
      <c r="OJZ212" s="143"/>
      <c r="OKA212" s="144"/>
      <c r="OKB212" s="124"/>
      <c r="OKC212" s="145"/>
      <c r="OKD212" s="145"/>
      <c r="OKE212" s="146"/>
      <c r="OKF212" s="142"/>
      <c r="OKG212" s="143"/>
      <c r="OKH212" s="144"/>
      <c r="OKI212" s="124"/>
      <c r="OKJ212" s="145"/>
      <c r="OKK212" s="145"/>
      <c r="OKL212" s="146"/>
      <c r="OKM212" s="142"/>
      <c r="OKN212" s="143"/>
      <c r="OKO212" s="144"/>
      <c r="OKP212" s="124"/>
      <c r="OKQ212" s="145"/>
      <c r="OKR212" s="145"/>
      <c r="OKS212" s="146"/>
      <c r="OKT212" s="142"/>
      <c r="OKU212" s="143"/>
      <c r="OKV212" s="144"/>
      <c r="OKW212" s="124"/>
      <c r="OKX212" s="145"/>
      <c r="OKY212" s="145"/>
      <c r="OKZ212" s="146"/>
      <c r="OLA212" s="142"/>
      <c r="OLB212" s="143"/>
      <c r="OLC212" s="144"/>
      <c r="OLD212" s="124"/>
      <c r="OLE212" s="145"/>
      <c r="OLF212" s="145"/>
      <c r="OLG212" s="146"/>
      <c r="OLH212" s="142"/>
      <c r="OLI212" s="143"/>
      <c r="OLJ212" s="144"/>
      <c r="OLK212" s="124"/>
      <c r="OLL212" s="145"/>
      <c r="OLM212" s="145"/>
      <c r="OLN212" s="146"/>
      <c r="OLO212" s="142"/>
      <c r="OLP212" s="143"/>
      <c r="OLQ212" s="144"/>
      <c r="OLR212" s="124"/>
      <c r="OLS212" s="145"/>
      <c r="OLT212" s="145"/>
      <c r="OLU212" s="146"/>
      <c r="OLV212" s="142"/>
      <c r="OLW212" s="143"/>
      <c r="OLX212" s="144"/>
      <c r="OLY212" s="124"/>
      <c r="OLZ212" s="145"/>
      <c r="OMA212" s="145"/>
      <c r="OMB212" s="146"/>
      <c r="OMC212" s="142"/>
      <c r="OMD212" s="143"/>
      <c r="OME212" s="144"/>
      <c r="OMF212" s="124"/>
      <c r="OMG212" s="145"/>
      <c r="OMH212" s="145"/>
      <c r="OMI212" s="146"/>
      <c r="OMJ212" s="142"/>
      <c r="OMK212" s="143"/>
      <c r="OML212" s="144"/>
      <c r="OMM212" s="124"/>
      <c r="OMN212" s="145"/>
      <c r="OMO212" s="145"/>
      <c r="OMP212" s="146"/>
      <c r="OMQ212" s="142"/>
      <c r="OMR212" s="143"/>
      <c r="OMS212" s="144"/>
      <c r="OMT212" s="124"/>
      <c r="OMU212" s="145"/>
      <c r="OMV212" s="145"/>
      <c r="OMW212" s="146"/>
      <c r="OMX212" s="142"/>
      <c r="OMY212" s="143"/>
      <c r="OMZ212" s="144"/>
      <c r="ONA212" s="124"/>
      <c r="ONB212" s="145"/>
      <c r="ONC212" s="145"/>
      <c r="OND212" s="146"/>
      <c r="ONE212" s="142"/>
      <c r="ONF212" s="143"/>
      <c r="ONG212" s="144"/>
      <c r="ONH212" s="124"/>
      <c r="ONI212" s="145"/>
      <c r="ONJ212" s="145"/>
      <c r="ONK212" s="146"/>
      <c r="ONL212" s="142"/>
      <c r="ONM212" s="143"/>
      <c r="ONN212" s="144"/>
      <c r="ONO212" s="124"/>
      <c r="ONP212" s="145"/>
      <c r="ONQ212" s="145"/>
      <c r="ONR212" s="146"/>
      <c r="ONS212" s="142"/>
      <c r="ONT212" s="143"/>
      <c r="ONU212" s="144"/>
      <c r="ONV212" s="124"/>
      <c r="ONW212" s="145"/>
      <c r="ONX212" s="145"/>
      <c r="ONY212" s="146"/>
      <c r="ONZ212" s="142"/>
      <c r="OOA212" s="143"/>
      <c r="OOB212" s="144"/>
      <c r="OOC212" s="124"/>
      <c r="OOD212" s="145"/>
      <c r="OOE212" s="145"/>
      <c r="OOF212" s="146"/>
      <c r="OOG212" s="142"/>
      <c r="OOH212" s="143"/>
      <c r="OOI212" s="144"/>
      <c r="OOJ212" s="124"/>
      <c r="OOK212" s="145"/>
      <c r="OOL212" s="145"/>
      <c r="OOM212" s="146"/>
      <c r="OON212" s="142"/>
      <c r="OOO212" s="143"/>
      <c r="OOP212" s="144"/>
      <c r="OOQ212" s="124"/>
      <c r="OOR212" s="145"/>
      <c r="OOS212" s="145"/>
      <c r="OOT212" s="146"/>
      <c r="OOU212" s="142"/>
      <c r="OOV212" s="143"/>
      <c r="OOW212" s="144"/>
      <c r="OOX212" s="124"/>
      <c r="OOY212" s="145"/>
      <c r="OOZ212" s="145"/>
      <c r="OPA212" s="146"/>
      <c r="OPB212" s="142"/>
      <c r="OPC212" s="143"/>
      <c r="OPD212" s="144"/>
      <c r="OPE212" s="124"/>
      <c r="OPF212" s="145"/>
      <c r="OPG212" s="145"/>
      <c r="OPH212" s="146"/>
      <c r="OPI212" s="142"/>
      <c r="OPJ212" s="143"/>
      <c r="OPK212" s="144"/>
      <c r="OPL212" s="124"/>
      <c r="OPM212" s="145"/>
      <c r="OPN212" s="145"/>
      <c r="OPO212" s="146"/>
      <c r="OPP212" s="142"/>
      <c r="OPQ212" s="143"/>
      <c r="OPR212" s="144"/>
      <c r="OPS212" s="124"/>
      <c r="OPT212" s="145"/>
      <c r="OPU212" s="145"/>
      <c r="OPV212" s="146"/>
      <c r="OPW212" s="142"/>
      <c r="OPX212" s="143"/>
      <c r="OPY212" s="144"/>
      <c r="OPZ212" s="124"/>
      <c r="OQA212" s="145"/>
      <c r="OQB212" s="145"/>
      <c r="OQC212" s="146"/>
      <c r="OQD212" s="142"/>
      <c r="OQE212" s="143"/>
      <c r="OQF212" s="144"/>
      <c r="OQG212" s="124"/>
      <c r="OQH212" s="145"/>
      <c r="OQI212" s="145"/>
      <c r="OQJ212" s="146"/>
      <c r="OQK212" s="142"/>
      <c r="OQL212" s="143"/>
      <c r="OQM212" s="144"/>
      <c r="OQN212" s="124"/>
      <c r="OQO212" s="145"/>
      <c r="OQP212" s="145"/>
      <c r="OQQ212" s="146"/>
      <c r="OQR212" s="142"/>
      <c r="OQS212" s="143"/>
      <c r="OQT212" s="144"/>
      <c r="OQU212" s="124"/>
      <c r="OQV212" s="145"/>
      <c r="OQW212" s="145"/>
      <c r="OQX212" s="146"/>
      <c r="OQY212" s="142"/>
      <c r="OQZ212" s="143"/>
      <c r="ORA212" s="144"/>
      <c r="ORB212" s="124"/>
      <c r="ORC212" s="145"/>
      <c r="ORD212" s="145"/>
      <c r="ORE212" s="146"/>
      <c r="ORF212" s="142"/>
      <c r="ORG212" s="143"/>
      <c r="ORH212" s="144"/>
      <c r="ORI212" s="124"/>
      <c r="ORJ212" s="145"/>
      <c r="ORK212" s="145"/>
      <c r="ORL212" s="146"/>
      <c r="ORM212" s="142"/>
      <c r="ORN212" s="143"/>
      <c r="ORO212" s="144"/>
      <c r="ORP212" s="124"/>
      <c r="ORQ212" s="145"/>
      <c r="ORR212" s="145"/>
      <c r="ORS212" s="146"/>
      <c r="ORT212" s="142"/>
      <c r="ORU212" s="143"/>
      <c r="ORV212" s="144"/>
      <c r="ORW212" s="124"/>
      <c r="ORX212" s="145"/>
      <c r="ORY212" s="145"/>
      <c r="ORZ212" s="146"/>
      <c r="OSA212" s="142"/>
      <c r="OSB212" s="143"/>
      <c r="OSC212" s="144"/>
      <c r="OSD212" s="124"/>
      <c r="OSE212" s="145"/>
      <c r="OSF212" s="145"/>
      <c r="OSG212" s="146"/>
      <c r="OSH212" s="142"/>
      <c r="OSI212" s="143"/>
      <c r="OSJ212" s="144"/>
      <c r="OSK212" s="124"/>
      <c r="OSL212" s="145"/>
      <c r="OSM212" s="145"/>
      <c r="OSN212" s="146"/>
      <c r="OSO212" s="142"/>
      <c r="OSP212" s="143"/>
      <c r="OSQ212" s="144"/>
      <c r="OSR212" s="124"/>
      <c r="OSS212" s="145"/>
      <c r="OST212" s="145"/>
      <c r="OSU212" s="146"/>
      <c r="OSV212" s="142"/>
      <c r="OSW212" s="143"/>
      <c r="OSX212" s="144"/>
      <c r="OSY212" s="124"/>
      <c r="OSZ212" s="145"/>
      <c r="OTA212" s="145"/>
      <c r="OTB212" s="146"/>
      <c r="OTC212" s="142"/>
      <c r="OTD212" s="143"/>
      <c r="OTE212" s="144"/>
      <c r="OTF212" s="124"/>
      <c r="OTG212" s="145"/>
      <c r="OTH212" s="145"/>
      <c r="OTI212" s="146"/>
      <c r="OTJ212" s="142"/>
      <c r="OTK212" s="143"/>
      <c r="OTL212" s="144"/>
      <c r="OTM212" s="124"/>
      <c r="OTN212" s="145"/>
      <c r="OTO212" s="145"/>
      <c r="OTP212" s="146"/>
      <c r="OTQ212" s="142"/>
      <c r="OTR212" s="143"/>
      <c r="OTS212" s="144"/>
      <c r="OTT212" s="124"/>
      <c r="OTU212" s="145"/>
      <c r="OTV212" s="145"/>
      <c r="OTW212" s="146"/>
      <c r="OTX212" s="142"/>
      <c r="OTY212" s="143"/>
      <c r="OTZ212" s="144"/>
      <c r="OUA212" s="124"/>
      <c r="OUB212" s="145"/>
      <c r="OUC212" s="145"/>
      <c r="OUD212" s="146"/>
      <c r="OUE212" s="142"/>
      <c r="OUF212" s="143"/>
      <c r="OUG212" s="144"/>
      <c r="OUH212" s="124"/>
      <c r="OUI212" s="145"/>
      <c r="OUJ212" s="145"/>
      <c r="OUK212" s="146"/>
      <c r="OUL212" s="142"/>
      <c r="OUM212" s="143"/>
      <c r="OUN212" s="144"/>
      <c r="OUO212" s="124"/>
      <c r="OUP212" s="145"/>
      <c r="OUQ212" s="145"/>
      <c r="OUR212" s="146"/>
      <c r="OUS212" s="142"/>
      <c r="OUT212" s="143"/>
      <c r="OUU212" s="144"/>
      <c r="OUV212" s="124"/>
      <c r="OUW212" s="145"/>
      <c r="OUX212" s="145"/>
      <c r="OUY212" s="146"/>
      <c r="OUZ212" s="142"/>
      <c r="OVA212" s="143"/>
      <c r="OVB212" s="144"/>
      <c r="OVC212" s="124"/>
      <c r="OVD212" s="145"/>
      <c r="OVE212" s="145"/>
      <c r="OVF212" s="146"/>
      <c r="OVG212" s="142"/>
      <c r="OVH212" s="143"/>
      <c r="OVI212" s="144"/>
      <c r="OVJ212" s="124"/>
      <c r="OVK212" s="145"/>
      <c r="OVL212" s="145"/>
      <c r="OVM212" s="146"/>
      <c r="OVN212" s="142"/>
      <c r="OVO212" s="143"/>
      <c r="OVP212" s="144"/>
      <c r="OVQ212" s="124"/>
      <c r="OVR212" s="145"/>
      <c r="OVS212" s="145"/>
      <c r="OVT212" s="146"/>
      <c r="OVU212" s="142"/>
      <c r="OVV212" s="143"/>
      <c r="OVW212" s="144"/>
      <c r="OVX212" s="124"/>
      <c r="OVY212" s="145"/>
      <c r="OVZ212" s="145"/>
      <c r="OWA212" s="146"/>
      <c r="OWB212" s="142"/>
      <c r="OWC212" s="143"/>
      <c r="OWD212" s="144"/>
      <c r="OWE212" s="124"/>
      <c r="OWF212" s="145"/>
      <c r="OWG212" s="145"/>
      <c r="OWH212" s="146"/>
      <c r="OWI212" s="142"/>
      <c r="OWJ212" s="143"/>
      <c r="OWK212" s="144"/>
      <c r="OWL212" s="124"/>
      <c r="OWM212" s="145"/>
      <c r="OWN212" s="145"/>
      <c r="OWO212" s="146"/>
      <c r="OWP212" s="142"/>
      <c r="OWQ212" s="143"/>
      <c r="OWR212" s="144"/>
      <c r="OWS212" s="124"/>
      <c r="OWT212" s="145"/>
      <c r="OWU212" s="145"/>
      <c r="OWV212" s="146"/>
      <c r="OWW212" s="142"/>
      <c r="OWX212" s="143"/>
      <c r="OWY212" s="144"/>
      <c r="OWZ212" s="124"/>
      <c r="OXA212" s="145"/>
      <c r="OXB212" s="145"/>
      <c r="OXC212" s="146"/>
      <c r="OXD212" s="142"/>
      <c r="OXE212" s="143"/>
      <c r="OXF212" s="144"/>
      <c r="OXG212" s="124"/>
      <c r="OXH212" s="145"/>
      <c r="OXI212" s="145"/>
      <c r="OXJ212" s="146"/>
      <c r="OXK212" s="142"/>
      <c r="OXL212" s="143"/>
      <c r="OXM212" s="144"/>
      <c r="OXN212" s="124"/>
      <c r="OXO212" s="145"/>
      <c r="OXP212" s="145"/>
      <c r="OXQ212" s="146"/>
      <c r="OXR212" s="142"/>
      <c r="OXS212" s="143"/>
      <c r="OXT212" s="144"/>
      <c r="OXU212" s="124"/>
      <c r="OXV212" s="145"/>
      <c r="OXW212" s="145"/>
      <c r="OXX212" s="146"/>
      <c r="OXY212" s="142"/>
      <c r="OXZ212" s="143"/>
      <c r="OYA212" s="144"/>
      <c r="OYB212" s="124"/>
      <c r="OYC212" s="145"/>
      <c r="OYD212" s="145"/>
      <c r="OYE212" s="146"/>
      <c r="OYF212" s="142"/>
      <c r="OYG212" s="143"/>
      <c r="OYH212" s="144"/>
      <c r="OYI212" s="124"/>
      <c r="OYJ212" s="145"/>
      <c r="OYK212" s="145"/>
      <c r="OYL212" s="146"/>
      <c r="OYM212" s="142"/>
      <c r="OYN212" s="143"/>
      <c r="OYO212" s="144"/>
      <c r="OYP212" s="124"/>
      <c r="OYQ212" s="145"/>
      <c r="OYR212" s="145"/>
      <c r="OYS212" s="146"/>
      <c r="OYT212" s="142"/>
      <c r="OYU212" s="143"/>
      <c r="OYV212" s="144"/>
      <c r="OYW212" s="124"/>
      <c r="OYX212" s="145"/>
      <c r="OYY212" s="145"/>
      <c r="OYZ212" s="146"/>
      <c r="OZA212" s="142"/>
      <c r="OZB212" s="143"/>
      <c r="OZC212" s="144"/>
      <c r="OZD212" s="124"/>
      <c r="OZE212" s="145"/>
      <c r="OZF212" s="145"/>
      <c r="OZG212" s="146"/>
      <c r="OZH212" s="142"/>
      <c r="OZI212" s="143"/>
      <c r="OZJ212" s="144"/>
      <c r="OZK212" s="124"/>
      <c r="OZL212" s="145"/>
      <c r="OZM212" s="145"/>
      <c r="OZN212" s="146"/>
      <c r="OZO212" s="142"/>
      <c r="OZP212" s="143"/>
      <c r="OZQ212" s="144"/>
      <c r="OZR212" s="124"/>
      <c r="OZS212" s="145"/>
      <c r="OZT212" s="145"/>
      <c r="OZU212" s="146"/>
      <c r="OZV212" s="142"/>
      <c r="OZW212" s="143"/>
      <c r="OZX212" s="144"/>
      <c r="OZY212" s="124"/>
      <c r="OZZ212" s="145"/>
      <c r="PAA212" s="145"/>
      <c r="PAB212" s="146"/>
      <c r="PAC212" s="142"/>
      <c r="PAD212" s="143"/>
      <c r="PAE212" s="144"/>
      <c r="PAF212" s="124"/>
      <c r="PAG212" s="145"/>
      <c r="PAH212" s="145"/>
      <c r="PAI212" s="146"/>
      <c r="PAJ212" s="142"/>
      <c r="PAK212" s="143"/>
      <c r="PAL212" s="144"/>
      <c r="PAM212" s="124"/>
      <c r="PAN212" s="145"/>
      <c r="PAO212" s="145"/>
      <c r="PAP212" s="146"/>
      <c r="PAQ212" s="142"/>
      <c r="PAR212" s="143"/>
      <c r="PAS212" s="144"/>
      <c r="PAT212" s="124"/>
      <c r="PAU212" s="145"/>
      <c r="PAV212" s="145"/>
      <c r="PAW212" s="146"/>
      <c r="PAX212" s="142"/>
      <c r="PAY212" s="143"/>
      <c r="PAZ212" s="144"/>
      <c r="PBA212" s="124"/>
      <c r="PBB212" s="145"/>
      <c r="PBC212" s="145"/>
      <c r="PBD212" s="146"/>
      <c r="PBE212" s="142"/>
      <c r="PBF212" s="143"/>
      <c r="PBG212" s="144"/>
      <c r="PBH212" s="124"/>
      <c r="PBI212" s="145"/>
      <c r="PBJ212" s="145"/>
      <c r="PBK212" s="146"/>
      <c r="PBL212" s="142"/>
      <c r="PBM212" s="143"/>
      <c r="PBN212" s="144"/>
      <c r="PBO212" s="124"/>
      <c r="PBP212" s="145"/>
      <c r="PBQ212" s="145"/>
      <c r="PBR212" s="146"/>
      <c r="PBS212" s="142"/>
      <c r="PBT212" s="143"/>
      <c r="PBU212" s="144"/>
      <c r="PBV212" s="124"/>
      <c r="PBW212" s="145"/>
      <c r="PBX212" s="145"/>
      <c r="PBY212" s="146"/>
      <c r="PBZ212" s="142"/>
      <c r="PCA212" s="143"/>
      <c r="PCB212" s="144"/>
      <c r="PCC212" s="124"/>
      <c r="PCD212" s="145"/>
      <c r="PCE212" s="145"/>
      <c r="PCF212" s="146"/>
      <c r="PCG212" s="142"/>
      <c r="PCH212" s="143"/>
      <c r="PCI212" s="144"/>
      <c r="PCJ212" s="124"/>
      <c r="PCK212" s="145"/>
      <c r="PCL212" s="145"/>
      <c r="PCM212" s="146"/>
      <c r="PCN212" s="142"/>
      <c r="PCO212" s="143"/>
      <c r="PCP212" s="144"/>
      <c r="PCQ212" s="124"/>
      <c r="PCR212" s="145"/>
      <c r="PCS212" s="145"/>
      <c r="PCT212" s="146"/>
      <c r="PCU212" s="142"/>
      <c r="PCV212" s="143"/>
      <c r="PCW212" s="144"/>
      <c r="PCX212" s="124"/>
      <c r="PCY212" s="145"/>
      <c r="PCZ212" s="145"/>
      <c r="PDA212" s="146"/>
      <c r="PDB212" s="142"/>
      <c r="PDC212" s="143"/>
      <c r="PDD212" s="144"/>
      <c r="PDE212" s="124"/>
      <c r="PDF212" s="145"/>
      <c r="PDG212" s="145"/>
      <c r="PDH212" s="146"/>
      <c r="PDI212" s="142"/>
      <c r="PDJ212" s="143"/>
      <c r="PDK212" s="144"/>
      <c r="PDL212" s="124"/>
      <c r="PDM212" s="145"/>
      <c r="PDN212" s="145"/>
      <c r="PDO212" s="146"/>
      <c r="PDP212" s="142"/>
      <c r="PDQ212" s="143"/>
      <c r="PDR212" s="144"/>
      <c r="PDS212" s="124"/>
      <c r="PDT212" s="145"/>
      <c r="PDU212" s="145"/>
      <c r="PDV212" s="146"/>
      <c r="PDW212" s="142"/>
      <c r="PDX212" s="143"/>
      <c r="PDY212" s="144"/>
      <c r="PDZ212" s="124"/>
      <c r="PEA212" s="145"/>
      <c r="PEB212" s="145"/>
      <c r="PEC212" s="146"/>
      <c r="PED212" s="142"/>
      <c r="PEE212" s="143"/>
      <c r="PEF212" s="144"/>
      <c r="PEG212" s="124"/>
      <c r="PEH212" s="145"/>
      <c r="PEI212" s="145"/>
      <c r="PEJ212" s="146"/>
      <c r="PEK212" s="142"/>
      <c r="PEL212" s="143"/>
      <c r="PEM212" s="144"/>
      <c r="PEN212" s="124"/>
      <c r="PEO212" s="145"/>
      <c r="PEP212" s="145"/>
      <c r="PEQ212" s="146"/>
      <c r="PER212" s="142"/>
      <c r="PES212" s="143"/>
      <c r="PET212" s="144"/>
      <c r="PEU212" s="124"/>
      <c r="PEV212" s="145"/>
      <c r="PEW212" s="145"/>
      <c r="PEX212" s="146"/>
      <c r="PEY212" s="142"/>
      <c r="PEZ212" s="143"/>
      <c r="PFA212" s="144"/>
      <c r="PFB212" s="124"/>
      <c r="PFC212" s="145"/>
      <c r="PFD212" s="145"/>
      <c r="PFE212" s="146"/>
      <c r="PFF212" s="142"/>
      <c r="PFG212" s="143"/>
      <c r="PFH212" s="144"/>
      <c r="PFI212" s="124"/>
      <c r="PFJ212" s="145"/>
      <c r="PFK212" s="145"/>
      <c r="PFL212" s="146"/>
      <c r="PFM212" s="142"/>
      <c r="PFN212" s="143"/>
      <c r="PFO212" s="144"/>
      <c r="PFP212" s="124"/>
      <c r="PFQ212" s="145"/>
      <c r="PFR212" s="145"/>
      <c r="PFS212" s="146"/>
      <c r="PFT212" s="142"/>
      <c r="PFU212" s="143"/>
      <c r="PFV212" s="144"/>
      <c r="PFW212" s="124"/>
      <c r="PFX212" s="145"/>
      <c r="PFY212" s="145"/>
      <c r="PFZ212" s="146"/>
      <c r="PGA212" s="142"/>
      <c r="PGB212" s="143"/>
      <c r="PGC212" s="144"/>
      <c r="PGD212" s="124"/>
      <c r="PGE212" s="145"/>
      <c r="PGF212" s="145"/>
      <c r="PGG212" s="146"/>
      <c r="PGH212" s="142"/>
      <c r="PGI212" s="143"/>
      <c r="PGJ212" s="144"/>
      <c r="PGK212" s="124"/>
      <c r="PGL212" s="145"/>
      <c r="PGM212" s="145"/>
      <c r="PGN212" s="146"/>
      <c r="PGO212" s="142"/>
      <c r="PGP212" s="143"/>
      <c r="PGQ212" s="144"/>
      <c r="PGR212" s="124"/>
      <c r="PGS212" s="145"/>
      <c r="PGT212" s="145"/>
      <c r="PGU212" s="146"/>
      <c r="PGV212" s="142"/>
      <c r="PGW212" s="143"/>
      <c r="PGX212" s="144"/>
      <c r="PGY212" s="124"/>
      <c r="PGZ212" s="145"/>
      <c r="PHA212" s="145"/>
      <c r="PHB212" s="146"/>
      <c r="PHC212" s="142"/>
      <c r="PHD212" s="143"/>
      <c r="PHE212" s="144"/>
      <c r="PHF212" s="124"/>
      <c r="PHG212" s="145"/>
      <c r="PHH212" s="145"/>
      <c r="PHI212" s="146"/>
      <c r="PHJ212" s="142"/>
      <c r="PHK212" s="143"/>
      <c r="PHL212" s="144"/>
      <c r="PHM212" s="124"/>
      <c r="PHN212" s="145"/>
      <c r="PHO212" s="145"/>
      <c r="PHP212" s="146"/>
      <c r="PHQ212" s="142"/>
      <c r="PHR212" s="143"/>
      <c r="PHS212" s="144"/>
      <c r="PHT212" s="124"/>
      <c r="PHU212" s="145"/>
      <c r="PHV212" s="145"/>
      <c r="PHW212" s="146"/>
      <c r="PHX212" s="142"/>
      <c r="PHY212" s="143"/>
      <c r="PHZ212" s="144"/>
      <c r="PIA212" s="124"/>
      <c r="PIB212" s="145"/>
      <c r="PIC212" s="145"/>
      <c r="PID212" s="146"/>
      <c r="PIE212" s="142"/>
      <c r="PIF212" s="143"/>
      <c r="PIG212" s="144"/>
      <c r="PIH212" s="124"/>
      <c r="PII212" s="145"/>
      <c r="PIJ212" s="145"/>
      <c r="PIK212" s="146"/>
      <c r="PIL212" s="142"/>
      <c r="PIM212" s="143"/>
      <c r="PIN212" s="144"/>
      <c r="PIO212" s="124"/>
      <c r="PIP212" s="145"/>
      <c r="PIQ212" s="145"/>
      <c r="PIR212" s="146"/>
      <c r="PIS212" s="142"/>
      <c r="PIT212" s="143"/>
      <c r="PIU212" s="144"/>
      <c r="PIV212" s="124"/>
      <c r="PIW212" s="145"/>
      <c r="PIX212" s="145"/>
      <c r="PIY212" s="146"/>
      <c r="PIZ212" s="142"/>
      <c r="PJA212" s="143"/>
      <c r="PJB212" s="144"/>
      <c r="PJC212" s="124"/>
      <c r="PJD212" s="145"/>
      <c r="PJE212" s="145"/>
      <c r="PJF212" s="146"/>
      <c r="PJG212" s="142"/>
      <c r="PJH212" s="143"/>
      <c r="PJI212" s="144"/>
      <c r="PJJ212" s="124"/>
      <c r="PJK212" s="145"/>
      <c r="PJL212" s="145"/>
      <c r="PJM212" s="146"/>
      <c r="PJN212" s="142"/>
      <c r="PJO212" s="143"/>
      <c r="PJP212" s="144"/>
      <c r="PJQ212" s="124"/>
      <c r="PJR212" s="145"/>
      <c r="PJS212" s="145"/>
      <c r="PJT212" s="146"/>
      <c r="PJU212" s="142"/>
      <c r="PJV212" s="143"/>
      <c r="PJW212" s="144"/>
      <c r="PJX212" s="124"/>
      <c r="PJY212" s="145"/>
      <c r="PJZ212" s="145"/>
      <c r="PKA212" s="146"/>
      <c r="PKB212" s="142"/>
      <c r="PKC212" s="143"/>
      <c r="PKD212" s="144"/>
      <c r="PKE212" s="124"/>
      <c r="PKF212" s="145"/>
      <c r="PKG212" s="145"/>
      <c r="PKH212" s="146"/>
      <c r="PKI212" s="142"/>
      <c r="PKJ212" s="143"/>
      <c r="PKK212" s="144"/>
      <c r="PKL212" s="124"/>
      <c r="PKM212" s="145"/>
      <c r="PKN212" s="145"/>
      <c r="PKO212" s="146"/>
      <c r="PKP212" s="142"/>
      <c r="PKQ212" s="143"/>
      <c r="PKR212" s="144"/>
      <c r="PKS212" s="124"/>
      <c r="PKT212" s="145"/>
      <c r="PKU212" s="145"/>
      <c r="PKV212" s="146"/>
      <c r="PKW212" s="142"/>
      <c r="PKX212" s="143"/>
      <c r="PKY212" s="144"/>
      <c r="PKZ212" s="124"/>
      <c r="PLA212" s="145"/>
      <c r="PLB212" s="145"/>
      <c r="PLC212" s="146"/>
      <c r="PLD212" s="142"/>
      <c r="PLE212" s="143"/>
      <c r="PLF212" s="144"/>
      <c r="PLG212" s="124"/>
      <c r="PLH212" s="145"/>
      <c r="PLI212" s="145"/>
      <c r="PLJ212" s="146"/>
      <c r="PLK212" s="142"/>
      <c r="PLL212" s="143"/>
      <c r="PLM212" s="144"/>
      <c r="PLN212" s="124"/>
      <c r="PLO212" s="145"/>
      <c r="PLP212" s="145"/>
      <c r="PLQ212" s="146"/>
      <c r="PLR212" s="142"/>
      <c r="PLS212" s="143"/>
      <c r="PLT212" s="144"/>
      <c r="PLU212" s="124"/>
      <c r="PLV212" s="145"/>
      <c r="PLW212" s="145"/>
      <c r="PLX212" s="146"/>
      <c r="PLY212" s="142"/>
      <c r="PLZ212" s="143"/>
      <c r="PMA212" s="144"/>
      <c r="PMB212" s="124"/>
      <c r="PMC212" s="145"/>
      <c r="PMD212" s="145"/>
      <c r="PME212" s="146"/>
      <c r="PMF212" s="142"/>
      <c r="PMG212" s="143"/>
      <c r="PMH212" s="144"/>
      <c r="PMI212" s="124"/>
      <c r="PMJ212" s="145"/>
      <c r="PMK212" s="145"/>
      <c r="PML212" s="146"/>
      <c r="PMM212" s="142"/>
      <c r="PMN212" s="143"/>
      <c r="PMO212" s="144"/>
      <c r="PMP212" s="124"/>
      <c r="PMQ212" s="145"/>
      <c r="PMR212" s="145"/>
      <c r="PMS212" s="146"/>
      <c r="PMT212" s="142"/>
      <c r="PMU212" s="143"/>
      <c r="PMV212" s="144"/>
      <c r="PMW212" s="124"/>
      <c r="PMX212" s="145"/>
      <c r="PMY212" s="145"/>
      <c r="PMZ212" s="146"/>
      <c r="PNA212" s="142"/>
      <c r="PNB212" s="143"/>
      <c r="PNC212" s="144"/>
      <c r="PND212" s="124"/>
      <c r="PNE212" s="145"/>
      <c r="PNF212" s="145"/>
      <c r="PNG212" s="146"/>
      <c r="PNH212" s="142"/>
      <c r="PNI212" s="143"/>
      <c r="PNJ212" s="144"/>
      <c r="PNK212" s="124"/>
      <c r="PNL212" s="145"/>
      <c r="PNM212" s="145"/>
      <c r="PNN212" s="146"/>
      <c r="PNO212" s="142"/>
      <c r="PNP212" s="143"/>
      <c r="PNQ212" s="144"/>
      <c r="PNR212" s="124"/>
      <c r="PNS212" s="145"/>
      <c r="PNT212" s="145"/>
      <c r="PNU212" s="146"/>
      <c r="PNV212" s="142"/>
      <c r="PNW212" s="143"/>
      <c r="PNX212" s="144"/>
      <c r="PNY212" s="124"/>
      <c r="PNZ212" s="145"/>
      <c r="POA212" s="145"/>
      <c r="POB212" s="146"/>
      <c r="POC212" s="142"/>
      <c r="POD212" s="143"/>
      <c r="POE212" s="144"/>
      <c r="POF212" s="124"/>
      <c r="POG212" s="145"/>
      <c r="POH212" s="145"/>
      <c r="POI212" s="146"/>
      <c r="POJ212" s="142"/>
      <c r="POK212" s="143"/>
      <c r="POL212" s="144"/>
      <c r="POM212" s="124"/>
      <c r="PON212" s="145"/>
      <c r="POO212" s="145"/>
      <c r="POP212" s="146"/>
      <c r="POQ212" s="142"/>
      <c r="POR212" s="143"/>
      <c r="POS212" s="144"/>
      <c r="POT212" s="124"/>
      <c r="POU212" s="145"/>
      <c r="POV212" s="145"/>
      <c r="POW212" s="146"/>
      <c r="POX212" s="142"/>
      <c r="POY212" s="143"/>
      <c r="POZ212" s="144"/>
      <c r="PPA212" s="124"/>
      <c r="PPB212" s="145"/>
      <c r="PPC212" s="145"/>
      <c r="PPD212" s="146"/>
      <c r="PPE212" s="142"/>
      <c r="PPF212" s="143"/>
      <c r="PPG212" s="144"/>
      <c r="PPH212" s="124"/>
      <c r="PPI212" s="145"/>
      <c r="PPJ212" s="145"/>
      <c r="PPK212" s="146"/>
      <c r="PPL212" s="142"/>
      <c r="PPM212" s="143"/>
      <c r="PPN212" s="144"/>
      <c r="PPO212" s="124"/>
      <c r="PPP212" s="145"/>
      <c r="PPQ212" s="145"/>
      <c r="PPR212" s="146"/>
      <c r="PPS212" s="142"/>
      <c r="PPT212" s="143"/>
      <c r="PPU212" s="144"/>
      <c r="PPV212" s="124"/>
      <c r="PPW212" s="145"/>
      <c r="PPX212" s="145"/>
      <c r="PPY212" s="146"/>
      <c r="PPZ212" s="142"/>
      <c r="PQA212" s="143"/>
      <c r="PQB212" s="144"/>
      <c r="PQC212" s="124"/>
      <c r="PQD212" s="145"/>
      <c r="PQE212" s="145"/>
      <c r="PQF212" s="146"/>
      <c r="PQG212" s="142"/>
      <c r="PQH212" s="143"/>
      <c r="PQI212" s="144"/>
      <c r="PQJ212" s="124"/>
      <c r="PQK212" s="145"/>
      <c r="PQL212" s="145"/>
      <c r="PQM212" s="146"/>
      <c r="PQN212" s="142"/>
      <c r="PQO212" s="143"/>
      <c r="PQP212" s="144"/>
      <c r="PQQ212" s="124"/>
      <c r="PQR212" s="145"/>
      <c r="PQS212" s="145"/>
      <c r="PQT212" s="146"/>
      <c r="PQU212" s="142"/>
      <c r="PQV212" s="143"/>
      <c r="PQW212" s="144"/>
      <c r="PQX212" s="124"/>
      <c r="PQY212" s="145"/>
      <c r="PQZ212" s="145"/>
      <c r="PRA212" s="146"/>
      <c r="PRB212" s="142"/>
      <c r="PRC212" s="143"/>
      <c r="PRD212" s="144"/>
      <c r="PRE212" s="124"/>
      <c r="PRF212" s="145"/>
      <c r="PRG212" s="145"/>
      <c r="PRH212" s="146"/>
      <c r="PRI212" s="142"/>
      <c r="PRJ212" s="143"/>
      <c r="PRK212" s="144"/>
      <c r="PRL212" s="124"/>
      <c r="PRM212" s="145"/>
      <c r="PRN212" s="145"/>
      <c r="PRO212" s="146"/>
      <c r="PRP212" s="142"/>
      <c r="PRQ212" s="143"/>
      <c r="PRR212" s="144"/>
      <c r="PRS212" s="124"/>
      <c r="PRT212" s="145"/>
      <c r="PRU212" s="145"/>
      <c r="PRV212" s="146"/>
      <c r="PRW212" s="142"/>
      <c r="PRX212" s="143"/>
      <c r="PRY212" s="144"/>
      <c r="PRZ212" s="124"/>
      <c r="PSA212" s="145"/>
      <c r="PSB212" s="145"/>
      <c r="PSC212" s="146"/>
      <c r="PSD212" s="142"/>
      <c r="PSE212" s="143"/>
      <c r="PSF212" s="144"/>
      <c r="PSG212" s="124"/>
      <c r="PSH212" s="145"/>
      <c r="PSI212" s="145"/>
      <c r="PSJ212" s="146"/>
      <c r="PSK212" s="142"/>
      <c r="PSL212" s="143"/>
      <c r="PSM212" s="144"/>
      <c r="PSN212" s="124"/>
      <c r="PSO212" s="145"/>
      <c r="PSP212" s="145"/>
      <c r="PSQ212" s="146"/>
      <c r="PSR212" s="142"/>
      <c r="PSS212" s="143"/>
      <c r="PST212" s="144"/>
      <c r="PSU212" s="124"/>
      <c r="PSV212" s="145"/>
      <c r="PSW212" s="145"/>
      <c r="PSX212" s="146"/>
      <c r="PSY212" s="142"/>
      <c r="PSZ212" s="143"/>
      <c r="PTA212" s="144"/>
      <c r="PTB212" s="124"/>
      <c r="PTC212" s="145"/>
      <c r="PTD212" s="145"/>
      <c r="PTE212" s="146"/>
      <c r="PTF212" s="142"/>
      <c r="PTG212" s="143"/>
      <c r="PTH212" s="144"/>
      <c r="PTI212" s="124"/>
      <c r="PTJ212" s="145"/>
      <c r="PTK212" s="145"/>
      <c r="PTL212" s="146"/>
      <c r="PTM212" s="142"/>
      <c r="PTN212" s="143"/>
      <c r="PTO212" s="144"/>
      <c r="PTP212" s="124"/>
      <c r="PTQ212" s="145"/>
      <c r="PTR212" s="145"/>
      <c r="PTS212" s="146"/>
      <c r="PTT212" s="142"/>
      <c r="PTU212" s="143"/>
      <c r="PTV212" s="144"/>
      <c r="PTW212" s="124"/>
      <c r="PTX212" s="145"/>
      <c r="PTY212" s="145"/>
      <c r="PTZ212" s="146"/>
      <c r="PUA212" s="142"/>
      <c r="PUB212" s="143"/>
      <c r="PUC212" s="144"/>
      <c r="PUD212" s="124"/>
      <c r="PUE212" s="145"/>
      <c r="PUF212" s="145"/>
      <c r="PUG212" s="146"/>
      <c r="PUH212" s="142"/>
      <c r="PUI212" s="143"/>
      <c r="PUJ212" s="144"/>
      <c r="PUK212" s="124"/>
      <c r="PUL212" s="145"/>
      <c r="PUM212" s="145"/>
      <c r="PUN212" s="146"/>
      <c r="PUO212" s="142"/>
      <c r="PUP212" s="143"/>
      <c r="PUQ212" s="144"/>
      <c r="PUR212" s="124"/>
      <c r="PUS212" s="145"/>
      <c r="PUT212" s="145"/>
      <c r="PUU212" s="146"/>
      <c r="PUV212" s="142"/>
      <c r="PUW212" s="143"/>
      <c r="PUX212" s="144"/>
      <c r="PUY212" s="124"/>
      <c r="PUZ212" s="145"/>
      <c r="PVA212" s="145"/>
      <c r="PVB212" s="146"/>
      <c r="PVC212" s="142"/>
      <c r="PVD212" s="143"/>
      <c r="PVE212" s="144"/>
      <c r="PVF212" s="124"/>
      <c r="PVG212" s="145"/>
      <c r="PVH212" s="145"/>
      <c r="PVI212" s="146"/>
      <c r="PVJ212" s="142"/>
      <c r="PVK212" s="143"/>
      <c r="PVL212" s="144"/>
      <c r="PVM212" s="124"/>
      <c r="PVN212" s="145"/>
      <c r="PVO212" s="145"/>
      <c r="PVP212" s="146"/>
      <c r="PVQ212" s="142"/>
      <c r="PVR212" s="143"/>
      <c r="PVS212" s="144"/>
      <c r="PVT212" s="124"/>
      <c r="PVU212" s="145"/>
      <c r="PVV212" s="145"/>
      <c r="PVW212" s="146"/>
      <c r="PVX212" s="142"/>
      <c r="PVY212" s="143"/>
      <c r="PVZ212" s="144"/>
      <c r="PWA212" s="124"/>
      <c r="PWB212" s="145"/>
      <c r="PWC212" s="145"/>
      <c r="PWD212" s="146"/>
      <c r="PWE212" s="142"/>
      <c r="PWF212" s="143"/>
      <c r="PWG212" s="144"/>
      <c r="PWH212" s="124"/>
      <c r="PWI212" s="145"/>
      <c r="PWJ212" s="145"/>
      <c r="PWK212" s="146"/>
      <c r="PWL212" s="142"/>
      <c r="PWM212" s="143"/>
      <c r="PWN212" s="144"/>
      <c r="PWO212" s="124"/>
      <c r="PWP212" s="145"/>
      <c r="PWQ212" s="145"/>
      <c r="PWR212" s="146"/>
      <c r="PWS212" s="142"/>
      <c r="PWT212" s="143"/>
      <c r="PWU212" s="144"/>
      <c r="PWV212" s="124"/>
      <c r="PWW212" s="145"/>
      <c r="PWX212" s="145"/>
      <c r="PWY212" s="146"/>
      <c r="PWZ212" s="142"/>
      <c r="PXA212" s="143"/>
      <c r="PXB212" s="144"/>
      <c r="PXC212" s="124"/>
      <c r="PXD212" s="145"/>
      <c r="PXE212" s="145"/>
      <c r="PXF212" s="146"/>
      <c r="PXG212" s="142"/>
      <c r="PXH212" s="143"/>
      <c r="PXI212" s="144"/>
      <c r="PXJ212" s="124"/>
      <c r="PXK212" s="145"/>
      <c r="PXL212" s="145"/>
      <c r="PXM212" s="146"/>
      <c r="PXN212" s="142"/>
      <c r="PXO212" s="143"/>
      <c r="PXP212" s="144"/>
      <c r="PXQ212" s="124"/>
      <c r="PXR212" s="145"/>
      <c r="PXS212" s="145"/>
      <c r="PXT212" s="146"/>
      <c r="PXU212" s="142"/>
      <c r="PXV212" s="143"/>
      <c r="PXW212" s="144"/>
      <c r="PXX212" s="124"/>
      <c r="PXY212" s="145"/>
      <c r="PXZ212" s="145"/>
      <c r="PYA212" s="146"/>
      <c r="PYB212" s="142"/>
      <c r="PYC212" s="143"/>
      <c r="PYD212" s="144"/>
      <c r="PYE212" s="124"/>
      <c r="PYF212" s="145"/>
      <c r="PYG212" s="145"/>
      <c r="PYH212" s="146"/>
      <c r="PYI212" s="142"/>
      <c r="PYJ212" s="143"/>
      <c r="PYK212" s="144"/>
      <c r="PYL212" s="124"/>
      <c r="PYM212" s="145"/>
      <c r="PYN212" s="145"/>
      <c r="PYO212" s="146"/>
      <c r="PYP212" s="142"/>
      <c r="PYQ212" s="143"/>
      <c r="PYR212" s="144"/>
      <c r="PYS212" s="124"/>
      <c r="PYT212" s="145"/>
      <c r="PYU212" s="145"/>
      <c r="PYV212" s="146"/>
      <c r="PYW212" s="142"/>
      <c r="PYX212" s="143"/>
      <c r="PYY212" s="144"/>
      <c r="PYZ212" s="124"/>
      <c r="PZA212" s="145"/>
      <c r="PZB212" s="145"/>
      <c r="PZC212" s="146"/>
      <c r="PZD212" s="142"/>
      <c r="PZE212" s="143"/>
      <c r="PZF212" s="144"/>
      <c r="PZG212" s="124"/>
      <c r="PZH212" s="145"/>
      <c r="PZI212" s="145"/>
      <c r="PZJ212" s="146"/>
      <c r="PZK212" s="142"/>
      <c r="PZL212" s="143"/>
      <c r="PZM212" s="144"/>
      <c r="PZN212" s="124"/>
      <c r="PZO212" s="145"/>
      <c r="PZP212" s="145"/>
      <c r="PZQ212" s="146"/>
      <c r="PZR212" s="142"/>
      <c r="PZS212" s="143"/>
      <c r="PZT212" s="144"/>
      <c r="PZU212" s="124"/>
      <c r="PZV212" s="145"/>
      <c r="PZW212" s="145"/>
      <c r="PZX212" s="146"/>
      <c r="PZY212" s="142"/>
      <c r="PZZ212" s="143"/>
      <c r="QAA212" s="144"/>
      <c r="QAB212" s="124"/>
      <c r="QAC212" s="145"/>
      <c r="QAD212" s="145"/>
      <c r="QAE212" s="146"/>
      <c r="QAF212" s="142"/>
      <c r="QAG212" s="143"/>
      <c r="QAH212" s="144"/>
      <c r="QAI212" s="124"/>
      <c r="QAJ212" s="145"/>
      <c r="QAK212" s="145"/>
      <c r="QAL212" s="146"/>
      <c r="QAM212" s="142"/>
      <c r="QAN212" s="143"/>
      <c r="QAO212" s="144"/>
      <c r="QAP212" s="124"/>
      <c r="QAQ212" s="145"/>
      <c r="QAR212" s="145"/>
      <c r="QAS212" s="146"/>
      <c r="QAT212" s="142"/>
      <c r="QAU212" s="143"/>
      <c r="QAV212" s="144"/>
      <c r="QAW212" s="124"/>
      <c r="QAX212" s="145"/>
      <c r="QAY212" s="145"/>
      <c r="QAZ212" s="146"/>
      <c r="QBA212" s="142"/>
      <c r="QBB212" s="143"/>
      <c r="QBC212" s="144"/>
      <c r="QBD212" s="124"/>
      <c r="QBE212" s="145"/>
      <c r="QBF212" s="145"/>
      <c r="QBG212" s="146"/>
      <c r="QBH212" s="142"/>
      <c r="QBI212" s="143"/>
      <c r="QBJ212" s="144"/>
      <c r="QBK212" s="124"/>
      <c r="QBL212" s="145"/>
      <c r="QBM212" s="145"/>
      <c r="QBN212" s="146"/>
      <c r="QBO212" s="142"/>
      <c r="QBP212" s="143"/>
      <c r="QBQ212" s="144"/>
      <c r="QBR212" s="124"/>
      <c r="QBS212" s="145"/>
      <c r="QBT212" s="145"/>
      <c r="QBU212" s="146"/>
      <c r="QBV212" s="142"/>
      <c r="QBW212" s="143"/>
      <c r="QBX212" s="144"/>
      <c r="QBY212" s="124"/>
      <c r="QBZ212" s="145"/>
      <c r="QCA212" s="145"/>
      <c r="QCB212" s="146"/>
      <c r="QCC212" s="142"/>
      <c r="QCD212" s="143"/>
      <c r="QCE212" s="144"/>
      <c r="QCF212" s="124"/>
      <c r="QCG212" s="145"/>
      <c r="QCH212" s="145"/>
      <c r="QCI212" s="146"/>
      <c r="QCJ212" s="142"/>
      <c r="QCK212" s="143"/>
      <c r="QCL212" s="144"/>
      <c r="QCM212" s="124"/>
      <c r="QCN212" s="145"/>
      <c r="QCO212" s="145"/>
      <c r="QCP212" s="146"/>
      <c r="QCQ212" s="142"/>
      <c r="QCR212" s="143"/>
      <c r="QCS212" s="144"/>
      <c r="QCT212" s="124"/>
      <c r="QCU212" s="145"/>
      <c r="QCV212" s="145"/>
      <c r="QCW212" s="146"/>
      <c r="QCX212" s="142"/>
      <c r="QCY212" s="143"/>
      <c r="QCZ212" s="144"/>
      <c r="QDA212" s="124"/>
      <c r="QDB212" s="145"/>
      <c r="QDC212" s="145"/>
      <c r="QDD212" s="146"/>
      <c r="QDE212" s="142"/>
      <c r="QDF212" s="143"/>
      <c r="QDG212" s="144"/>
      <c r="QDH212" s="124"/>
      <c r="QDI212" s="145"/>
      <c r="QDJ212" s="145"/>
      <c r="QDK212" s="146"/>
      <c r="QDL212" s="142"/>
      <c r="QDM212" s="143"/>
      <c r="QDN212" s="144"/>
      <c r="QDO212" s="124"/>
      <c r="QDP212" s="145"/>
      <c r="QDQ212" s="145"/>
      <c r="QDR212" s="146"/>
      <c r="QDS212" s="142"/>
      <c r="QDT212" s="143"/>
      <c r="QDU212" s="144"/>
      <c r="QDV212" s="124"/>
      <c r="QDW212" s="145"/>
      <c r="QDX212" s="145"/>
      <c r="QDY212" s="146"/>
      <c r="QDZ212" s="142"/>
      <c r="QEA212" s="143"/>
      <c r="QEB212" s="144"/>
      <c r="QEC212" s="124"/>
      <c r="QED212" s="145"/>
      <c r="QEE212" s="145"/>
      <c r="QEF212" s="146"/>
      <c r="QEG212" s="142"/>
      <c r="QEH212" s="143"/>
      <c r="QEI212" s="144"/>
      <c r="QEJ212" s="124"/>
      <c r="QEK212" s="145"/>
      <c r="QEL212" s="145"/>
      <c r="QEM212" s="146"/>
      <c r="QEN212" s="142"/>
      <c r="QEO212" s="143"/>
      <c r="QEP212" s="144"/>
      <c r="QEQ212" s="124"/>
      <c r="QER212" s="145"/>
      <c r="QES212" s="145"/>
      <c r="QET212" s="146"/>
      <c r="QEU212" s="142"/>
      <c r="QEV212" s="143"/>
      <c r="QEW212" s="144"/>
      <c r="QEX212" s="124"/>
      <c r="QEY212" s="145"/>
      <c r="QEZ212" s="145"/>
      <c r="QFA212" s="146"/>
      <c r="QFB212" s="142"/>
      <c r="QFC212" s="143"/>
      <c r="QFD212" s="144"/>
      <c r="QFE212" s="124"/>
      <c r="QFF212" s="145"/>
      <c r="QFG212" s="145"/>
      <c r="QFH212" s="146"/>
      <c r="QFI212" s="142"/>
      <c r="QFJ212" s="143"/>
      <c r="QFK212" s="144"/>
      <c r="QFL212" s="124"/>
      <c r="QFM212" s="145"/>
      <c r="QFN212" s="145"/>
      <c r="QFO212" s="146"/>
      <c r="QFP212" s="142"/>
      <c r="QFQ212" s="143"/>
      <c r="QFR212" s="144"/>
      <c r="QFS212" s="124"/>
      <c r="QFT212" s="145"/>
      <c r="QFU212" s="145"/>
      <c r="QFV212" s="146"/>
      <c r="QFW212" s="142"/>
      <c r="QFX212" s="143"/>
      <c r="QFY212" s="144"/>
      <c r="QFZ212" s="124"/>
      <c r="QGA212" s="145"/>
      <c r="QGB212" s="145"/>
      <c r="QGC212" s="146"/>
      <c r="QGD212" s="142"/>
      <c r="QGE212" s="143"/>
      <c r="QGF212" s="144"/>
      <c r="QGG212" s="124"/>
      <c r="QGH212" s="145"/>
      <c r="QGI212" s="145"/>
      <c r="QGJ212" s="146"/>
      <c r="QGK212" s="142"/>
      <c r="QGL212" s="143"/>
      <c r="QGM212" s="144"/>
      <c r="QGN212" s="124"/>
      <c r="QGO212" s="145"/>
      <c r="QGP212" s="145"/>
      <c r="QGQ212" s="146"/>
      <c r="QGR212" s="142"/>
      <c r="QGS212" s="143"/>
      <c r="QGT212" s="144"/>
      <c r="QGU212" s="124"/>
      <c r="QGV212" s="145"/>
      <c r="QGW212" s="145"/>
      <c r="QGX212" s="146"/>
      <c r="QGY212" s="142"/>
      <c r="QGZ212" s="143"/>
      <c r="QHA212" s="144"/>
      <c r="QHB212" s="124"/>
      <c r="QHC212" s="145"/>
      <c r="QHD212" s="145"/>
      <c r="QHE212" s="146"/>
      <c r="QHF212" s="142"/>
      <c r="QHG212" s="143"/>
      <c r="QHH212" s="144"/>
      <c r="QHI212" s="124"/>
      <c r="QHJ212" s="145"/>
      <c r="QHK212" s="145"/>
      <c r="QHL212" s="146"/>
      <c r="QHM212" s="142"/>
      <c r="QHN212" s="143"/>
      <c r="QHO212" s="144"/>
      <c r="QHP212" s="124"/>
      <c r="QHQ212" s="145"/>
      <c r="QHR212" s="145"/>
      <c r="QHS212" s="146"/>
      <c r="QHT212" s="142"/>
      <c r="QHU212" s="143"/>
      <c r="QHV212" s="144"/>
      <c r="QHW212" s="124"/>
      <c r="QHX212" s="145"/>
      <c r="QHY212" s="145"/>
      <c r="QHZ212" s="146"/>
      <c r="QIA212" s="142"/>
      <c r="QIB212" s="143"/>
      <c r="QIC212" s="144"/>
      <c r="QID212" s="124"/>
      <c r="QIE212" s="145"/>
      <c r="QIF212" s="145"/>
      <c r="QIG212" s="146"/>
      <c r="QIH212" s="142"/>
      <c r="QII212" s="143"/>
      <c r="QIJ212" s="144"/>
      <c r="QIK212" s="124"/>
      <c r="QIL212" s="145"/>
      <c r="QIM212" s="145"/>
      <c r="QIN212" s="146"/>
      <c r="QIO212" s="142"/>
      <c r="QIP212" s="143"/>
      <c r="QIQ212" s="144"/>
      <c r="QIR212" s="124"/>
      <c r="QIS212" s="145"/>
      <c r="QIT212" s="145"/>
      <c r="QIU212" s="146"/>
      <c r="QIV212" s="142"/>
      <c r="QIW212" s="143"/>
      <c r="QIX212" s="144"/>
      <c r="QIY212" s="124"/>
      <c r="QIZ212" s="145"/>
      <c r="QJA212" s="145"/>
      <c r="QJB212" s="146"/>
      <c r="QJC212" s="142"/>
      <c r="QJD212" s="143"/>
      <c r="QJE212" s="144"/>
      <c r="QJF212" s="124"/>
      <c r="QJG212" s="145"/>
      <c r="QJH212" s="145"/>
      <c r="QJI212" s="146"/>
      <c r="QJJ212" s="142"/>
      <c r="QJK212" s="143"/>
      <c r="QJL212" s="144"/>
      <c r="QJM212" s="124"/>
      <c r="QJN212" s="145"/>
      <c r="QJO212" s="145"/>
      <c r="QJP212" s="146"/>
      <c r="QJQ212" s="142"/>
      <c r="QJR212" s="143"/>
      <c r="QJS212" s="144"/>
      <c r="QJT212" s="124"/>
      <c r="QJU212" s="145"/>
      <c r="QJV212" s="145"/>
      <c r="QJW212" s="146"/>
      <c r="QJX212" s="142"/>
      <c r="QJY212" s="143"/>
      <c r="QJZ212" s="144"/>
      <c r="QKA212" s="124"/>
      <c r="QKB212" s="145"/>
      <c r="QKC212" s="145"/>
      <c r="QKD212" s="146"/>
      <c r="QKE212" s="142"/>
      <c r="QKF212" s="143"/>
      <c r="QKG212" s="144"/>
      <c r="QKH212" s="124"/>
      <c r="QKI212" s="145"/>
      <c r="QKJ212" s="145"/>
      <c r="QKK212" s="146"/>
      <c r="QKL212" s="142"/>
      <c r="QKM212" s="143"/>
      <c r="QKN212" s="144"/>
      <c r="QKO212" s="124"/>
      <c r="QKP212" s="145"/>
      <c r="QKQ212" s="145"/>
      <c r="QKR212" s="146"/>
      <c r="QKS212" s="142"/>
      <c r="QKT212" s="143"/>
      <c r="QKU212" s="144"/>
      <c r="QKV212" s="124"/>
      <c r="QKW212" s="145"/>
      <c r="QKX212" s="145"/>
      <c r="QKY212" s="146"/>
      <c r="QKZ212" s="142"/>
      <c r="QLA212" s="143"/>
      <c r="QLB212" s="144"/>
      <c r="QLC212" s="124"/>
      <c r="QLD212" s="145"/>
      <c r="QLE212" s="145"/>
      <c r="QLF212" s="146"/>
      <c r="QLG212" s="142"/>
      <c r="QLH212" s="143"/>
      <c r="QLI212" s="144"/>
      <c r="QLJ212" s="124"/>
      <c r="QLK212" s="145"/>
      <c r="QLL212" s="145"/>
      <c r="QLM212" s="146"/>
      <c r="QLN212" s="142"/>
      <c r="QLO212" s="143"/>
      <c r="QLP212" s="144"/>
      <c r="QLQ212" s="124"/>
      <c r="QLR212" s="145"/>
      <c r="QLS212" s="145"/>
      <c r="QLT212" s="146"/>
      <c r="QLU212" s="142"/>
      <c r="QLV212" s="143"/>
      <c r="QLW212" s="144"/>
      <c r="QLX212" s="124"/>
      <c r="QLY212" s="145"/>
      <c r="QLZ212" s="145"/>
      <c r="QMA212" s="146"/>
      <c r="QMB212" s="142"/>
      <c r="QMC212" s="143"/>
      <c r="QMD212" s="144"/>
      <c r="QME212" s="124"/>
      <c r="QMF212" s="145"/>
      <c r="QMG212" s="145"/>
      <c r="QMH212" s="146"/>
      <c r="QMI212" s="142"/>
      <c r="QMJ212" s="143"/>
      <c r="QMK212" s="144"/>
      <c r="QML212" s="124"/>
      <c r="QMM212" s="145"/>
      <c r="QMN212" s="145"/>
      <c r="QMO212" s="146"/>
      <c r="QMP212" s="142"/>
      <c r="QMQ212" s="143"/>
      <c r="QMR212" s="144"/>
      <c r="QMS212" s="124"/>
      <c r="QMT212" s="145"/>
      <c r="QMU212" s="145"/>
      <c r="QMV212" s="146"/>
      <c r="QMW212" s="142"/>
      <c r="QMX212" s="143"/>
      <c r="QMY212" s="144"/>
      <c r="QMZ212" s="124"/>
      <c r="QNA212" s="145"/>
      <c r="QNB212" s="145"/>
      <c r="QNC212" s="146"/>
      <c r="QND212" s="142"/>
      <c r="QNE212" s="143"/>
      <c r="QNF212" s="144"/>
      <c r="QNG212" s="124"/>
      <c r="QNH212" s="145"/>
      <c r="QNI212" s="145"/>
      <c r="QNJ212" s="146"/>
      <c r="QNK212" s="142"/>
      <c r="QNL212" s="143"/>
      <c r="QNM212" s="144"/>
      <c r="QNN212" s="124"/>
      <c r="QNO212" s="145"/>
      <c r="QNP212" s="145"/>
      <c r="QNQ212" s="146"/>
      <c r="QNR212" s="142"/>
      <c r="QNS212" s="143"/>
      <c r="QNT212" s="144"/>
      <c r="QNU212" s="124"/>
      <c r="QNV212" s="145"/>
      <c r="QNW212" s="145"/>
      <c r="QNX212" s="146"/>
      <c r="QNY212" s="142"/>
      <c r="QNZ212" s="143"/>
      <c r="QOA212" s="144"/>
      <c r="QOB212" s="124"/>
      <c r="QOC212" s="145"/>
      <c r="QOD212" s="145"/>
      <c r="QOE212" s="146"/>
      <c r="QOF212" s="142"/>
      <c r="QOG212" s="143"/>
      <c r="QOH212" s="144"/>
      <c r="QOI212" s="124"/>
      <c r="QOJ212" s="145"/>
      <c r="QOK212" s="145"/>
      <c r="QOL212" s="146"/>
      <c r="QOM212" s="142"/>
      <c r="QON212" s="143"/>
      <c r="QOO212" s="144"/>
      <c r="QOP212" s="124"/>
      <c r="QOQ212" s="145"/>
      <c r="QOR212" s="145"/>
      <c r="QOS212" s="146"/>
      <c r="QOT212" s="142"/>
      <c r="QOU212" s="143"/>
      <c r="QOV212" s="144"/>
      <c r="QOW212" s="124"/>
      <c r="QOX212" s="145"/>
      <c r="QOY212" s="145"/>
      <c r="QOZ212" s="146"/>
      <c r="QPA212" s="142"/>
      <c r="QPB212" s="143"/>
      <c r="QPC212" s="144"/>
      <c r="QPD212" s="124"/>
      <c r="QPE212" s="145"/>
      <c r="QPF212" s="145"/>
      <c r="QPG212" s="146"/>
      <c r="QPH212" s="142"/>
      <c r="QPI212" s="143"/>
      <c r="QPJ212" s="144"/>
      <c r="QPK212" s="124"/>
      <c r="QPL212" s="145"/>
      <c r="QPM212" s="145"/>
      <c r="QPN212" s="146"/>
      <c r="QPO212" s="142"/>
      <c r="QPP212" s="143"/>
      <c r="QPQ212" s="144"/>
      <c r="QPR212" s="124"/>
      <c r="QPS212" s="145"/>
      <c r="QPT212" s="145"/>
      <c r="QPU212" s="146"/>
      <c r="QPV212" s="142"/>
      <c r="QPW212" s="143"/>
      <c r="QPX212" s="144"/>
      <c r="QPY212" s="124"/>
      <c r="QPZ212" s="145"/>
      <c r="QQA212" s="145"/>
      <c r="QQB212" s="146"/>
      <c r="QQC212" s="142"/>
      <c r="QQD212" s="143"/>
      <c r="QQE212" s="144"/>
      <c r="QQF212" s="124"/>
      <c r="QQG212" s="145"/>
      <c r="QQH212" s="145"/>
      <c r="QQI212" s="146"/>
      <c r="QQJ212" s="142"/>
      <c r="QQK212" s="143"/>
      <c r="QQL212" s="144"/>
      <c r="QQM212" s="124"/>
      <c r="QQN212" s="145"/>
      <c r="QQO212" s="145"/>
      <c r="QQP212" s="146"/>
      <c r="QQQ212" s="142"/>
      <c r="QQR212" s="143"/>
      <c r="QQS212" s="144"/>
      <c r="QQT212" s="124"/>
      <c r="QQU212" s="145"/>
      <c r="QQV212" s="145"/>
      <c r="QQW212" s="146"/>
      <c r="QQX212" s="142"/>
      <c r="QQY212" s="143"/>
      <c r="QQZ212" s="144"/>
      <c r="QRA212" s="124"/>
      <c r="QRB212" s="145"/>
      <c r="QRC212" s="145"/>
      <c r="QRD212" s="146"/>
      <c r="QRE212" s="142"/>
      <c r="QRF212" s="143"/>
      <c r="QRG212" s="144"/>
      <c r="QRH212" s="124"/>
      <c r="QRI212" s="145"/>
      <c r="QRJ212" s="145"/>
      <c r="QRK212" s="146"/>
      <c r="QRL212" s="142"/>
      <c r="QRM212" s="143"/>
      <c r="QRN212" s="144"/>
      <c r="QRO212" s="124"/>
      <c r="QRP212" s="145"/>
      <c r="QRQ212" s="145"/>
      <c r="QRR212" s="146"/>
      <c r="QRS212" s="142"/>
      <c r="QRT212" s="143"/>
      <c r="QRU212" s="144"/>
      <c r="QRV212" s="124"/>
      <c r="QRW212" s="145"/>
      <c r="QRX212" s="145"/>
      <c r="QRY212" s="146"/>
      <c r="QRZ212" s="142"/>
      <c r="QSA212" s="143"/>
      <c r="QSB212" s="144"/>
      <c r="QSC212" s="124"/>
      <c r="QSD212" s="145"/>
      <c r="QSE212" s="145"/>
      <c r="QSF212" s="146"/>
      <c r="QSG212" s="142"/>
      <c r="QSH212" s="143"/>
      <c r="QSI212" s="144"/>
      <c r="QSJ212" s="124"/>
      <c r="QSK212" s="145"/>
      <c r="QSL212" s="145"/>
      <c r="QSM212" s="146"/>
      <c r="QSN212" s="142"/>
      <c r="QSO212" s="143"/>
      <c r="QSP212" s="144"/>
      <c r="QSQ212" s="124"/>
      <c r="QSR212" s="145"/>
      <c r="QSS212" s="145"/>
      <c r="QST212" s="146"/>
      <c r="QSU212" s="142"/>
      <c r="QSV212" s="143"/>
      <c r="QSW212" s="144"/>
      <c r="QSX212" s="124"/>
      <c r="QSY212" s="145"/>
      <c r="QSZ212" s="145"/>
      <c r="QTA212" s="146"/>
      <c r="QTB212" s="142"/>
      <c r="QTC212" s="143"/>
      <c r="QTD212" s="144"/>
      <c r="QTE212" s="124"/>
      <c r="QTF212" s="145"/>
      <c r="QTG212" s="145"/>
      <c r="QTH212" s="146"/>
      <c r="QTI212" s="142"/>
      <c r="QTJ212" s="143"/>
      <c r="QTK212" s="144"/>
      <c r="QTL212" s="124"/>
      <c r="QTM212" s="145"/>
      <c r="QTN212" s="145"/>
      <c r="QTO212" s="146"/>
      <c r="QTP212" s="142"/>
      <c r="QTQ212" s="143"/>
      <c r="QTR212" s="144"/>
      <c r="QTS212" s="124"/>
      <c r="QTT212" s="145"/>
      <c r="QTU212" s="145"/>
      <c r="QTV212" s="146"/>
      <c r="QTW212" s="142"/>
      <c r="QTX212" s="143"/>
      <c r="QTY212" s="144"/>
      <c r="QTZ212" s="124"/>
      <c r="QUA212" s="145"/>
      <c r="QUB212" s="145"/>
      <c r="QUC212" s="146"/>
      <c r="QUD212" s="142"/>
      <c r="QUE212" s="143"/>
      <c r="QUF212" s="144"/>
      <c r="QUG212" s="124"/>
      <c r="QUH212" s="145"/>
      <c r="QUI212" s="145"/>
      <c r="QUJ212" s="146"/>
      <c r="QUK212" s="142"/>
      <c r="QUL212" s="143"/>
      <c r="QUM212" s="144"/>
      <c r="QUN212" s="124"/>
      <c r="QUO212" s="145"/>
      <c r="QUP212" s="145"/>
      <c r="QUQ212" s="146"/>
      <c r="QUR212" s="142"/>
      <c r="QUS212" s="143"/>
      <c r="QUT212" s="144"/>
      <c r="QUU212" s="124"/>
      <c r="QUV212" s="145"/>
      <c r="QUW212" s="145"/>
      <c r="QUX212" s="146"/>
      <c r="QUY212" s="142"/>
      <c r="QUZ212" s="143"/>
      <c r="QVA212" s="144"/>
      <c r="QVB212" s="124"/>
      <c r="QVC212" s="145"/>
      <c r="QVD212" s="145"/>
      <c r="QVE212" s="146"/>
      <c r="QVF212" s="142"/>
      <c r="QVG212" s="143"/>
      <c r="QVH212" s="144"/>
      <c r="QVI212" s="124"/>
      <c r="QVJ212" s="145"/>
      <c r="QVK212" s="145"/>
      <c r="QVL212" s="146"/>
      <c r="QVM212" s="142"/>
      <c r="QVN212" s="143"/>
      <c r="QVO212" s="144"/>
      <c r="QVP212" s="124"/>
      <c r="QVQ212" s="145"/>
      <c r="QVR212" s="145"/>
      <c r="QVS212" s="146"/>
      <c r="QVT212" s="142"/>
      <c r="QVU212" s="143"/>
      <c r="QVV212" s="144"/>
      <c r="QVW212" s="124"/>
      <c r="QVX212" s="145"/>
      <c r="QVY212" s="145"/>
      <c r="QVZ212" s="146"/>
      <c r="QWA212" s="142"/>
      <c r="QWB212" s="143"/>
      <c r="QWC212" s="144"/>
      <c r="QWD212" s="124"/>
      <c r="QWE212" s="145"/>
      <c r="QWF212" s="145"/>
      <c r="QWG212" s="146"/>
      <c r="QWH212" s="142"/>
      <c r="QWI212" s="143"/>
      <c r="QWJ212" s="144"/>
      <c r="QWK212" s="124"/>
      <c r="QWL212" s="145"/>
      <c r="QWM212" s="145"/>
      <c r="QWN212" s="146"/>
      <c r="QWO212" s="142"/>
      <c r="QWP212" s="143"/>
      <c r="QWQ212" s="144"/>
      <c r="QWR212" s="124"/>
      <c r="QWS212" s="145"/>
      <c r="QWT212" s="145"/>
      <c r="QWU212" s="146"/>
      <c r="QWV212" s="142"/>
      <c r="QWW212" s="143"/>
      <c r="QWX212" s="144"/>
      <c r="QWY212" s="124"/>
      <c r="QWZ212" s="145"/>
      <c r="QXA212" s="145"/>
      <c r="QXB212" s="146"/>
      <c r="QXC212" s="142"/>
      <c r="QXD212" s="143"/>
      <c r="QXE212" s="144"/>
      <c r="QXF212" s="124"/>
      <c r="QXG212" s="145"/>
      <c r="QXH212" s="145"/>
      <c r="QXI212" s="146"/>
      <c r="QXJ212" s="142"/>
      <c r="QXK212" s="143"/>
      <c r="QXL212" s="144"/>
      <c r="QXM212" s="124"/>
      <c r="QXN212" s="145"/>
      <c r="QXO212" s="145"/>
      <c r="QXP212" s="146"/>
      <c r="QXQ212" s="142"/>
      <c r="QXR212" s="143"/>
      <c r="QXS212" s="144"/>
      <c r="QXT212" s="124"/>
      <c r="QXU212" s="145"/>
      <c r="QXV212" s="145"/>
      <c r="QXW212" s="146"/>
      <c r="QXX212" s="142"/>
      <c r="QXY212" s="143"/>
      <c r="QXZ212" s="144"/>
      <c r="QYA212" s="124"/>
      <c r="QYB212" s="145"/>
      <c r="QYC212" s="145"/>
      <c r="QYD212" s="146"/>
      <c r="QYE212" s="142"/>
      <c r="QYF212" s="143"/>
      <c r="QYG212" s="144"/>
      <c r="QYH212" s="124"/>
      <c r="QYI212" s="145"/>
      <c r="QYJ212" s="145"/>
      <c r="QYK212" s="146"/>
      <c r="QYL212" s="142"/>
      <c r="QYM212" s="143"/>
      <c r="QYN212" s="144"/>
      <c r="QYO212" s="124"/>
      <c r="QYP212" s="145"/>
      <c r="QYQ212" s="145"/>
      <c r="QYR212" s="146"/>
      <c r="QYS212" s="142"/>
      <c r="QYT212" s="143"/>
      <c r="QYU212" s="144"/>
      <c r="QYV212" s="124"/>
      <c r="QYW212" s="145"/>
      <c r="QYX212" s="145"/>
      <c r="QYY212" s="146"/>
      <c r="QYZ212" s="142"/>
      <c r="QZA212" s="143"/>
      <c r="QZB212" s="144"/>
      <c r="QZC212" s="124"/>
      <c r="QZD212" s="145"/>
      <c r="QZE212" s="145"/>
      <c r="QZF212" s="146"/>
      <c r="QZG212" s="142"/>
      <c r="QZH212" s="143"/>
      <c r="QZI212" s="144"/>
      <c r="QZJ212" s="124"/>
      <c r="QZK212" s="145"/>
      <c r="QZL212" s="145"/>
      <c r="QZM212" s="146"/>
      <c r="QZN212" s="142"/>
      <c r="QZO212" s="143"/>
      <c r="QZP212" s="144"/>
      <c r="QZQ212" s="124"/>
      <c r="QZR212" s="145"/>
      <c r="QZS212" s="145"/>
      <c r="QZT212" s="146"/>
      <c r="QZU212" s="142"/>
      <c r="QZV212" s="143"/>
      <c r="QZW212" s="144"/>
      <c r="QZX212" s="124"/>
      <c r="QZY212" s="145"/>
      <c r="QZZ212" s="145"/>
      <c r="RAA212" s="146"/>
      <c r="RAB212" s="142"/>
      <c r="RAC212" s="143"/>
      <c r="RAD212" s="144"/>
      <c r="RAE212" s="124"/>
      <c r="RAF212" s="145"/>
      <c r="RAG212" s="145"/>
      <c r="RAH212" s="146"/>
      <c r="RAI212" s="142"/>
      <c r="RAJ212" s="143"/>
      <c r="RAK212" s="144"/>
      <c r="RAL212" s="124"/>
      <c r="RAM212" s="145"/>
      <c r="RAN212" s="145"/>
      <c r="RAO212" s="146"/>
      <c r="RAP212" s="142"/>
      <c r="RAQ212" s="143"/>
      <c r="RAR212" s="144"/>
      <c r="RAS212" s="124"/>
      <c r="RAT212" s="145"/>
      <c r="RAU212" s="145"/>
      <c r="RAV212" s="146"/>
      <c r="RAW212" s="142"/>
      <c r="RAX212" s="143"/>
      <c r="RAY212" s="144"/>
      <c r="RAZ212" s="124"/>
      <c r="RBA212" s="145"/>
      <c r="RBB212" s="145"/>
      <c r="RBC212" s="146"/>
      <c r="RBD212" s="142"/>
      <c r="RBE212" s="143"/>
      <c r="RBF212" s="144"/>
      <c r="RBG212" s="124"/>
      <c r="RBH212" s="145"/>
      <c r="RBI212" s="145"/>
      <c r="RBJ212" s="146"/>
      <c r="RBK212" s="142"/>
      <c r="RBL212" s="143"/>
      <c r="RBM212" s="144"/>
      <c r="RBN212" s="124"/>
      <c r="RBO212" s="145"/>
      <c r="RBP212" s="145"/>
      <c r="RBQ212" s="146"/>
      <c r="RBR212" s="142"/>
      <c r="RBS212" s="143"/>
      <c r="RBT212" s="144"/>
      <c r="RBU212" s="124"/>
      <c r="RBV212" s="145"/>
      <c r="RBW212" s="145"/>
      <c r="RBX212" s="146"/>
      <c r="RBY212" s="142"/>
      <c r="RBZ212" s="143"/>
      <c r="RCA212" s="144"/>
      <c r="RCB212" s="124"/>
      <c r="RCC212" s="145"/>
      <c r="RCD212" s="145"/>
      <c r="RCE212" s="146"/>
      <c r="RCF212" s="142"/>
      <c r="RCG212" s="143"/>
      <c r="RCH212" s="144"/>
      <c r="RCI212" s="124"/>
      <c r="RCJ212" s="145"/>
      <c r="RCK212" s="145"/>
      <c r="RCL212" s="146"/>
      <c r="RCM212" s="142"/>
      <c r="RCN212" s="143"/>
      <c r="RCO212" s="144"/>
      <c r="RCP212" s="124"/>
      <c r="RCQ212" s="145"/>
      <c r="RCR212" s="145"/>
      <c r="RCS212" s="146"/>
      <c r="RCT212" s="142"/>
      <c r="RCU212" s="143"/>
      <c r="RCV212" s="144"/>
      <c r="RCW212" s="124"/>
      <c r="RCX212" s="145"/>
      <c r="RCY212" s="145"/>
      <c r="RCZ212" s="146"/>
      <c r="RDA212" s="142"/>
      <c r="RDB212" s="143"/>
      <c r="RDC212" s="144"/>
      <c r="RDD212" s="124"/>
      <c r="RDE212" s="145"/>
      <c r="RDF212" s="145"/>
      <c r="RDG212" s="146"/>
      <c r="RDH212" s="142"/>
      <c r="RDI212" s="143"/>
      <c r="RDJ212" s="144"/>
      <c r="RDK212" s="124"/>
      <c r="RDL212" s="145"/>
      <c r="RDM212" s="145"/>
      <c r="RDN212" s="146"/>
      <c r="RDO212" s="142"/>
      <c r="RDP212" s="143"/>
      <c r="RDQ212" s="144"/>
      <c r="RDR212" s="124"/>
      <c r="RDS212" s="145"/>
      <c r="RDT212" s="145"/>
      <c r="RDU212" s="146"/>
      <c r="RDV212" s="142"/>
      <c r="RDW212" s="143"/>
      <c r="RDX212" s="144"/>
      <c r="RDY212" s="124"/>
      <c r="RDZ212" s="145"/>
      <c r="REA212" s="145"/>
      <c r="REB212" s="146"/>
      <c r="REC212" s="142"/>
      <c r="RED212" s="143"/>
      <c r="REE212" s="144"/>
      <c r="REF212" s="124"/>
      <c r="REG212" s="145"/>
      <c r="REH212" s="145"/>
      <c r="REI212" s="146"/>
      <c r="REJ212" s="142"/>
      <c r="REK212" s="143"/>
      <c r="REL212" s="144"/>
      <c r="REM212" s="124"/>
      <c r="REN212" s="145"/>
      <c r="REO212" s="145"/>
      <c r="REP212" s="146"/>
      <c r="REQ212" s="142"/>
      <c r="RER212" s="143"/>
      <c r="RES212" s="144"/>
      <c r="RET212" s="124"/>
      <c r="REU212" s="145"/>
      <c r="REV212" s="145"/>
      <c r="REW212" s="146"/>
      <c r="REX212" s="142"/>
      <c r="REY212" s="143"/>
      <c r="REZ212" s="144"/>
      <c r="RFA212" s="124"/>
      <c r="RFB212" s="145"/>
      <c r="RFC212" s="145"/>
      <c r="RFD212" s="146"/>
      <c r="RFE212" s="142"/>
      <c r="RFF212" s="143"/>
      <c r="RFG212" s="144"/>
      <c r="RFH212" s="124"/>
      <c r="RFI212" s="145"/>
      <c r="RFJ212" s="145"/>
      <c r="RFK212" s="146"/>
      <c r="RFL212" s="142"/>
      <c r="RFM212" s="143"/>
      <c r="RFN212" s="144"/>
      <c r="RFO212" s="124"/>
      <c r="RFP212" s="145"/>
      <c r="RFQ212" s="145"/>
      <c r="RFR212" s="146"/>
      <c r="RFS212" s="142"/>
      <c r="RFT212" s="143"/>
      <c r="RFU212" s="144"/>
      <c r="RFV212" s="124"/>
      <c r="RFW212" s="145"/>
      <c r="RFX212" s="145"/>
      <c r="RFY212" s="146"/>
      <c r="RFZ212" s="142"/>
      <c r="RGA212" s="143"/>
      <c r="RGB212" s="144"/>
      <c r="RGC212" s="124"/>
      <c r="RGD212" s="145"/>
      <c r="RGE212" s="145"/>
      <c r="RGF212" s="146"/>
      <c r="RGG212" s="142"/>
      <c r="RGH212" s="143"/>
      <c r="RGI212" s="144"/>
      <c r="RGJ212" s="124"/>
      <c r="RGK212" s="145"/>
      <c r="RGL212" s="145"/>
      <c r="RGM212" s="146"/>
      <c r="RGN212" s="142"/>
      <c r="RGO212" s="143"/>
      <c r="RGP212" s="144"/>
      <c r="RGQ212" s="124"/>
      <c r="RGR212" s="145"/>
      <c r="RGS212" s="145"/>
      <c r="RGT212" s="146"/>
      <c r="RGU212" s="142"/>
      <c r="RGV212" s="143"/>
      <c r="RGW212" s="144"/>
      <c r="RGX212" s="124"/>
      <c r="RGY212" s="145"/>
      <c r="RGZ212" s="145"/>
      <c r="RHA212" s="146"/>
      <c r="RHB212" s="142"/>
      <c r="RHC212" s="143"/>
      <c r="RHD212" s="144"/>
      <c r="RHE212" s="124"/>
      <c r="RHF212" s="145"/>
      <c r="RHG212" s="145"/>
      <c r="RHH212" s="146"/>
      <c r="RHI212" s="142"/>
      <c r="RHJ212" s="143"/>
      <c r="RHK212" s="144"/>
      <c r="RHL212" s="124"/>
      <c r="RHM212" s="145"/>
      <c r="RHN212" s="145"/>
      <c r="RHO212" s="146"/>
      <c r="RHP212" s="142"/>
      <c r="RHQ212" s="143"/>
      <c r="RHR212" s="144"/>
      <c r="RHS212" s="124"/>
      <c r="RHT212" s="145"/>
      <c r="RHU212" s="145"/>
      <c r="RHV212" s="146"/>
      <c r="RHW212" s="142"/>
      <c r="RHX212" s="143"/>
      <c r="RHY212" s="144"/>
      <c r="RHZ212" s="124"/>
      <c r="RIA212" s="145"/>
      <c r="RIB212" s="145"/>
      <c r="RIC212" s="146"/>
      <c r="RID212" s="142"/>
      <c r="RIE212" s="143"/>
      <c r="RIF212" s="144"/>
      <c r="RIG212" s="124"/>
      <c r="RIH212" s="145"/>
      <c r="RII212" s="145"/>
      <c r="RIJ212" s="146"/>
      <c r="RIK212" s="142"/>
      <c r="RIL212" s="143"/>
      <c r="RIM212" s="144"/>
      <c r="RIN212" s="124"/>
      <c r="RIO212" s="145"/>
      <c r="RIP212" s="145"/>
      <c r="RIQ212" s="146"/>
      <c r="RIR212" s="142"/>
      <c r="RIS212" s="143"/>
      <c r="RIT212" s="144"/>
      <c r="RIU212" s="124"/>
      <c r="RIV212" s="145"/>
      <c r="RIW212" s="145"/>
      <c r="RIX212" s="146"/>
      <c r="RIY212" s="142"/>
      <c r="RIZ212" s="143"/>
      <c r="RJA212" s="144"/>
      <c r="RJB212" s="124"/>
      <c r="RJC212" s="145"/>
      <c r="RJD212" s="145"/>
      <c r="RJE212" s="146"/>
      <c r="RJF212" s="142"/>
      <c r="RJG212" s="143"/>
      <c r="RJH212" s="144"/>
      <c r="RJI212" s="124"/>
      <c r="RJJ212" s="145"/>
      <c r="RJK212" s="145"/>
      <c r="RJL212" s="146"/>
      <c r="RJM212" s="142"/>
      <c r="RJN212" s="143"/>
      <c r="RJO212" s="144"/>
      <c r="RJP212" s="124"/>
      <c r="RJQ212" s="145"/>
      <c r="RJR212" s="145"/>
      <c r="RJS212" s="146"/>
      <c r="RJT212" s="142"/>
      <c r="RJU212" s="143"/>
      <c r="RJV212" s="144"/>
      <c r="RJW212" s="124"/>
      <c r="RJX212" s="145"/>
      <c r="RJY212" s="145"/>
      <c r="RJZ212" s="146"/>
      <c r="RKA212" s="142"/>
      <c r="RKB212" s="143"/>
      <c r="RKC212" s="144"/>
      <c r="RKD212" s="124"/>
      <c r="RKE212" s="145"/>
      <c r="RKF212" s="145"/>
      <c r="RKG212" s="146"/>
      <c r="RKH212" s="142"/>
      <c r="RKI212" s="143"/>
      <c r="RKJ212" s="144"/>
      <c r="RKK212" s="124"/>
      <c r="RKL212" s="145"/>
      <c r="RKM212" s="145"/>
      <c r="RKN212" s="146"/>
      <c r="RKO212" s="142"/>
      <c r="RKP212" s="143"/>
      <c r="RKQ212" s="144"/>
      <c r="RKR212" s="124"/>
      <c r="RKS212" s="145"/>
      <c r="RKT212" s="145"/>
      <c r="RKU212" s="146"/>
      <c r="RKV212" s="142"/>
      <c r="RKW212" s="143"/>
      <c r="RKX212" s="144"/>
      <c r="RKY212" s="124"/>
      <c r="RKZ212" s="145"/>
      <c r="RLA212" s="145"/>
      <c r="RLB212" s="146"/>
      <c r="RLC212" s="142"/>
      <c r="RLD212" s="143"/>
      <c r="RLE212" s="144"/>
      <c r="RLF212" s="124"/>
      <c r="RLG212" s="145"/>
      <c r="RLH212" s="145"/>
      <c r="RLI212" s="146"/>
      <c r="RLJ212" s="142"/>
      <c r="RLK212" s="143"/>
      <c r="RLL212" s="144"/>
      <c r="RLM212" s="124"/>
      <c r="RLN212" s="145"/>
      <c r="RLO212" s="145"/>
      <c r="RLP212" s="146"/>
      <c r="RLQ212" s="142"/>
      <c r="RLR212" s="143"/>
      <c r="RLS212" s="144"/>
      <c r="RLT212" s="124"/>
      <c r="RLU212" s="145"/>
      <c r="RLV212" s="145"/>
      <c r="RLW212" s="146"/>
      <c r="RLX212" s="142"/>
      <c r="RLY212" s="143"/>
      <c r="RLZ212" s="144"/>
      <c r="RMA212" s="124"/>
      <c r="RMB212" s="145"/>
      <c r="RMC212" s="145"/>
      <c r="RMD212" s="146"/>
      <c r="RME212" s="142"/>
      <c r="RMF212" s="143"/>
      <c r="RMG212" s="144"/>
      <c r="RMH212" s="124"/>
      <c r="RMI212" s="145"/>
      <c r="RMJ212" s="145"/>
      <c r="RMK212" s="146"/>
      <c r="RML212" s="142"/>
      <c r="RMM212" s="143"/>
      <c r="RMN212" s="144"/>
      <c r="RMO212" s="124"/>
      <c r="RMP212" s="145"/>
      <c r="RMQ212" s="145"/>
      <c r="RMR212" s="146"/>
      <c r="RMS212" s="142"/>
      <c r="RMT212" s="143"/>
      <c r="RMU212" s="144"/>
      <c r="RMV212" s="124"/>
      <c r="RMW212" s="145"/>
      <c r="RMX212" s="145"/>
      <c r="RMY212" s="146"/>
      <c r="RMZ212" s="142"/>
      <c r="RNA212" s="143"/>
      <c r="RNB212" s="144"/>
      <c r="RNC212" s="124"/>
      <c r="RND212" s="145"/>
      <c r="RNE212" s="145"/>
      <c r="RNF212" s="146"/>
      <c r="RNG212" s="142"/>
      <c r="RNH212" s="143"/>
      <c r="RNI212" s="144"/>
      <c r="RNJ212" s="124"/>
      <c r="RNK212" s="145"/>
      <c r="RNL212" s="145"/>
      <c r="RNM212" s="146"/>
      <c r="RNN212" s="142"/>
      <c r="RNO212" s="143"/>
      <c r="RNP212" s="144"/>
      <c r="RNQ212" s="124"/>
      <c r="RNR212" s="145"/>
      <c r="RNS212" s="145"/>
      <c r="RNT212" s="146"/>
      <c r="RNU212" s="142"/>
      <c r="RNV212" s="143"/>
      <c r="RNW212" s="144"/>
      <c r="RNX212" s="124"/>
      <c r="RNY212" s="145"/>
      <c r="RNZ212" s="145"/>
      <c r="ROA212" s="146"/>
      <c r="ROB212" s="142"/>
      <c r="ROC212" s="143"/>
      <c r="ROD212" s="144"/>
      <c r="ROE212" s="124"/>
      <c r="ROF212" s="145"/>
      <c r="ROG212" s="145"/>
      <c r="ROH212" s="146"/>
      <c r="ROI212" s="142"/>
      <c r="ROJ212" s="143"/>
      <c r="ROK212" s="144"/>
      <c r="ROL212" s="124"/>
      <c r="ROM212" s="145"/>
      <c r="RON212" s="145"/>
      <c r="ROO212" s="146"/>
      <c r="ROP212" s="142"/>
      <c r="ROQ212" s="143"/>
      <c r="ROR212" s="144"/>
      <c r="ROS212" s="124"/>
      <c r="ROT212" s="145"/>
      <c r="ROU212" s="145"/>
      <c r="ROV212" s="146"/>
      <c r="ROW212" s="142"/>
      <c r="ROX212" s="143"/>
      <c r="ROY212" s="144"/>
      <c r="ROZ212" s="124"/>
      <c r="RPA212" s="145"/>
      <c r="RPB212" s="145"/>
      <c r="RPC212" s="146"/>
      <c r="RPD212" s="142"/>
      <c r="RPE212" s="143"/>
      <c r="RPF212" s="144"/>
      <c r="RPG212" s="124"/>
      <c r="RPH212" s="145"/>
      <c r="RPI212" s="145"/>
      <c r="RPJ212" s="146"/>
      <c r="RPK212" s="142"/>
      <c r="RPL212" s="143"/>
      <c r="RPM212" s="144"/>
      <c r="RPN212" s="124"/>
      <c r="RPO212" s="145"/>
      <c r="RPP212" s="145"/>
      <c r="RPQ212" s="146"/>
      <c r="RPR212" s="142"/>
      <c r="RPS212" s="143"/>
      <c r="RPT212" s="144"/>
      <c r="RPU212" s="124"/>
      <c r="RPV212" s="145"/>
      <c r="RPW212" s="145"/>
      <c r="RPX212" s="146"/>
      <c r="RPY212" s="142"/>
      <c r="RPZ212" s="143"/>
      <c r="RQA212" s="144"/>
      <c r="RQB212" s="124"/>
      <c r="RQC212" s="145"/>
      <c r="RQD212" s="145"/>
      <c r="RQE212" s="146"/>
      <c r="RQF212" s="142"/>
      <c r="RQG212" s="143"/>
      <c r="RQH212" s="144"/>
      <c r="RQI212" s="124"/>
      <c r="RQJ212" s="145"/>
      <c r="RQK212" s="145"/>
      <c r="RQL212" s="146"/>
      <c r="RQM212" s="142"/>
      <c r="RQN212" s="143"/>
      <c r="RQO212" s="144"/>
      <c r="RQP212" s="124"/>
      <c r="RQQ212" s="145"/>
      <c r="RQR212" s="145"/>
      <c r="RQS212" s="146"/>
      <c r="RQT212" s="142"/>
      <c r="RQU212" s="143"/>
      <c r="RQV212" s="144"/>
      <c r="RQW212" s="124"/>
      <c r="RQX212" s="145"/>
      <c r="RQY212" s="145"/>
      <c r="RQZ212" s="146"/>
      <c r="RRA212" s="142"/>
      <c r="RRB212" s="143"/>
      <c r="RRC212" s="144"/>
      <c r="RRD212" s="124"/>
      <c r="RRE212" s="145"/>
      <c r="RRF212" s="145"/>
      <c r="RRG212" s="146"/>
      <c r="RRH212" s="142"/>
      <c r="RRI212" s="143"/>
      <c r="RRJ212" s="144"/>
      <c r="RRK212" s="124"/>
      <c r="RRL212" s="145"/>
      <c r="RRM212" s="145"/>
      <c r="RRN212" s="146"/>
      <c r="RRO212" s="142"/>
      <c r="RRP212" s="143"/>
      <c r="RRQ212" s="144"/>
      <c r="RRR212" s="124"/>
      <c r="RRS212" s="145"/>
      <c r="RRT212" s="145"/>
      <c r="RRU212" s="146"/>
      <c r="RRV212" s="142"/>
      <c r="RRW212" s="143"/>
      <c r="RRX212" s="144"/>
      <c r="RRY212" s="124"/>
      <c r="RRZ212" s="145"/>
      <c r="RSA212" s="145"/>
      <c r="RSB212" s="146"/>
      <c r="RSC212" s="142"/>
      <c r="RSD212" s="143"/>
      <c r="RSE212" s="144"/>
      <c r="RSF212" s="124"/>
      <c r="RSG212" s="145"/>
      <c r="RSH212" s="145"/>
      <c r="RSI212" s="146"/>
      <c r="RSJ212" s="142"/>
      <c r="RSK212" s="143"/>
      <c r="RSL212" s="144"/>
      <c r="RSM212" s="124"/>
      <c r="RSN212" s="145"/>
      <c r="RSO212" s="145"/>
      <c r="RSP212" s="146"/>
      <c r="RSQ212" s="142"/>
      <c r="RSR212" s="143"/>
      <c r="RSS212" s="144"/>
      <c r="RST212" s="124"/>
      <c r="RSU212" s="145"/>
      <c r="RSV212" s="145"/>
      <c r="RSW212" s="146"/>
      <c r="RSX212" s="142"/>
      <c r="RSY212" s="143"/>
      <c r="RSZ212" s="144"/>
      <c r="RTA212" s="124"/>
      <c r="RTB212" s="145"/>
      <c r="RTC212" s="145"/>
      <c r="RTD212" s="146"/>
      <c r="RTE212" s="142"/>
      <c r="RTF212" s="143"/>
      <c r="RTG212" s="144"/>
      <c r="RTH212" s="124"/>
      <c r="RTI212" s="145"/>
      <c r="RTJ212" s="145"/>
      <c r="RTK212" s="146"/>
      <c r="RTL212" s="142"/>
      <c r="RTM212" s="143"/>
      <c r="RTN212" s="144"/>
      <c r="RTO212" s="124"/>
      <c r="RTP212" s="145"/>
      <c r="RTQ212" s="145"/>
      <c r="RTR212" s="146"/>
      <c r="RTS212" s="142"/>
      <c r="RTT212" s="143"/>
      <c r="RTU212" s="144"/>
      <c r="RTV212" s="124"/>
      <c r="RTW212" s="145"/>
      <c r="RTX212" s="145"/>
      <c r="RTY212" s="146"/>
      <c r="RTZ212" s="142"/>
      <c r="RUA212" s="143"/>
      <c r="RUB212" s="144"/>
      <c r="RUC212" s="124"/>
      <c r="RUD212" s="145"/>
      <c r="RUE212" s="145"/>
      <c r="RUF212" s="146"/>
      <c r="RUG212" s="142"/>
      <c r="RUH212" s="143"/>
      <c r="RUI212" s="144"/>
      <c r="RUJ212" s="124"/>
      <c r="RUK212" s="145"/>
      <c r="RUL212" s="145"/>
      <c r="RUM212" s="146"/>
      <c r="RUN212" s="142"/>
      <c r="RUO212" s="143"/>
      <c r="RUP212" s="144"/>
      <c r="RUQ212" s="124"/>
      <c r="RUR212" s="145"/>
      <c r="RUS212" s="145"/>
      <c r="RUT212" s="146"/>
      <c r="RUU212" s="142"/>
      <c r="RUV212" s="143"/>
      <c r="RUW212" s="144"/>
      <c r="RUX212" s="124"/>
      <c r="RUY212" s="145"/>
      <c r="RUZ212" s="145"/>
      <c r="RVA212" s="146"/>
      <c r="RVB212" s="142"/>
      <c r="RVC212" s="143"/>
      <c r="RVD212" s="144"/>
      <c r="RVE212" s="124"/>
      <c r="RVF212" s="145"/>
      <c r="RVG212" s="145"/>
      <c r="RVH212" s="146"/>
      <c r="RVI212" s="142"/>
      <c r="RVJ212" s="143"/>
      <c r="RVK212" s="144"/>
      <c r="RVL212" s="124"/>
      <c r="RVM212" s="145"/>
      <c r="RVN212" s="145"/>
      <c r="RVO212" s="146"/>
      <c r="RVP212" s="142"/>
      <c r="RVQ212" s="143"/>
      <c r="RVR212" s="144"/>
      <c r="RVS212" s="124"/>
      <c r="RVT212" s="145"/>
      <c r="RVU212" s="145"/>
      <c r="RVV212" s="146"/>
      <c r="RVW212" s="142"/>
      <c r="RVX212" s="143"/>
      <c r="RVY212" s="144"/>
      <c r="RVZ212" s="124"/>
      <c r="RWA212" s="145"/>
      <c r="RWB212" s="145"/>
      <c r="RWC212" s="146"/>
      <c r="RWD212" s="142"/>
      <c r="RWE212" s="143"/>
      <c r="RWF212" s="144"/>
      <c r="RWG212" s="124"/>
      <c r="RWH212" s="145"/>
      <c r="RWI212" s="145"/>
      <c r="RWJ212" s="146"/>
      <c r="RWK212" s="142"/>
      <c r="RWL212" s="143"/>
      <c r="RWM212" s="144"/>
      <c r="RWN212" s="124"/>
      <c r="RWO212" s="145"/>
      <c r="RWP212" s="145"/>
      <c r="RWQ212" s="146"/>
      <c r="RWR212" s="142"/>
      <c r="RWS212" s="143"/>
      <c r="RWT212" s="144"/>
      <c r="RWU212" s="124"/>
      <c r="RWV212" s="145"/>
      <c r="RWW212" s="145"/>
      <c r="RWX212" s="146"/>
      <c r="RWY212" s="142"/>
      <c r="RWZ212" s="143"/>
      <c r="RXA212" s="144"/>
      <c r="RXB212" s="124"/>
      <c r="RXC212" s="145"/>
      <c r="RXD212" s="145"/>
      <c r="RXE212" s="146"/>
      <c r="RXF212" s="142"/>
      <c r="RXG212" s="143"/>
      <c r="RXH212" s="144"/>
      <c r="RXI212" s="124"/>
      <c r="RXJ212" s="145"/>
      <c r="RXK212" s="145"/>
      <c r="RXL212" s="146"/>
      <c r="RXM212" s="142"/>
      <c r="RXN212" s="143"/>
      <c r="RXO212" s="144"/>
      <c r="RXP212" s="124"/>
      <c r="RXQ212" s="145"/>
      <c r="RXR212" s="145"/>
      <c r="RXS212" s="146"/>
      <c r="RXT212" s="142"/>
      <c r="RXU212" s="143"/>
      <c r="RXV212" s="144"/>
      <c r="RXW212" s="124"/>
      <c r="RXX212" s="145"/>
      <c r="RXY212" s="145"/>
      <c r="RXZ212" s="146"/>
      <c r="RYA212" s="142"/>
      <c r="RYB212" s="143"/>
      <c r="RYC212" s="144"/>
      <c r="RYD212" s="124"/>
      <c r="RYE212" s="145"/>
      <c r="RYF212" s="145"/>
      <c r="RYG212" s="146"/>
      <c r="RYH212" s="142"/>
      <c r="RYI212" s="143"/>
      <c r="RYJ212" s="144"/>
      <c r="RYK212" s="124"/>
      <c r="RYL212" s="145"/>
      <c r="RYM212" s="145"/>
      <c r="RYN212" s="146"/>
      <c r="RYO212" s="142"/>
      <c r="RYP212" s="143"/>
      <c r="RYQ212" s="144"/>
      <c r="RYR212" s="124"/>
      <c r="RYS212" s="145"/>
      <c r="RYT212" s="145"/>
      <c r="RYU212" s="146"/>
      <c r="RYV212" s="142"/>
      <c r="RYW212" s="143"/>
      <c r="RYX212" s="144"/>
      <c r="RYY212" s="124"/>
      <c r="RYZ212" s="145"/>
      <c r="RZA212" s="145"/>
      <c r="RZB212" s="146"/>
      <c r="RZC212" s="142"/>
      <c r="RZD212" s="143"/>
      <c r="RZE212" s="144"/>
      <c r="RZF212" s="124"/>
      <c r="RZG212" s="145"/>
      <c r="RZH212" s="145"/>
      <c r="RZI212" s="146"/>
      <c r="RZJ212" s="142"/>
      <c r="RZK212" s="143"/>
      <c r="RZL212" s="144"/>
      <c r="RZM212" s="124"/>
      <c r="RZN212" s="145"/>
      <c r="RZO212" s="145"/>
      <c r="RZP212" s="146"/>
      <c r="RZQ212" s="142"/>
      <c r="RZR212" s="143"/>
      <c r="RZS212" s="144"/>
      <c r="RZT212" s="124"/>
      <c r="RZU212" s="145"/>
      <c r="RZV212" s="145"/>
      <c r="RZW212" s="146"/>
      <c r="RZX212" s="142"/>
      <c r="RZY212" s="143"/>
      <c r="RZZ212" s="144"/>
      <c r="SAA212" s="124"/>
      <c r="SAB212" s="145"/>
      <c r="SAC212" s="145"/>
      <c r="SAD212" s="146"/>
      <c r="SAE212" s="142"/>
      <c r="SAF212" s="143"/>
      <c r="SAG212" s="144"/>
      <c r="SAH212" s="124"/>
      <c r="SAI212" s="145"/>
      <c r="SAJ212" s="145"/>
      <c r="SAK212" s="146"/>
      <c r="SAL212" s="142"/>
      <c r="SAM212" s="143"/>
      <c r="SAN212" s="144"/>
      <c r="SAO212" s="124"/>
      <c r="SAP212" s="145"/>
      <c r="SAQ212" s="145"/>
      <c r="SAR212" s="146"/>
      <c r="SAS212" s="142"/>
      <c r="SAT212" s="143"/>
      <c r="SAU212" s="144"/>
      <c r="SAV212" s="124"/>
      <c r="SAW212" s="145"/>
      <c r="SAX212" s="145"/>
      <c r="SAY212" s="146"/>
      <c r="SAZ212" s="142"/>
      <c r="SBA212" s="143"/>
      <c r="SBB212" s="144"/>
      <c r="SBC212" s="124"/>
      <c r="SBD212" s="145"/>
      <c r="SBE212" s="145"/>
      <c r="SBF212" s="146"/>
      <c r="SBG212" s="142"/>
      <c r="SBH212" s="143"/>
      <c r="SBI212" s="144"/>
      <c r="SBJ212" s="124"/>
      <c r="SBK212" s="145"/>
      <c r="SBL212" s="145"/>
      <c r="SBM212" s="146"/>
      <c r="SBN212" s="142"/>
      <c r="SBO212" s="143"/>
      <c r="SBP212" s="144"/>
      <c r="SBQ212" s="124"/>
      <c r="SBR212" s="145"/>
      <c r="SBS212" s="145"/>
      <c r="SBT212" s="146"/>
      <c r="SBU212" s="142"/>
      <c r="SBV212" s="143"/>
      <c r="SBW212" s="144"/>
      <c r="SBX212" s="124"/>
      <c r="SBY212" s="145"/>
      <c r="SBZ212" s="145"/>
      <c r="SCA212" s="146"/>
      <c r="SCB212" s="142"/>
      <c r="SCC212" s="143"/>
      <c r="SCD212" s="144"/>
      <c r="SCE212" s="124"/>
      <c r="SCF212" s="145"/>
      <c r="SCG212" s="145"/>
      <c r="SCH212" s="146"/>
      <c r="SCI212" s="142"/>
      <c r="SCJ212" s="143"/>
      <c r="SCK212" s="144"/>
      <c r="SCL212" s="124"/>
      <c r="SCM212" s="145"/>
      <c r="SCN212" s="145"/>
      <c r="SCO212" s="146"/>
      <c r="SCP212" s="142"/>
      <c r="SCQ212" s="143"/>
      <c r="SCR212" s="144"/>
      <c r="SCS212" s="124"/>
      <c r="SCT212" s="145"/>
      <c r="SCU212" s="145"/>
      <c r="SCV212" s="146"/>
      <c r="SCW212" s="142"/>
      <c r="SCX212" s="143"/>
      <c r="SCY212" s="144"/>
      <c r="SCZ212" s="124"/>
      <c r="SDA212" s="145"/>
      <c r="SDB212" s="145"/>
      <c r="SDC212" s="146"/>
      <c r="SDD212" s="142"/>
      <c r="SDE212" s="143"/>
      <c r="SDF212" s="144"/>
      <c r="SDG212" s="124"/>
      <c r="SDH212" s="145"/>
      <c r="SDI212" s="145"/>
      <c r="SDJ212" s="146"/>
      <c r="SDK212" s="142"/>
      <c r="SDL212" s="143"/>
      <c r="SDM212" s="144"/>
      <c r="SDN212" s="124"/>
      <c r="SDO212" s="145"/>
      <c r="SDP212" s="145"/>
      <c r="SDQ212" s="146"/>
      <c r="SDR212" s="142"/>
      <c r="SDS212" s="143"/>
      <c r="SDT212" s="144"/>
      <c r="SDU212" s="124"/>
      <c r="SDV212" s="145"/>
      <c r="SDW212" s="145"/>
      <c r="SDX212" s="146"/>
      <c r="SDY212" s="142"/>
      <c r="SDZ212" s="143"/>
      <c r="SEA212" s="144"/>
      <c r="SEB212" s="124"/>
      <c r="SEC212" s="145"/>
      <c r="SED212" s="145"/>
      <c r="SEE212" s="146"/>
      <c r="SEF212" s="142"/>
      <c r="SEG212" s="143"/>
      <c r="SEH212" s="144"/>
      <c r="SEI212" s="124"/>
      <c r="SEJ212" s="145"/>
      <c r="SEK212" s="145"/>
      <c r="SEL212" s="146"/>
      <c r="SEM212" s="142"/>
      <c r="SEN212" s="143"/>
      <c r="SEO212" s="144"/>
      <c r="SEP212" s="124"/>
      <c r="SEQ212" s="145"/>
      <c r="SER212" s="145"/>
      <c r="SES212" s="146"/>
      <c r="SET212" s="142"/>
      <c r="SEU212" s="143"/>
      <c r="SEV212" s="144"/>
      <c r="SEW212" s="124"/>
      <c r="SEX212" s="145"/>
      <c r="SEY212" s="145"/>
      <c r="SEZ212" s="146"/>
      <c r="SFA212" s="142"/>
      <c r="SFB212" s="143"/>
      <c r="SFC212" s="144"/>
      <c r="SFD212" s="124"/>
      <c r="SFE212" s="145"/>
      <c r="SFF212" s="145"/>
      <c r="SFG212" s="146"/>
      <c r="SFH212" s="142"/>
      <c r="SFI212" s="143"/>
      <c r="SFJ212" s="144"/>
      <c r="SFK212" s="124"/>
      <c r="SFL212" s="145"/>
      <c r="SFM212" s="145"/>
      <c r="SFN212" s="146"/>
      <c r="SFO212" s="142"/>
      <c r="SFP212" s="143"/>
      <c r="SFQ212" s="144"/>
      <c r="SFR212" s="124"/>
      <c r="SFS212" s="145"/>
      <c r="SFT212" s="145"/>
      <c r="SFU212" s="146"/>
      <c r="SFV212" s="142"/>
      <c r="SFW212" s="143"/>
      <c r="SFX212" s="144"/>
      <c r="SFY212" s="124"/>
      <c r="SFZ212" s="145"/>
      <c r="SGA212" s="145"/>
      <c r="SGB212" s="146"/>
      <c r="SGC212" s="142"/>
      <c r="SGD212" s="143"/>
      <c r="SGE212" s="144"/>
      <c r="SGF212" s="124"/>
      <c r="SGG212" s="145"/>
      <c r="SGH212" s="145"/>
      <c r="SGI212" s="146"/>
      <c r="SGJ212" s="142"/>
      <c r="SGK212" s="143"/>
      <c r="SGL212" s="144"/>
      <c r="SGM212" s="124"/>
      <c r="SGN212" s="145"/>
      <c r="SGO212" s="145"/>
      <c r="SGP212" s="146"/>
      <c r="SGQ212" s="142"/>
      <c r="SGR212" s="143"/>
      <c r="SGS212" s="144"/>
      <c r="SGT212" s="124"/>
      <c r="SGU212" s="145"/>
      <c r="SGV212" s="145"/>
      <c r="SGW212" s="146"/>
      <c r="SGX212" s="142"/>
      <c r="SGY212" s="143"/>
      <c r="SGZ212" s="144"/>
      <c r="SHA212" s="124"/>
      <c r="SHB212" s="145"/>
      <c r="SHC212" s="145"/>
      <c r="SHD212" s="146"/>
      <c r="SHE212" s="142"/>
      <c r="SHF212" s="143"/>
      <c r="SHG212" s="144"/>
      <c r="SHH212" s="124"/>
      <c r="SHI212" s="145"/>
      <c r="SHJ212" s="145"/>
      <c r="SHK212" s="146"/>
      <c r="SHL212" s="142"/>
      <c r="SHM212" s="143"/>
      <c r="SHN212" s="144"/>
      <c r="SHO212" s="124"/>
      <c r="SHP212" s="145"/>
      <c r="SHQ212" s="145"/>
      <c r="SHR212" s="146"/>
      <c r="SHS212" s="142"/>
      <c r="SHT212" s="143"/>
      <c r="SHU212" s="144"/>
      <c r="SHV212" s="124"/>
      <c r="SHW212" s="145"/>
      <c r="SHX212" s="145"/>
      <c r="SHY212" s="146"/>
      <c r="SHZ212" s="142"/>
      <c r="SIA212" s="143"/>
      <c r="SIB212" s="144"/>
      <c r="SIC212" s="124"/>
      <c r="SID212" s="145"/>
      <c r="SIE212" s="145"/>
      <c r="SIF212" s="146"/>
      <c r="SIG212" s="142"/>
      <c r="SIH212" s="143"/>
      <c r="SII212" s="144"/>
      <c r="SIJ212" s="124"/>
      <c r="SIK212" s="145"/>
      <c r="SIL212" s="145"/>
      <c r="SIM212" s="146"/>
      <c r="SIN212" s="142"/>
      <c r="SIO212" s="143"/>
      <c r="SIP212" s="144"/>
      <c r="SIQ212" s="124"/>
      <c r="SIR212" s="145"/>
      <c r="SIS212" s="145"/>
      <c r="SIT212" s="146"/>
      <c r="SIU212" s="142"/>
      <c r="SIV212" s="143"/>
      <c r="SIW212" s="144"/>
      <c r="SIX212" s="124"/>
      <c r="SIY212" s="145"/>
      <c r="SIZ212" s="145"/>
      <c r="SJA212" s="146"/>
      <c r="SJB212" s="142"/>
      <c r="SJC212" s="143"/>
      <c r="SJD212" s="144"/>
      <c r="SJE212" s="124"/>
      <c r="SJF212" s="145"/>
      <c r="SJG212" s="145"/>
      <c r="SJH212" s="146"/>
      <c r="SJI212" s="142"/>
      <c r="SJJ212" s="143"/>
      <c r="SJK212" s="144"/>
      <c r="SJL212" s="124"/>
      <c r="SJM212" s="145"/>
      <c r="SJN212" s="145"/>
      <c r="SJO212" s="146"/>
      <c r="SJP212" s="142"/>
      <c r="SJQ212" s="143"/>
      <c r="SJR212" s="144"/>
      <c r="SJS212" s="124"/>
      <c r="SJT212" s="145"/>
      <c r="SJU212" s="145"/>
      <c r="SJV212" s="146"/>
      <c r="SJW212" s="142"/>
      <c r="SJX212" s="143"/>
      <c r="SJY212" s="144"/>
      <c r="SJZ212" s="124"/>
      <c r="SKA212" s="145"/>
      <c r="SKB212" s="145"/>
      <c r="SKC212" s="146"/>
      <c r="SKD212" s="142"/>
      <c r="SKE212" s="143"/>
      <c r="SKF212" s="144"/>
      <c r="SKG212" s="124"/>
      <c r="SKH212" s="145"/>
      <c r="SKI212" s="145"/>
      <c r="SKJ212" s="146"/>
      <c r="SKK212" s="142"/>
      <c r="SKL212" s="143"/>
      <c r="SKM212" s="144"/>
      <c r="SKN212" s="124"/>
      <c r="SKO212" s="145"/>
      <c r="SKP212" s="145"/>
      <c r="SKQ212" s="146"/>
      <c r="SKR212" s="142"/>
      <c r="SKS212" s="143"/>
      <c r="SKT212" s="144"/>
      <c r="SKU212" s="124"/>
      <c r="SKV212" s="145"/>
      <c r="SKW212" s="145"/>
      <c r="SKX212" s="146"/>
      <c r="SKY212" s="142"/>
      <c r="SKZ212" s="143"/>
      <c r="SLA212" s="144"/>
      <c r="SLB212" s="124"/>
      <c r="SLC212" s="145"/>
      <c r="SLD212" s="145"/>
      <c r="SLE212" s="146"/>
      <c r="SLF212" s="142"/>
      <c r="SLG212" s="143"/>
      <c r="SLH212" s="144"/>
      <c r="SLI212" s="124"/>
      <c r="SLJ212" s="145"/>
      <c r="SLK212" s="145"/>
      <c r="SLL212" s="146"/>
      <c r="SLM212" s="142"/>
      <c r="SLN212" s="143"/>
      <c r="SLO212" s="144"/>
      <c r="SLP212" s="124"/>
      <c r="SLQ212" s="145"/>
      <c r="SLR212" s="145"/>
      <c r="SLS212" s="146"/>
      <c r="SLT212" s="142"/>
      <c r="SLU212" s="143"/>
      <c r="SLV212" s="144"/>
      <c r="SLW212" s="124"/>
      <c r="SLX212" s="145"/>
      <c r="SLY212" s="145"/>
      <c r="SLZ212" s="146"/>
      <c r="SMA212" s="142"/>
      <c r="SMB212" s="143"/>
      <c r="SMC212" s="144"/>
      <c r="SMD212" s="124"/>
      <c r="SME212" s="145"/>
      <c r="SMF212" s="145"/>
      <c r="SMG212" s="146"/>
      <c r="SMH212" s="142"/>
      <c r="SMI212" s="143"/>
      <c r="SMJ212" s="144"/>
      <c r="SMK212" s="124"/>
      <c r="SML212" s="145"/>
      <c r="SMM212" s="145"/>
      <c r="SMN212" s="146"/>
      <c r="SMO212" s="142"/>
      <c r="SMP212" s="143"/>
      <c r="SMQ212" s="144"/>
      <c r="SMR212" s="124"/>
      <c r="SMS212" s="145"/>
      <c r="SMT212" s="145"/>
      <c r="SMU212" s="146"/>
      <c r="SMV212" s="142"/>
      <c r="SMW212" s="143"/>
      <c r="SMX212" s="144"/>
      <c r="SMY212" s="124"/>
      <c r="SMZ212" s="145"/>
      <c r="SNA212" s="145"/>
      <c r="SNB212" s="146"/>
      <c r="SNC212" s="142"/>
      <c r="SND212" s="143"/>
      <c r="SNE212" s="144"/>
      <c r="SNF212" s="124"/>
      <c r="SNG212" s="145"/>
      <c r="SNH212" s="145"/>
      <c r="SNI212" s="146"/>
      <c r="SNJ212" s="142"/>
      <c r="SNK212" s="143"/>
      <c r="SNL212" s="144"/>
      <c r="SNM212" s="124"/>
      <c r="SNN212" s="145"/>
      <c r="SNO212" s="145"/>
      <c r="SNP212" s="146"/>
      <c r="SNQ212" s="142"/>
      <c r="SNR212" s="143"/>
      <c r="SNS212" s="144"/>
      <c r="SNT212" s="124"/>
      <c r="SNU212" s="145"/>
      <c r="SNV212" s="145"/>
      <c r="SNW212" s="146"/>
      <c r="SNX212" s="142"/>
      <c r="SNY212" s="143"/>
      <c r="SNZ212" s="144"/>
      <c r="SOA212" s="124"/>
      <c r="SOB212" s="145"/>
      <c r="SOC212" s="145"/>
      <c r="SOD212" s="146"/>
      <c r="SOE212" s="142"/>
      <c r="SOF212" s="143"/>
      <c r="SOG212" s="144"/>
      <c r="SOH212" s="124"/>
      <c r="SOI212" s="145"/>
      <c r="SOJ212" s="145"/>
      <c r="SOK212" s="146"/>
      <c r="SOL212" s="142"/>
      <c r="SOM212" s="143"/>
      <c r="SON212" s="144"/>
      <c r="SOO212" s="124"/>
      <c r="SOP212" s="145"/>
      <c r="SOQ212" s="145"/>
      <c r="SOR212" s="146"/>
      <c r="SOS212" s="142"/>
      <c r="SOT212" s="143"/>
      <c r="SOU212" s="144"/>
      <c r="SOV212" s="124"/>
      <c r="SOW212" s="145"/>
      <c r="SOX212" s="145"/>
      <c r="SOY212" s="146"/>
      <c r="SOZ212" s="142"/>
      <c r="SPA212" s="143"/>
      <c r="SPB212" s="144"/>
      <c r="SPC212" s="124"/>
      <c r="SPD212" s="145"/>
      <c r="SPE212" s="145"/>
      <c r="SPF212" s="146"/>
      <c r="SPG212" s="142"/>
      <c r="SPH212" s="143"/>
      <c r="SPI212" s="144"/>
      <c r="SPJ212" s="124"/>
      <c r="SPK212" s="145"/>
      <c r="SPL212" s="145"/>
      <c r="SPM212" s="146"/>
      <c r="SPN212" s="142"/>
      <c r="SPO212" s="143"/>
      <c r="SPP212" s="144"/>
      <c r="SPQ212" s="124"/>
      <c r="SPR212" s="145"/>
      <c r="SPS212" s="145"/>
      <c r="SPT212" s="146"/>
      <c r="SPU212" s="142"/>
      <c r="SPV212" s="143"/>
      <c r="SPW212" s="144"/>
      <c r="SPX212" s="124"/>
      <c r="SPY212" s="145"/>
      <c r="SPZ212" s="145"/>
      <c r="SQA212" s="146"/>
      <c r="SQB212" s="142"/>
      <c r="SQC212" s="143"/>
      <c r="SQD212" s="144"/>
      <c r="SQE212" s="124"/>
      <c r="SQF212" s="145"/>
      <c r="SQG212" s="145"/>
      <c r="SQH212" s="146"/>
      <c r="SQI212" s="142"/>
      <c r="SQJ212" s="143"/>
      <c r="SQK212" s="144"/>
      <c r="SQL212" s="124"/>
      <c r="SQM212" s="145"/>
      <c r="SQN212" s="145"/>
      <c r="SQO212" s="146"/>
      <c r="SQP212" s="142"/>
      <c r="SQQ212" s="143"/>
      <c r="SQR212" s="144"/>
      <c r="SQS212" s="124"/>
      <c r="SQT212" s="145"/>
      <c r="SQU212" s="145"/>
      <c r="SQV212" s="146"/>
      <c r="SQW212" s="142"/>
      <c r="SQX212" s="143"/>
      <c r="SQY212" s="144"/>
      <c r="SQZ212" s="124"/>
      <c r="SRA212" s="145"/>
      <c r="SRB212" s="145"/>
      <c r="SRC212" s="146"/>
      <c r="SRD212" s="142"/>
      <c r="SRE212" s="143"/>
      <c r="SRF212" s="144"/>
      <c r="SRG212" s="124"/>
      <c r="SRH212" s="145"/>
      <c r="SRI212" s="145"/>
      <c r="SRJ212" s="146"/>
      <c r="SRK212" s="142"/>
      <c r="SRL212" s="143"/>
      <c r="SRM212" s="144"/>
      <c r="SRN212" s="124"/>
      <c r="SRO212" s="145"/>
      <c r="SRP212" s="145"/>
      <c r="SRQ212" s="146"/>
      <c r="SRR212" s="142"/>
      <c r="SRS212" s="143"/>
      <c r="SRT212" s="144"/>
      <c r="SRU212" s="124"/>
      <c r="SRV212" s="145"/>
      <c r="SRW212" s="145"/>
      <c r="SRX212" s="146"/>
      <c r="SRY212" s="142"/>
      <c r="SRZ212" s="143"/>
      <c r="SSA212" s="144"/>
      <c r="SSB212" s="124"/>
      <c r="SSC212" s="145"/>
      <c r="SSD212" s="145"/>
      <c r="SSE212" s="146"/>
      <c r="SSF212" s="142"/>
      <c r="SSG212" s="143"/>
      <c r="SSH212" s="144"/>
      <c r="SSI212" s="124"/>
      <c r="SSJ212" s="145"/>
      <c r="SSK212" s="145"/>
      <c r="SSL212" s="146"/>
      <c r="SSM212" s="142"/>
      <c r="SSN212" s="143"/>
      <c r="SSO212" s="144"/>
      <c r="SSP212" s="124"/>
      <c r="SSQ212" s="145"/>
      <c r="SSR212" s="145"/>
      <c r="SSS212" s="146"/>
      <c r="SST212" s="142"/>
      <c r="SSU212" s="143"/>
      <c r="SSV212" s="144"/>
      <c r="SSW212" s="124"/>
      <c r="SSX212" s="145"/>
      <c r="SSY212" s="145"/>
      <c r="SSZ212" s="146"/>
      <c r="STA212" s="142"/>
      <c r="STB212" s="143"/>
      <c r="STC212" s="144"/>
      <c r="STD212" s="124"/>
      <c r="STE212" s="145"/>
      <c r="STF212" s="145"/>
      <c r="STG212" s="146"/>
      <c r="STH212" s="142"/>
      <c r="STI212" s="143"/>
      <c r="STJ212" s="144"/>
      <c r="STK212" s="124"/>
      <c r="STL212" s="145"/>
      <c r="STM212" s="145"/>
      <c r="STN212" s="146"/>
      <c r="STO212" s="142"/>
      <c r="STP212" s="143"/>
      <c r="STQ212" s="144"/>
      <c r="STR212" s="124"/>
      <c r="STS212" s="145"/>
      <c r="STT212" s="145"/>
      <c r="STU212" s="146"/>
      <c r="STV212" s="142"/>
      <c r="STW212" s="143"/>
      <c r="STX212" s="144"/>
      <c r="STY212" s="124"/>
      <c r="STZ212" s="145"/>
      <c r="SUA212" s="145"/>
      <c r="SUB212" s="146"/>
      <c r="SUC212" s="142"/>
      <c r="SUD212" s="143"/>
      <c r="SUE212" s="144"/>
      <c r="SUF212" s="124"/>
      <c r="SUG212" s="145"/>
      <c r="SUH212" s="145"/>
      <c r="SUI212" s="146"/>
      <c r="SUJ212" s="142"/>
      <c r="SUK212" s="143"/>
      <c r="SUL212" s="144"/>
      <c r="SUM212" s="124"/>
      <c r="SUN212" s="145"/>
      <c r="SUO212" s="145"/>
      <c r="SUP212" s="146"/>
      <c r="SUQ212" s="142"/>
      <c r="SUR212" s="143"/>
      <c r="SUS212" s="144"/>
      <c r="SUT212" s="124"/>
      <c r="SUU212" s="145"/>
      <c r="SUV212" s="145"/>
      <c r="SUW212" s="146"/>
      <c r="SUX212" s="142"/>
      <c r="SUY212" s="143"/>
      <c r="SUZ212" s="144"/>
      <c r="SVA212" s="124"/>
      <c r="SVB212" s="145"/>
      <c r="SVC212" s="145"/>
      <c r="SVD212" s="146"/>
      <c r="SVE212" s="142"/>
      <c r="SVF212" s="143"/>
      <c r="SVG212" s="144"/>
      <c r="SVH212" s="124"/>
      <c r="SVI212" s="145"/>
      <c r="SVJ212" s="145"/>
      <c r="SVK212" s="146"/>
      <c r="SVL212" s="142"/>
      <c r="SVM212" s="143"/>
      <c r="SVN212" s="144"/>
      <c r="SVO212" s="124"/>
      <c r="SVP212" s="145"/>
      <c r="SVQ212" s="145"/>
      <c r="SVR212" s="146"/>
      <c r="SVS212" s="142"/>
      <c r="SVT212" s="143"/>
      <c r="SVU212" s="144"/>
      <c r="SVV212" s="124"/>
      <c r="SVW212" s="145"/>
      <c r="SVX212" s="145"/>
      <c r="SVY212" s="146"/>
      <c r="SVZ212" s="142"/>
      <c r="SWA212" s="143"/>
      <c r="SWB212" s="144"/>
      <c r="SWC212" s="124"/>
      <c r="SWD212" s="145"/>
      <c r="SWE212" s="145"/>
      <c r="SWF212" s="146"/>
      <c r="SWG212" s="142"/>
      <c r="SWH212" s="143"/>
      <c r="SWI212" s="144"/>
      <c r="SWJ212" s="124"/>
      <c r="SWK212" s="145"/>
      <c r="SWL212" s="145"/>
      <c r="SWM212" s="146"/>
      <c r="SWN212" s="142"/>
      <c r="SWO212" s="143"/>
      <c r="SWP212" s="144"/>
      <c r="SWQ212" s="124"/>
      <c r="SWR212" s="145"/>
      <c r="SWS212" s="145"/>
      <c r="SWT212" s="146"/>
      <c r="SWU212" s="142"/>
      <c r="SWV212" s="143"/>
      <c r="SWW212" s="144"/>
      <c r="SWX212" s="124"/>
      <c r="SWY212" s="145"/>
      <c r="SWZ212" s="145"/>
      <c r="SXA212" s="146"/>
      <c r="SXB212" s="142"/>
      <c r="SXC212" s="143"/>
      <c r="SXD212" s="144"/>
      <c r="SXE212" s="124"/>
      <c r="SXF212" s="145"/>
      <c r="SXG212" s="145"/>
      <c r="SXH212" s="146"/>
      <c r="SXI212" s="142"/>
      <c r="SXJ212" s="143"/>
      <c r="SXK212" s="144"/>
      <c r="SXL212" s="124"/>
      <c r="SXM212" s="145"/>
      <c r="SXN212" s="145"/>
      <c r="SXO212" s="146"/>
      <c r="SXP212" s="142"/>
      <c r="SXQ212" s="143"/>
      <c r="SXR212" s="144"/>
      <c r="SXS212" s="124"/>
      <c r="SXT212" s="145"/>
      <c r="SXU212" s="145"/>
      <c r="SXV212" s="146"/>
      <c r="SXW212" s="142"/>
      <c r="SXX212" s="143"/>
      <c r="SXY212" s="144"/>
      <c r="SXZ212" s="124"/>
      <c r="SYA212" s="145"/>
      <c r="SYB212" s="145"/>
      <c r="SYC212" s="146"/>
      <c r="SYD212" s="142"/>
      <c r="SYE212" s="143"/>
      <c r="SYF212" s="144"/>
      <c r="SYG212" s="124"/>
      <c r="SYH212" s="145"/>
      <c r="SYI212" s="145"/>
      <c r="SYJ212" s="146"/>
      <c r="SYK212" s="142"/>
      <c r="SYL212" s="143"/>
      <c r="SYM212" s="144"/>
      <c r="SYN212" s="124"/>
      <c r="SYO212" s="145"/>
      <c r="SYP212" s="145"/>
      <c r="SYQ212" s="146"/>
      <c r="SYR212" s="142"/>
      <c r="SYS212" s="143"/>
      <c r="SYT212" s="144"/>
      <c r="SYU212" s="124"/>
      <c r="SYV212" s="145"/>
      <c r="SYW212" s="145"/>
      <c r="SYX212" s="146"/>
      <c r="SYY212" s="142"/>
      <c r="SYZ212" s="143"/>
      <c r="SZA212" s="144"/>
      <c r="SZB212" s="124"/>
      <c r="SZC212" s="145"/>
      <c r="SZD212" s="145"/>
      <c r="SZE212" s="146"/>
      <c r="SZF212" s="142"/>
      <c r="SZG212" s="143"/>
      <c r="SZH212" s="144"/>
      <c r="SZI212" s="124"/>
      <c r="SZJ212" s="145"/>
      <c r="SZK212" s="145"/>
      <c r="SZL212" s="146"/>
      <c r="SZM212" s="142"/>
      <c r="SZN212" s="143"/>
      <c r="SZO212" s="144"/>
      <c r="SZP212" s="124"/>
      <c r="SZQ212" s="145"/>
      <c r="SZR212" s="145"/>
      <c r="SZS212" s="146"/>
      <c r="SZT212" s="142"/>
      <c r="SZU212" s="143"/>
      <c r="SZV212" s="144"/>
      <c r="SZW212" s="124"/>
      <c r="SZX212" s="145"/>
      <c r="SZY212" s="145"/>
      <c r="SZZ212" s="146"/>
      <c r="TAA212" s="142"/>
      <c r="TAB212" s="143"/>
      <c r="TAC212" s="144"/>
      <c r="TAD212" s="124"/>
      <c r="TAE212" s="145"/>
      <c r="TAF212" s="145"/>
      <c r="TAG212" s="146"/>
      <c r="TAH212" s="142"/>
      <c r="TAI212" s="143"/>
      <c r="TAJ212" s="144"/>
      <c r="TAK212" s="124"/>
      <c r="TAL212" s="145"/>
      <c r="TAM212" s="145"/>
      <c r="TAN212" s="146"/>
      <c r="TAO212" s="142"/>
      <c r="TAP212" s="143"/>
      <c r="TAQ212" s="144"/>
      <c r="TAR212" s="124"/>
      <c r="TAS212" s="145"/>
      <c r="TAT212" s="145"/>
      <c r="TAU212" s="146"/>
      <c r="TAV212" s="142"/>
      <c r="TAW212" s="143"/>
      <c r="TAX212" s="144"/>
      <c r="TAY212" s="124"/>
      <c r="TAZ212" s="145"/>
      <c r="TBA212" s="145"/>
      <c r="TBB212" s="146"/>
      <c r="TBC212" s="142"/>
      <c r="TBD212" s="143"/>
      <c r="TBE212" s="144"/>
      <c r="TBF212" s="124"/>
      <c r="TBG212" s="145"/>
      <c r="TBH212" s="145"/>
      <c r="TBI212" s="146"/>
      <c r="TBJ212" s="142"/>
      <c r="TBK212" s="143"/>
      <c r="TBL212" s="144"/>
      <c r="TBM212" s="124"/>
      <c r="TBN212" s="145"/>
      <c r="TBO212" s="145"/>
      <c r="TBP212" s="146"/>
      <c r="TBQ212" s="142"/>
      <c r="TBR212" s="143"/>
      <c r="TBS212" s="144"/>
      <c r="TBT212" s="124"/>
      <c r="TBU212" s="145"/>
      <c r="TBV212" s="145"/>
      <c r="TBW212" s="146"/>
      <c r="TBX212" s="142"/>
      <c r="TBY212" s="143"/>
      <c r="TBZ212" s="144"/>
      <c r="TCA212" s="124"/>
      <c r="TCB212" s="145"/>
      <c r="TCC212" s="145"/>
      <c r="TCD212" s="146"/>
      <c r="TCE212" s="142"/>
      <c r="TCF212" s="143"/>
      <c r="TCG212" s="144"/>
      <c r="TCH212" s="124"/>
      <c r="TCI212" s="145"/>
      <c r="TCJ212" s="145"/>
      <c r="TCK212" s="146"/>
      <c r="TCL212" s="142"/>
      <c r="TCM212" s="143"/>
      <c r="TCN212" s="144"/>
      <c r="TCO212" s="124"/>
      <c r="TCP212" s="145"/>
      <c r="TCQ212" s="145"/>
      <c r="TCR212" s="146"/>
      <c r="TCS212" s="142"/>
      <c r="TCT212" s="143"/>
      <c r="TCU212" s="144"/>
      <c r="TCV212" s="124"/>
      <c r="TCW212" s="145"/>
      <c r="TCX212" s="145"/>
      <c r="TCY212" s="146"/>
      <c r="TCZ212" s="142"/>
      <c r="TDA212" s="143"/>
      <c r="TDB212" s="144"/>
      <c r="TDC212" s="124"/>
      <c r="TDD212" s="145"/>
      <c r="TDE212" s="145"/>
      <c r="TDF212" s="146"/>
      <c r="TDG212" s="142"/>
      <c r="TDH212" s="143"/>
      <c r="TDI212" s="144"/>
      <c r="TDJ212" s="124"/>
      <c r="TDK212" s="145"/>
      <c r="TDL212" s="145"/>
      <c r="TDM212" s="146"/>
      <c r="TDN212" s="142"/>
      <c r="TDO212" s="143"/>
      <c r="TDP212" s="144"/>
      <c r="TDQ212" s="124"/>
      <c r="TDR212" s="145"/>
      <c r="TDS212" s="145"/>
      <c r="TDT212" s="146"/>
      <c r="TDU212" s="142"/>
      <c r="TDV212" s="143"/>
      <c r="TDW212" s="144"/>
      <c r="TDX212" s="124"/>
      <c r="TDY212" s="145"/>
      <c r="TDZ212" s="145"/>
      <c r="TEA212" s="146"/>
      <c r="TEB212" s="142"/>
      <c r="TEC212" s="143"/>
      <c r="TED212" s="144"/>
      <c r="TEE212" s="124"/>
      <c r="TEF212" s="145"/>
      <c r="TEG212" s="145"/>
      <c r="TEH212" s="146"/>
      <c r="TEI212" s="142"/>
      <c r="TEJ212" s="143"/>
      <c r="TEK212" s="144"/>
      <c r="TEL212" s="124"/>
      <c r="TEM212" s="145"/>
      <c r="TEN212" s="145"/>
      <c r="TEO212" s="146"/>
      <c r="TEP212" s="142"/>
      <c r="TEQ212" s="143"/>
      <c r="TER212" s="144"/>
      <c r="TES212" s="124"/>
      <c r="TET212" s="145"/>
      <c r="TEU212" s="145"/>
      <c r="TEV212" s="146"/>
      <c r="TEW212" s="142"/>
      <c r="TEX212" s="143"/>
      <c r="TEY212" s="144"/>
      <c r="TEZ212" s="124"/>
      <c r="TFA212" s="145"/>
      <c r="TFB212" s="145"/>
      <c r="TFC212" s="146"/>
      <c r="TFD212" s="142"/>
      <c r="TFE212" s="143"/>
      <c r="TFF212" s="144"/>
      <c r="TFG212" s="124"/>
      <c r="TFH212" s="145"/>
      <c r="TFI212" s="145"/>
      <c r="TFJ212" s="146"/>
      <c r="TFK212" s="142"/>
      <c r="TFL212" s="143"/>
      <c r="TFM212" s="144"/>
      <c r="TFN212" s="124"/>
      <c r="TFO212" s="145"/>
      <c r="TFP212" s="145"/>
      <c r="TFQ212" s="146"/>
      <c r="TFR212" s="142"/>
      <c r="TFS212" s="143"/>
      <c r="TFT212" s="144"/>
      <c r="TFU212" s="124"/>
      <c r="TFV212" s="145"/>
      <c r="TFW212" s="145"/>
      <c r="TFX212" s="146"/>
      <c r="TFY212" s="142"/>
      <c r="TFZ212" s="143"/>
      <c r="TGA212" s="144"/>
      <c r="TGB212" s="124"/>
      <c r="TGC212" s="145"/>
      <c r="TGD212" s="145"/>
      <c r="TGE212" s="146"/>
      <c r="TGF212" s="142"/>
      <c r="TGG212" s="143"/>
      <c r="TGH212" s="144"/>
      <c r="TGI212" s="124"/>
      <c r="TGJ212" s="145"/>
      <c r="TGK212" s="145"/>
      <c r="TGL212" s="146"/>
      <c r="TGM212" s="142"/>
      <c r="TGN212" s="143"/>
      <c r="TGO212" s="144"/>
      <c r="TGP212" s="124"/>
      <c r="TGQ212" s="145"/>
      <c r="TGR212" s="145"/>
      <c r="TGS212" s="146"/>
      <c r="TGT212" s="142"/>
      <c r="TGU212" s="143"/>
      <c r="TGV212" s="144"/>
      <c r="TGW212" s="124"/>
      <c r="TGX212" s="145"/>
      <c r="TGY212" s="145"/>
      <c r="TGZ212" s="146"/>
      <c r="THA212" s="142"/>
      <c r="THB212" s="143"/>
      <c r="THC212" s="144"/>
      <c r="THD212" s="124"/>
      <c r="THE212" s="145"/>
      <c r="THF212" s="145"/>
      <c r="THG212" s="146"/>
      <c r="THH212" s="142"/>
      <c r="THI212" s="143"/>
      <c r="THJ212" s="144"/>
      <c r="THK212" s="124"/>
      <c r="THL212" s="145"/>
      <c r="THM212" s="145"/>
      <c r="THN212" s="146"/>
      <c r="THO212" s="142"/>
      <c r="THP212" s="143"/>
      <c r="THQ212" s="144"/>
      <c r="THR212" s="124"/>
      <c r="THS212" s="145"/>
      <c r="THT212" s="145"/>
      <c r="THU212" s="146"/>
      <c r="THV212" s="142"/>
      <c r="THW212" s="143"/>
      <c r="THX212" s="144"/>
      <c r="THY212" s="124"/>
      <c r="THZ212" s="145"/>
      <c r="TIA212" s="145"/>
      <c r="TIB212" s="146"/>
      <c r="TIC212" s="142"/>
      <c r="TID212" s="143"/>
      <c r="TIE212" s="144"/>
      <c r="TIF212" s="124"/>
      <c r="TIG212" s="145"/>
      <c r="TIH212" s="145"/>
      <c r="TII212" s="146"/>
      <c r="TIJ212" s="142"/>
      <c r="TIK212" s="143"/>
      <c r="TIL212" s="144"/>
      <c r="TIM212" s="124"/>
      <c r="TIN212" s="145"/>
      <c r="TIO212" s="145"/>
      <c r="TIP212" s="146"/>
      <c r="TIQ212" s="142"/>
      <c r="TIR212" s="143"/>
      <c r="TIS212" s="144"/>
      <c r="TIT212" s="124"/>
      <c r="TIU212" s="145"/>
      <c r="TIV212" s="145"/>
      <c r="TIW212" s="146"/>
      <c r="TIX212" s="142"/>
      <c r="TIY212" s="143"/>
      <c r="TIZ212" s="144"/>
      <c r="TJA212" s="124"/>
      <c r="TJB212" s="145"/>
      <c r="TJC212" s="145"/>
      <c r="TJD212" s="146"/>
      <c r="TJE212" s="142"/>
      <c r="TJF212" s="143"/>
      <c r="TJG212" s="144"/>
      <c r="TJH212" s="124"/>
      <c r="TJI212" s="145"/>
      <c r="TJJ212" s="145"/>
      <c r="TJK212" s="146"/>
      <c r="TJL212" s="142"/>
      <c r="TJM212" s="143"/>
      <c r="TJN212" s="144"/>
      <c r="TJO212" s="124"/>
      <c r="TJP212" s="145"/>
      <c r="TJQ212" s="145"/>
      <c r="TJR212" s="146"/>
      <c r="TJS212" s="142"/>
      <c r="TJT212" s="143"/>
      <c r="TJU212" s="144"/>
      <c r="TJV212" s="124"/>
      <c r="TJW212" s="145"/>
      <c r="TJX212" s="145"/>
      <c r="TJY212" s="146"/>
      <c r="TJZ212" s="142"/>
      <c r="TKA212" s="143"/>
      <c r="TKB212" s="144"/>
      <c r="TKC212" s="124"/>
      <c r="TKD212" s="145"/>
      <c r="TKE212" s="145"/>
      <c r="TKF212" s="146"/>
      <c r="TKG212" s="142"/>
      <c r="TKH212" s="143"/>
      <c r="TKI212" s="144"/>
      <c r="TKJ212" s="124"/>
      <c r="TKK212" s="145"/>
      <c r="TKL212" s="145"/>
      <c r="TKM212" s="146"/>
      <c r="TKN212" s="142"/>
      <c r="TKO212" s="143"/>
      <c r="TKP212" s="144"/>
      <c r="TKQ212" s="124"/>
      <c r="TKR212" s="145"/>
      <c r="TKS212" s="145"/>
      <c r="TKT212" s="146"/>
      <c r="TKU212" s="142"/>
      <c r="TKV212" s="143"/>
      <c r="TKW212" s="144"/>
      <c r="TKX212" s="124"/>
      <c r="TKY212" s="145"/>
      <c r="TKZ212" s="145"/>
      <c r="TLA212" s="146"/>
      <c r="TLB212" s="142"/>
      <c r="TLC212" s="143"/>
      <c r="TLD212" s="144"/>
      <c r="TLE212" s="124"/>
      <c r="TLF212" s="145"/>
      <c r="TLG212" s="145"/>
      <c r="TLH212" s="146"/>
      <c r="TLI212" s="142"/>
      <c r="TLJ212" s="143"/>
      <c r="TLK212" s="144"/>
      <c r="TLL212" s="124"/>
      <c r="TLM212" s="145"/>
      <c r="TLN212" s="145"/>
      <c r="TLO212" s="146"/>
      <c r="TLP212" s="142"/>
      <c r="TLQ212" s="143"/>
      <c r="TLR212" s="144"/>
      <c r="TLS212" s="124"/>
      <c r="TLT212" s="145"/>
      <c r="TLU212" s="145"/>
      <c r="TLV212" s="146"/>
      <c r="TLW212" s="142"/>
      <c r="TLX212" s="143"/>
      <c r="TLY212" s="144"/>
      <c r="TLZ212" s="124"/>
      <c r="TMA212" s="145"/>
      <c r="TMB212" s="145"/>
      <c r="TMC212" s="146"/>
      <c r="TMD212" s="142"/>
      <c r="TME212" s="143"/>
      <c r="TMF212" s="144"/>
      <c r="TMG212" s="124"/>
      <c r="TMH212" s="145"/>
      <c r="TMI212" s="145"/>
      <c r="TMJ212" s="146"/>
      <c r="TMK212" s="142"/>
      <c r="TML212" s="143"/>
      <c r="TMM212" s="144"/>
      <c r="TMN212" s="124"/>
      <c r="TMO212" s="145"/>
      <c r="TMP212" s="145"/>
      <c r="TMQ212" s="146"/>
      <c r="TMR212" s="142"/>
      <c r="TMS212" s="143"/>
      <c r="TMT212" s="144"/>
      <c r="TMU212" s="124"/>
      <c r="TMV212" s="145"/>
      <c r="TMW212" s="145"/>
      <c r="TMX212" s="146"/>
      <c r="TMY212" s="142"/>
      <c r="TMZ212" s="143"/>
      <c r="TNA212" s="144"/>
      <c r="TNB212" s="124"/>
      <c r="TNC212" s="145"/>
      <c r="TND212" s="145"/>
      <c r="TNE212" s="146"/>
      <c r="TNF212" s="142"/>
      <c r="TNG212" s="143"/>
      <c r="TNH212" s="144"/>
      <c r="TNI212" s="124"/>
      <c r="TNJ212" s="145"/>
      <c r="TNK212" s="145"/>
      <c r="TNL212" s="146"/>
      <c r="TNM212" s="142"/>
      <c r="TNN212" s="143"/>
      <c r="TNO212" s="144"/>
      <c r="TNP212" s="124"/>
      <c r="TNQ212" s="145"/>
      <c r="TNR212" s="145"/>
      <c r="TNS212" s="146"/>
      <c r="TNT212" s="142"/>
      <c r="TNU212" s="143"/>
      <c r="TNV212" s="144"/>
      <c r="TNW212" s="124"/>
      <c r="TNX212" s="145"/>
      <c r="TNY212" s="145"/>
      <c r="TNZ212" s="146"/>
      <c r="TOA212" s="142"/>
      <c r="TOB212" s="143"/>
      <c r="TOC212" s="144"/>
      <c r="TOD212" s="124"/>
      <c r="TOE212" s="145"/>
      <c r="TOF212" s="145"/>
      <c r="TOG212" s="146"/>
      <c r="TOH212" s="142"/>
      <c r="TOI212" s="143"/>
      <c r="TOJ212" s="144"/>
      <c r="TOK212" s="124"/>
      <c r="TOL212" s="145"/>
      <c r="TOM212" s="145"/>
      <c r="TON212" s="146"/>
      <c r="TOO212" s="142"/>
      <c r="TOP212" s="143"/>
      <c r="TOQ212" s="144"/>
      <c r="TOR212" s="124"/>
      <c r="TOS212" s="145"/>
      <c r="TOT212" s="145"/>
      <c r="TOU212" s="146"/>
      <c r="TOV212" s="142"/>
      <c r="TOW212" s="143"/>
      <c r="TOX212" s="144"/>
      <c r="TOY212" s="124"/>
      <c r="TOZ212" s="145"/>
      <c r="TPA212" s="145"/>
      <c r="TPB212" s="146"/>
      <c r="TPC212" s="142"/>
      <c r="TPD212" s="143"/>
      <c r="TPE212" s="144"/>
      <c r="TPF212" s="124"/>
      <c r="TPG212" s="145"/>
      <c r="TPH212" s="145"/>
      <c r="TPI212" s="146"/>
      <c r="TPJ212" s="142"/>
      <c r="TPK212" s="143"/>
      <c r="TPL212" s="144"/>
      <c r="TPM212" s="124"/>
      <c r="TPN212" s="145"/>
      <c r="TPO212" s="145"/>
      <c r="TPP212" s="146"/>
      <c r="TPQ212" s="142"/>
      <c r="TPR212" s="143"/>
      <c r="TPS212" s="144"/>
      <c r="TPT212" s="124"/>
      <c r="TPU212" s="145"/>
      <c r="TPV212" s="145"/>
      <c r="TPW212" s="146"/>
      <c r="TPX212" s="142"/>
      <c r="TPY212" s="143"/>
      <c r="TPZ212" s="144"/>
      <c r="TQA212" s="124"/>
      <c r="TQB212" s="145"/>
      <c r="TQC212" s="145"/>
      <c r="TQD212" s="146"/>
      <c r="TQE212" s="142"/>
      <c r="TQF212" s="143"/>
      <c r="TQG212" s="144"/>
      <c r="TQH212" s="124"/>
      <c r="TQI212" s="145"/>
      <c r="TQJ212" s="145"/>
      <c r="TQK212" s="146"/>
      <c r="TQL212" s="142"/>
      <c r="TQM212" s="143"/>
      <c r="TQN212" s="144"/>
      <c r="TQO212" s="124"/>
      <c r="TQP212" s="145"/>
      <c r="TQQ212" s="145"/>
      <c r="TQR212" s="146"/>
      <c r="TQS212" s="142"/>
      <c r="TQT212" s="143"/>
      <c r="TQU212" s="144"/>
      <c r="TQV212" s="124"/>
      <c r="TQW212" s="145"/>
      <c r="TQX212" s="145"/>
      <c r="TQY212" s="146"/>
      <c r="TQZ212" s="142"/>
      <c r="TRA212" s="143"/>
      <c r="TRB212" s="144"/>
      <c r="TRC212" s="124"/>
      <c r="TRD212" s="145"/>
      <c r="TRE212" s="145"/>
      <c r="TRF212" s="146"/>
      <c r="TRG212" s="142"/>
      <c r="TRH212" s="143"/>
      <c r="TRI212" s="144"/>
      <c r="TRJ212" s="124"/>
      <c r="TRK212" s="145"/>
      <c r="TRL212" s="145"/>
      <c r="TRM212" s="146"/>
      <c r="TRN212" s="142"/>
      <c r="TRO212" s="143"/>
      <c r="TRP212" s="144"/>
      <c r="TRQ212" s="124"/>
      <c r="TRR212" s="145"/>
      <c r="TRS212" s="145"/>
      <c r="TRT212" s="146"/>
      <c r="TRU212" s="142"/>
      <c r="TRV212" s="143"/>
      <c r="TRW212" s="144"/>
      <c r="TRX212" s="124"/>
      <c r="TRY212" s="145"/>
      <c r="TRZ212" s="145"/>
      <c r="TSA212" s="146"/>
      <c r="TSB212" s="142"/>
      <c r="TSC212" s="143"/>
      <c r="TSD212" s="144"/>
      <c r="TSE212" s="124"/>
      <c r="TSF212" s="145"/>
      <c r="TSG212" s="145"/>
      <c r="TSH212" s="146"/>
      <c r="TSI212" s="142"/>
      <c r="TSJ212" s="143"/>
      <c r="TSK212" s="144"/>
      <c r="TSL212" s="124"/>
      <c r="TSM212" s="145"/>
      <c r="TSN212" s="145"/>
      <c r="TSO212" s="146"/>
      <c r="TSP212" s="142"/>
      <c r="TSQ212" s="143"/>
      <c r="TSR212" s="144"/>
      <c r="TSS212" s="124"/>
      <c r="TST212" s="145"/>
      <c r="TSU212" s="145"/>
      <c r="TSV212" s="146"/>
      <c r="TSW212" s="142"/>
      <c r="TSX212" s="143"/>
      <c r="TSY212" s="144"/>
      <c r="TSZ212" s="124"/>
      <c r="TTA212" s="145"/>
      <c r="TTB212" s="145"/>
      <c r="TTC212" s="146"/>
      <c r="TTD212" s="142"/>
      <c r="TTE212" s="143"/>
      <c r="TTF212" s="144"/>
      <c r="TTG212" s="124"/>
      <c r="TTH212" s="145"/>
      <c r="TTI212" s="145"/>
      <c r="TTJ212" s="146"/>
      <c r="TTK212" s="142"/>
      <c r="TTL212" s="143"/>
      <c r="TTM212" s="144"/>
      <c r="TTN212" s="124"/>
      <c r="TTO212" s="145"/>
      <c r="TTP212" s="145"/>
      <c r="TTQ212" s="146"/>
      <c r="TTR212" s="142"/>
      <c r="TTS212" s="143"/>
      <c r="TTT212" s="144"/>
      <c r="TTU212" s="124"/>
      <c r="TTV212" s="145"/>
      <c r="TTW212" s="145"/>
      <c r="TTX212" s="146"/>
      <c r="TTY212" s="142"/>
      <c r="TTZ212" s="143"/>
      <c r="TUA212" s="144"/>
      <c r="TUB212" s="124"/>
      <c r="TUC212" s="145"/>
      <c r="TUD212" s="145"/>
      <c r="TUE212" s="146"/>
      <c r="TUF212" s="142"/>
      <c r="TUG212" s="143"/>
      <c r="TUH212" s="144"/>
      <c r="TUI212" s="124"/>
      <c r="TUJ212" s="145"/>
      <c r="TUK212" s="145"/>
      <c r="TUL212" s="146"/>
      <c r="TUM212" s="142"/>
      <c r="TUN212" s="143"/>
      <c r="TUO212" s="144"/>
      <c r="TUP212" s="124"/>
      <c r="TUQ212" s="145"/>
      <c r="TUR212" s="145"/>
      <c r="TUS212" s="146"/>
      <c r="TUT212" s="142"/>
      <c r="TUU212" s="143"/>
      <c r="TUV212" s="144"/>
      <c r="TUW212" s="124"/>
      <c r="TUX212" s="145"/>
      <c r="TUY212" s="145"/>
      <c r="TUZ212" s="146"/>
      <c r="TVA212" s="142"/>
      <c r="TVB212" s="143"/>
      <c r="TVC212" s="144"/>
      <c r="TVD212" s="124"/>
      <c r="TVE212" s="145"/>
      <c r="TVF212" s="145"/>
      <c r="TVG212" s="146"/>
      <c r="TVH212" s="142"/>
      <c r="TVI212" s="143"/>
      <c r="TVJ212" s="144"/>
      <c r="TVK212" s="124"/>
      <c r="TVL212" s="145"/>
      <c r="TVM212" s="145"/>
      <c r="TVN212" s="146"/>
      <c r="TVO212" s="142"/>
      <c r="TVP212" s="143"/>
      <c r="TVQ212" s="144"/>
      <c r="TVR212" s="124"/>
      <c r="TVS212" s="145"/>
      <c r="TVT212" s="145"/>
      <c r="TVU212" s="146"/>
      <c r="TVV212" s="142"/>
      <c r="TVW212" s="143"/>
      <c r="TVX212" s="144"/>
      <c r="TVY212" s="124"/>
      <c r="TVZ212" s="145"/>
      <c r="TWA212" s="145"/>
      <c r="TWB212" s="146"/>
      <c r="TWC212" s="142"/>
      <c r="TWD212" s="143"/>
      <c r="TWE212" s="144"/>
      <c r="TWF212" s="124"/>
      <c r="TWG212" s="145"/>
      <c r="TWH212" s="145"/>
      <c r="TWI212" s="146"/>
      <c r="TWJ212" s="142"/>
      <c r="TWK212" s="143"/>
      <c r="TWL212" s="144"/>
      <c r="TWM212" s="124"/>
      <c r="TWN212" s="145"/>
      <c r="TWO212" s="145"/>
      <c r="TWP212" s="146"/>
      <c r="TWQ212" s="142"/>
      <c r="TWR212" s="143"/>
      <c r="TWS212" s="144"/>
      <c r="TWT212" s="124"/>
      <c r="TWU212" s="145"/>
      <c r="TWV212" s="145"/>
      <c r="TWW212" s="146"/>
      <c r="TWX212" s="142"/>
      <c r="TWY212" s="143"/>
      <c r="TWZ212" s="144"/>
      <c r="TXA212" s="124"/>
      <c r="TXB212" s="145"/>
      <c r="TXC212" s="145"/>
      <c r="TXD212" s="146"/>
      <c r="TXE212" s="142"/>
      <c r="TXF212" s="143"/>
      <c r="TXG212" s="144"/>
      <c r="TXH212" s="124"/>
      <c r="TXI212" s="145"/>
      <c r="TXJ212" s="145"/>
      <c r="TXK212" s="146"/>
      <c r="TXL212" s="142"/>
      <c r="TXM212" s="143"/>
      <c r="TXN212" s="144"/>
      <c r="TXO212" s="124"/>
      <c r="TXP212" s="145"/>
      <c r="TXQ212" s="145"/>
      <c r="TXR212" s="146"/>
      <c r="TXS212" s="142"/>
      <c r="TXT212" s="143"/>
      <c r="TXU212" s="144"/>
      <c r="TXV212" s="124"/>
      <c r="TXW212" s="145"/>
      <c r="TXX212" s="145"/>
      <c r="TXY212" s="146"/>
      <c r="TXZ212" s="142"/>
      <c r="TYA212" s="143"/>
      <c r="TYB212" s="144"/>
      <c r="TYC212" s="124"/>
      <c r="TYD212" s="145"/>
      <c r="TYE212" s="145"/>
      <c r="TYF212" s="146"/>
      <c r="TYG212" s="142"/>
      <c r="TYH212" s="143"/>
      <c r="TYI212" s="144"/>
      <c r="TYJ212" s="124"/>
      <c r="TYK212" s="145"/>
      <c r="TYL212" s="145"/>
      <c r="TYM212" s="146"/>
      <c r="TYN212" s="142"/>
      <c r="TYO212" s="143"/>
      <c r="TYP212" s="144"/>
      <c r="TYQ212" s="124"/>
      <c r="TYR212" s="145"/>
      <c r="TYS212" s="145"/>
      <c r="TYT212" s="146"/>
      <c r="TYU212" s="142"/>
      <c r="TYV212" s="143"/>
      <c r="TYW212" s="144"/>
      <c r="TYX212" s="124"/>
      <c r="TYY212" s="145"/>
      <c r="TYZ212" s="145"/>
      <c r="TZA212" s="146"/>
      <c r="TZB212" s="142"/>
      <c r="TZC212" s="143"/>
      <c r="TZD212" s="144"/>
      <c r="TZE212" s="124"/>
      <c r="TZF212" s="145"/>
      <c r="TZG212" s="145"/>
      <c r="TZH212" s="146"/>
      <c r="TZI212" s="142"/>
      <c r="TZJ212" s="143"/>
      <c r="TZK212" s="144"/>
      <c r="TZL212" s="124"/>
      <c r="TZM212" s="145"/>
      <c r="TZN212" s="145"/>
      <c r="TZO212" s="146"/>
      <c r="TZP212" s="142"/>
      <c r="TZQ212" s="143"/>
      <c r="TZR212" s="144"/>
      <c r="TZS212" s="124"/>
      <c r="TZT212" s="145"/>
      <c r="TZU212" s="145"/>
      <c r="TZV212" s="146"/>
      <c r="TZW212" s="142"/>
      <c r="TZX212" s="143"/>
      <c r="TZY212" s="144"/>
      <c r="TZZ212" s="124"/>
      <c r="UAA212" s="145"/>
      <c r="UAB212" s="145"/>
      <c r="UAC212" s="146"/>
      <c r="UAD212" s="142"/>
      <c r="UAE212" s="143"/>
      <c r="UAF212" s="144"/>
      <c r="UAG212" s="124"/>
      <c r="UAH212" s="145"/>
      <c r="UAI212" s="145"/>
      <c r="UAJ212" s="146"/>
      <c r="UAK212" s="142"/>
      <c r="UAL212" s="143"/>
      <c r="UAM212" s="144"/>
      <c r="UAN212" s="124"/>
      <c r="UAO212" s="145"/>
      <c r="UAP212" s="145"/>
      <c r="UAQ212" s="146"/>
      <c r="UAR212" s="142"/>
      <c r="UAS212" s="143"/>
      <c r="UAT212" s="144"/>
      <c r="UAU212" s="124"/>
      <c r="UAV212" s="145"/>
      <c r="UAW212" s="145"/>
      <c r="UAX212" s="146"/>
      <c r="UAY212" s="142"/>
      <c r="UAZ212" s="143"/>
      <c r="UBA212" s="144"/>
      <c r="UBB212" s="124"/>
      <c r="UBC212" s="145"/>
      <c r="UBD212" s="145"/>
      <c r="UBE212" s="146"/>
      <c r="UBF212" s="142"/>
      <c r="UBG212" s="143"/>
      <c r="UBH212" s="144"/>
      <c r="UBI212" s="124"/>
      <c r="UBJ212" s="145"/>
      <c r="UBK212" s="145"/>
      <c r="UBL212" s="146"/>
      <c r="UBM212" s="142"/>
      <c r="UBN212" s="143"/>
      <c r="UBO212" s="144"/>
      <c r="UBP212" s="124"/>
      <c r="UBQ212" s="145"/>
      <c r="UBR212" s="145"/>
      <c r="UBS212" s="146"/>
      <c r="UBT212" s="142"/>
      <c r="UBU212" s="143"/>
      <c r="UBV212" s="144"/>
      <c r="UBW212" s="124"/>
      <c r="UBX212" s="145"/>
      <c r="UBY212" s="145"/>
      <c r="UBZ212" s="146"/>
      <c r="UCA212" s="142"/>
      <c r="UCB212" s="143"/>
      <c r="UCC212" s="144"/>
      <c r="UCD212" s="124"/>
      <c r="UCE212" s="145"/>
      <c r="UCF212" s="145"/>
      <c r="UCG212" s="146"/>
      <c r="UCH212" s="142"/>
      <c r="UCI212" s="143"/>
      <c r="UCJ212" s="144"/>
      <c r="UCK212" s="124"/>
      <c r="UCL212" s="145"/>
      <c r="UCM212" s="145"/>
      <c r="UCN212" s="146"/>
      <c r="UCO212" s="142"/>
      <c r="UCP212" s="143"/>
      <c r="UCQ212" s="144"/>
      <c r="UCR212" s="124"/>
      <c r="UCS212" s="145"/>
      <c r="UCT212" s="145"/>
      <c r="UCU212" s="146"/>
      <c r="UCV212" s="142"/>
      <c r="UCW212" s="143"/>
      <c r="UCX212" s="144"/>
      <c r="UCY212" s="124"/>
      <c r="UCZ212" s="145"/>
      <c r="UDA212" s="145"/>
      <c r="UDB212" s="146"/>
      <c r="UDC212" s="142"/>
      <c r="UDD212" s="143"/>
      <c r="UDE212" s="144"/>
      <c r="UDF212" s="124"/>
      <c r="UDG212" s="145"/>
      <c r="UDH212" s="145"/>
      <c r="UDI212" s="146"/>
      <c r="UDJ212" s="142"/>
      <c r="UDK212" s="143"/>
      <c r="UDL212" s="144"/>
      <c r="UDM212" s="124"/>
      <c r="UDN212" s="145"/>
      <c r="UDO212" s="145"/>
      <c r="UDP212" s="146"/>
      <c r="UDQ212" s="142"/>
      <c r="UDR212" s="143"/>
      <c r="UDS212" s="144"/>
      <c r="UDT212" s="124"/>
      <c r="UDU212" s="145"/>
      <c r="UDV212" s="145"/>
      <c r="UDW212" s="146"/>
      <c r="UDX212" s="142"/>
      <c r="UDY212" s="143"/>
      <c r="UDZ212" s="144"/>
      <c r="UEA212" s="124"/>
      <c r="UEB212" s="145"/>
      <c r="UEC212" s="145"/>
      <c r="UED212" s="146"/>
      <c r="UEE212" s="142"/>
      <c r="UEF212" s="143"/>
      <c r="UEG212" s="144"/>
      <c r="UEH212" s="124"/>
      <c r="UEI212" s="145"/>
      <c r="UEJ212" s="145"/>
      <c r="UEK212" s="146"/>
      <c r="UEL212" s="142"/>
      <c r="UEM212" s="143"/>
      <c r="UEN212" s="144"/>
      <c r="UEO212" s="124"/>
      <c r="UEP212" s="145"/>
      <c r="UEQ212" s="145"/>
      <c r="UER212" s="146"/>
      <c r="UES212" s="142"/>
      <c r="UET212" s="143"/>
      <c r="UEU212" s="144"/>
      <c r="UEV212" s="124"/>
      <c r="UEW212" s="145"/>
      <c r="UEX212" s="145"/>
      <c r="UEY212" s="146"/>
      <c r="UEZ212" s="142"/>
      <c r="UFA212" s="143"/>
      <c r="UFB212" s="144"/>
      <c r="UFC212" s="124"/>
      <c r="UFD212" s="145"/>
      <c r="UFE212" s="145"/>
      <c r="UFF212" s="146"/>
      <c r="UFG212" s="142"/>
      <c r="UFH212" s="143"/>
      <c r="UFI212" s="144"/>
      <c r="UFJ212" s="124"/>
      <c r="UFK212" s="145"/>
      <c r="UFL212" s="145"/>
      <c r="UFM212" s="146"/>
      <c r="UFN212" s="142"/>
      <c r="UFO212" s="143"/>
      <c r="UFP212" s="144"/>
      <c r="UFQ212" s="124"/>
      <c r="UFR212" s="145"/>
      <c r="UFS212" s="145"/>
      <c r="UFT212" s="146"/>
      <c r="UFU212" s="142"/>
      <c r="UFV212" s="143"/>
      <c r="UFW212" s="144"/>
      <c r="UFX212" s="124"/>
      <c r="UFY212" s="145"/>
      <c r="UFZ212" s="145"/>
      <c r="UGA212" s="146"/>
      <c r="UGB212" s="142"/>
      <c r="UGC212" s="143"/>
      <c r="UGD212" s="144"/>
      <c r="UGE212" s="124"/>
      <c r="UGF212" s="145"/>
      <c r="UGG212" s="145"/>
      <c r="UGH212" s="146"/>
      <c r="UGI212" s="142"/>
      <c r="UGJ212" s="143"/>
      <c r="UGK212" s="144"/>
      <c r="UGL212" s="124"/>
      <c r="UGM212" s="145"/>
      <c r="UGN212" s="145"/>
      <c r="UGO212" s="146"/>
      <c r="UGP212" s="142"/>
      <c r="UGQ212" s="143"/>
      <c r="UGR212" s="144"/>
      <c r="UGS212" s="124"/>
      <c r="UGT212" s="145"/>
      <c r="UGU212" s="145"/>
      <c r="UGV212" s="146"/>
      <c r="UGW212" s="142"/>
      <c r="UGX212" s="143"/>
      <c r="UGY212" s="144"/>
      <c r="UGZ212" s="124"/>
      <c r="UHA212" s="145"/>
      <c r="UHB212" s="145"/>
      <c r="UHC212" s="146"/>
      <c r="UHD212" s="142"/>
      <c r="UHE212" s="143"/>
      <c r="UHF212" s="144"/>
      <c r="UHG212" s="124"/>
      <c r="UHH212" s="145"/>
      <c r="UHI212" s="145"/>
      <c r="UHJ212" s="146"/>
      <c r="UHK212" s="142"/>
      <c r="UHL212" s="143"/>
      <c r="UHM212" s="144"/>
      <c r="UHN212" s="124"/>
      <c r="UHO212" s="145"/>
      <c r="UHP212" s="145"/>
      <c r="UHQ212" s="146"/>
      <c r="UHR212" s="142"/>
      <c r="UHS212" s="143"/>
      <c r="UHT212" s="144"/>
      <c r="UHU212" s="124"/>
      <c r="UHV212" s="145"/>
      <c r="UHW212" s="145"/>
      <c r="UHX212" s="146"/>
      <c r="UHY212" s="142"/>
      <c r="UHZ212" s="143"/>
      <c r="UIA212" s="144"/>
      <c r="UIB212" s="124"/>
      <c r="UIC212" s="145"/>
      <c r="UID212" s="145"/>
      <c r="UIE212" s="146"/>
      <c r="UIF212" s="142"/>
      <c r="UIG212" s="143"/>
      <c r="UIH212" s="144"/>
      <c r="UII212" s="124"/>
      <c r="UIJ212" s="145"/>
      <c r="UIK212" s="145"/>
      <c r="UIL212" s="146"/>
      <c r="UIM212" s="142"/>
      <c r="UIN212" s="143"/>
      <c r="UIO212" s="144"/>
      <c r="UIP212" s="124"/>
      <c r="UIQ212" s="145"/>
      <c r="UIR212" s="145"/>
      <c r="UIS212" s="146"/>
      <c r="UIT212" s="142"/>
      <c r="UIU212" s="143"/>
      <c r="UIV212" s="144"/>
      <c r="UIW212" s="124"/>
      <c r="UIX212" s="145"/>
      <c r="UIY212" s="145"/>
      <c r="UIZ212" s="146"/>
      <c r="UJA212" s="142"/>
      <c r="UJB212" s="143"/>
      <c r="UJC212" s="144"/>
      <c r="UJD212" s="124"/>
      <c r="UJE212" s="145"/>
      <c r="UJF212" s="145"/>
      <c r="UJG212" s="146"/>
      <c r="UJH212" s="142"/>
      <c r="UJI212" s="143"/>
      <c r="UJJ212" s="144"/>
      <c r="UJK212" s="124"/>
      <c r="UJL212" s="145"/>
      <c r="UJM212" s="145"/>
      <c r="UJN212" s="146"/>
      <c r="UJO212" s="142"/>
      <c r="UJP212" s="143"/>
      <c r="UJQ212" s="144"/>
      <c r="UJR212" s="124"/>
      <c r="UJS212" s="145"/>
      <c r="UJT212" s="145"/>
      <c r="UJU212" s="146"/>
      <c r="UJV212" s="142"/>
      <c r="UJW212" s="143"/>
      <c r="UJX212" s="144"/>
      <c r="UJY212" s="124"/>
      <c r="UJZ212" s="145"/>
      <c r="UKA212" s="145"/>
      <c r="UKB212" s="146"/>
      <c r="UKC212" s="142"/>
      <c r="UKD212" s="143"/>
      <c r="UKE212" s="144"/>
      <c r="UKF212" s="124"/>
      <c r="UKG212" s="145"/>
      <c r="UKH212" s="145"/>
      <c r="UKI212" s="146"/>
      <c r="UKJ212" s="142"/>
      <c r="UKK212" s="143"/>
      <c r="UKL212" s="144"/>
      <c r="UKM212" s="124"/>
      <c r="UKN212" s="145"/>
      <c r="UKO212" s="145"/>
      <c r="UKP212" s="146"/>
      <c r="UKQ212" s="142"/>
      <c r="UKR212" s="143"/>
      <c r="UKS212" s="144"/>
      <c r="UKT212" s="124"/>
      <c r="UKU212" s="145"/>
      <c r="UKV212" s="145"/>
      <c r="UKW212" s="146"/>
      <c r="UKX212" s="142"/>
      <c r="UKY212" s="143"/>
      <c r="UKZ212" s="144"/>
      <c r="ULA212" s="124"/>
      <c r="ULB212" s="145"/>
      <c r="ULC212" s="145"/>
      <c r="ULD212" s="146"/>
      <c r="ULE212" s="142"/>
      <c r="ULF212" s="143"/>
      <c r="ULG212" s="144"/>
      <c r="ULH212" s="124"/>
      <c r="ULI212" s="145"/>
      <c r="ULJ212" s="145"/>
      <c r="ULK212" s="146"/>
      <c r="ULL212" s="142"/>
      <c r="ULM212" s="143"/>
      <c r="ULN212" s="144"/>
      <c r="ULO212" s="124"/>
      <c r="ULP212" s="145"/>
      <c r="ULQ212" s="145"/>
      <c r="ULR212" s="146"/>
      <c r="ULS212" s="142"/>
      <c r="ULT212" s="143"/>
      <c r="ULU212" s="144"/>
      <c r="ULV212" s="124"/>
      <c r="ULW212" s="145"/>
      <c r="ULX212" s="145"/>
      <c r="ULY212" s="146"/>
      <c r="ULZ212" s="142"/>
      <c r="UMA212" s="143"/>
      <c r="UMB212" s="144"/>
      <c r="UMC212" s="124"/>
      <c r="UMD212" s="145"/>
      <c r="UME212" s="145"/>
      <c r="UMF212" s="146"/>
      <c r="UMG212" s="142"/>
      <c r="UMH212" s="143"/>
      <c r="UMI212" s="144"/>
      <c r="UMJ212" s="124"/>
      <c r="UMK212" s="145"/>
      <c r="UML212" s="145"/>
      <c r="UMM212" s="146"/>
      <c r="UMN212" s="142"/>
      <c r="UMO212" s="143"/>
      <c r="UMP212" s="144"/>
      <c r="UMQ212" s="124"/>
      <c r="UMR212" s="145"/>
      <c r="UMS212" s="145"/>
      <c r="UMT212" s="146"/>
      <c r="UMU212" s="142"/>
      <c r="UMV212" s="143"/>
      <c r="UMW212" s="144"/>
      <c r="UMX212" s="124"/>
      <c r="UMY212" s="145"/>
      <c r="UMZ212" s="145"/>
      <c r="UNA212" s="146"/>
      <c r="UNB212" s="142"/>
      <c r="UNC212" s="143"/>
      <c r="UND212" s="144"/>
      <c r="UNE212" s="124"/>
      <c r="UNF212" s="145"/>
      <c r="UNG212" s="145"/>
      <c r="UNH212" s="146"/>
      <c r="UNI212" s="142"/>
      <c r="UNJ212" s="143"/>
      <c r="UNK212" s="144"/>
      <c r="UNL212" s="124"/>
      <c r="UNM212" s="145"/>
      <c r="UNN212" s="145"/>
      <c r="UNO212" s="146"/>
      <c r="UNP212" s="142"/>
      <c r="UNQ212" s="143"/>
      <c r="UNR212" s="144"/>
      <c r="UNS212" s="124"/>
      <c r="UNT212" s="145"/>
      <c r="UNU212" s="145"/>
      <c r="UNV212" s="146"/>
      <c r="UNW212" s="142"/>
      <c r="UNX212" s="143"/>
      <c r="UNY212" s="144"/>
      <c r="UNZ212" s="124"/>
      <c r="UOA212" s="145"/>
      <c r="UOB212" s="145"/>
      <c r="UOC212" s="146"/>
      <c r="UOD212" s="142"/>
      <c r="UOE212" s="143"/>
      <c r="UOF212" s="144"/>
      <c r="UOG212" s="124"/>
      <c r="UOH212" s="145"/>
      <c r="UOI212" s="145"/>
      <c r="UOJ212" s="146"/>
      <c r="UOK212" s="142"/>
      <c r="UOL212" s="143"/>
      <c r="UOM212" s="144"/>
      <c r="UON212" s="124"/>
      <c r="UOO212" s="145"/>
      <c r="UOP212" s="145"/>
      <c r="UOQ212" s="146"/>
      <c r="UOR212" s="142"/>
      <c r="UOS212" s="143"/>
      <c r="UOT212" s="144"/>
      <c r="UOU212" s="124"/>
      <c r="UOV212" s="145"/>
      <c r="UOW212" s="145"/>
      <c r="UOX212" s="146"/>
      <c r="UOY212" s="142"/>
      <c r="UOZ212" s="143"/>
      <c r="UPA212" s="144"/>
      <c r="UPB212" s="124"/>
      <c r="UPC212" s="145"/>
      <c r="UPD212" s="145"/>
      <c r="UPE212" s="146"/>
      <c r="UPF212" s="142"/>
      <c r="UPG212" s="143"/>
      <c r="UPH212" s="144"/>
      <c r="UPI212" s="124"/>
      <c r="UPJ212" s="145"/>
      <c r="UPK212" s="145"/>
      <c r="UPL212" s="146"/>
      <c r="UPM212" s="142"/>
      <c r="UPN212" s="143"/>
      <c r="UPO212" s="144"/>
      <c r="UPP212" s="124"/>
      <c r="UPQ212" s="145"/>
      <c r="UPR212" s="145"/>
      <c r="UPS212" s="146"/>
      <c r="UPT212" s="142"/>
      <c r="UPU212" s="143"/>
      <c r="UPV212" s="144"/>
      <c r="UPW212" s="124"/>
      <c r="UPX212" s="145"/>
      <c r="UPY212" s="145"/>
      <c r="UPZ212" s="146"/>
      <c r="UQA212" s="142"/>
      <c r="UQB212" s="143"/>
      <c r="UQC212" s="144"/>
      <c r="UQD212" s="124"/>
      <c r="UQE212" s="145"/>
      <c r="UQF212" s="145"/>
      <c r="UQG212" s="146"/>
      <c r="UQH212" s="142"/>
      <c r="UQI212" s="143"/>
      <c r="UQJ212" s="144"/>
      <c r="UQK212" s="124"/>
      <c r="UQL212" s="145"/>
      <c r="UQM212" s="145"/>
      <c r="UQN212" s="146"/>
      <c r="UQO212" s="142"/>
      <c r="UQP212" s="143"/>
      <c r="UQQ212" s="144"/>
      <c r="UQR212" s="124"/>
      <c r="UQS212" s="145"/>
      <c r="UQT212" s="145"/>
      <c r="UQU212" s="146"/>
      <c r="UQV212" s="142"/>
      <c r="UQW212" s="143"/>
      <c r="UQX212" s="144"/>
      <c r="UQY212" s="124"/>
      <c r="UQZ212" s="145"/>
      <c r="URA212" s="145"/>
      <c r="URB212" s="146"/>
      <c r="URC212" s="142"/>
      <c r="URD212" s="143"/>
      <c r="URE212" s="144"/>
      <c r="URF212" s="124"/>
      <c r="URG212" s="145"/>
      <c r="URH212" s="145"/>
      <c r="URI212" s="146"/>
      <c r="URJ212" s="142"/>
      <c r="URK212" s="143"/>
      <c r="URL212" s="144"/>
      <c r="URM212" s="124"/>
      <c r="URN212" s="145"/>
      <c r="URO212" s="145"/>
      <c r="URP212" s="146"/>
      <c r="URQ212" s="142"/>
      <c r="URR212" s="143"/>
      <c r="URS212" s="144"/>
      <c r="URT212" s="124"/>
      <c r="URU212" s="145"/>
      <c r="URV212" s="145"/>
      <c r="URW212" s="146"/>
      <c r="URX212" s="142"/>
      <c r="URY212" s="143"/>
      <c r="URZ212" s="144"/>
      <c r="USA212" s="124"/>
      <c r="USB212" s="145"/>
      <c r="USC212" s="145"/>
      <c r="USD212" s="146"/>
      <c r="USE212" s="142"/>
      <c r="USF212" s="143"/>
      <c r="USG212" s="144"/>
      <c r="USH212" s="124"/>
      <c r="USI212" s="145"/>
      <c r="USJ212" s="145"/>
      <c r="USK212" s="146"/>
      <c r="USL212" s="142"/>
      <c r="USM212" s="143"/>
      <c r="USN212" s="144"/>
      <c r="USO212" s="124"/>
      <c r="USP212" s="145"/>
      <c r="USQ212" s="145"/>
      <c r="USR212" s="146"/>
      <c r="USS212" s="142"/>
      <c r="UST212" s="143"/>
      <c r="USU212" s="144"/>
      <c r="USV212" s="124"/>
      <c r="USW212" s="145"/>
      <c r="USX212" s="145"/>
      <c r="USY212" s="146"/>
      <c r="USZ212" s="142"/>
      <c r="UTA212" s="143"/>
      <c r="UTB212" s="144"/>
      <c r="UTC212" s="124"/>
      <c r="UTD212" s="145"/>
      <c r="UTE212" s="145"/>
      <c r="UTF212" s="146"/>
      <c r="UTG212" s="142"/>
      <c r="UTH212" s="143"/>
      <c r="UTI212" s="144"/>
      <c r="UTJ212" s="124"/>
      <c r="UTK212" s="145"/>
      <c r="UTL212" s="145"/>
      <c r="UTM212" s="146"/>
      <c r="UTN212" s="142"/>
      <c r="UTO212" s="143"/>
      <c r="UTP212" s="144"/>
      <c r="UTQ212" s="124"/>
      <c r="UTR212" s="145"/>
      <c r="UTS212" s="145"/>
      <c r="UTT212" s="146"/>
      <c r="UTU212" s="142"/>
      <c r="UTV212" s="143"/>
      <c r="UTW212" s="144"/>
      <c r="UTX212" s="124"/>
      <c r="UTY212" s="145"/>
      <c r="UTZ212" s="145"/>
      <c r="UUA212" s="146"/>
      <c r="UUB212" s="142"/>
      <c r="UUC212" s="143"/>
      <c r="UUD212" s="144"/>
      <c r="UUE212" s="124"/>
      <c r="UUF212" s="145"/>
      <c r="UUG212" s="145"/>
      <c r="UUH212" s="146"/>
      <c r="UUI212" s="142"/>
      <c r="UUJ212" s="143"/>
      <c r="UUK212" s="144"/>
      <c r="UUL212" s="124"/>
      <c r="UUM212" s="145"/>
      <c r="UUN212" s="145"/>
      <c r="UUO212" s="146"/>
      <c r="UUP212" s="142"/>
      <c r="UUQ212" s="143"/>
      <c r="UUR212" s="144"/>
      <c r="UUS212" s="124"/>
      <c r="UUT212" s="145"/>
      <c r="UUU212" s="145"/>
      <c r="UUV212" s="146"/>
      <c r="UUW212" s="142"/>
      <c r="UUX212" s="143"/>
      <c r="UUY212" s="144"/>
      <c r="UUZ212" s="124"/>
      <c r="UVA212" s="145"/>
      <c r="UVB212" s="145"/>
      <c r="UVC212" s="146"/>
      <c r="UVD212" s="142"/>
      <c r="UVE212" s="143"/>
      <c r="UVF212" s="144"/>
      <c r="UVG212" s="124"/>
      <c r="UVH212" s="145"/>
      <c r="UVI212" s="145"/>
      <c r="UVJ212" s="146"/>
      <c r="UVK212" s="142"/>
      <c r="UVL212" s="143"/>
      <c r="UVM212" s="144"/>
      <c r="UVN212" s="124"/>
      <c r="UVO212" s="145"/>
      <c r="UVP212" s="145"/>
      <c r="UVQ212" s="146"/>
      <c r="UVR212" s="142"/>
      <c r="UVS212" s="143"/>
      <c r="UVT212" s="144"/>
      <c r="UVU212" s="124"/>
      <c r="UVV212" s="145"/>
      <c r="UVW212" s="145"/>
      <c r="UVX212" s="146"/>
      <c r="UVY212" s="142"/>
      <c r="UVZ212" s="143"/>
      <c r="UWA212" s="144"/>
      <c r="UWB212" s="124"/>
      <c r="UWC212" s="145"/>
      <c r="UWD212" s="145"/>
      <c r="UWE212" s="146"/>
      <c r="UWF212" s="142"/>
      <c r="UWG212" s="143"/>
      <c r="UWH212" s="144"/>
      <c r="UWI212" s="124"/>
      <c r="UWJ212" s="145"/>
      <c r="UWK212" s="145"/>
      <c r="UWL212" s="146"/>
      <c r="UWM212" s="142"/>
      <c r="UWN212" s="143"/>
      <c r="UWO212" s="144"/>
      <c r="UWP212" s="124"/>
      <c r="UWQ212" s="145"/>
      <c r="UWR212" s="145"/>
      <c r="UWS212" s="146"/>
      <c r="UWT212" s="142"/>
      <c r="UWU212" s="143"/>
      <c r="UWV212" s="144"/>
      <c r="UWW212" s="124"/>
      <c r="UWX212" s="145"/>
      <c r="UWY212" s="145"/>
      <c r="UWZ212" s="146"/>
      <c r="UXA212" s="142"/>
      <c r="UXB212" s="143"/>
      <c r="UXC212" s="144"/>
      <c r="UXD212" s="124"/>
      <c r="UXE212" s="145"/>
      <c r="UXF212" s="145"/>
      <c r="UXG212" s="146"/>
      <c r="UXH212" s="142"/>
      <c r="UXI212" s="143"/>
      <c r="UXJ212" s="144"/>
      <c r="UXK212" s="124"/>
      <c r="UXL212" s="145"/>
      <c r="UXM212" s="145"/>
      <c r="UXN212" s="146"/>
      <c r="UXO212" s="142"/>
      <c r="UXP212" s="143"/>
      <c r="UXQ212" s="144"/>
      <c r="UXR212" s="124"/>
      <c r="UXS212" s="145"/>
      <c r="UXT212" s="145"/>
      <c r="UXU212" s="146"/>
      <c r="UXV212" s="142"/>
      <c r="UXW212" s="143"/>
      <c r="UXX212" s="144"/>
      <c r="UXY212" s="124"/>
      <c r="UXZ212" s="145"/>
      <c r="UYA212" s="145"/>
      <c r="UYB212" s="146"/>
      <c r="UYC212" s="142"/>
      <c r="UYD212" s="143"/>
      <c r="UYE212" s="144"/>
      <c r="UYF212" s="124"/>
      <c r="UYG212" s="145"/>
      <c r="UYH212" s="145"/>
      <c r="UYI212" s="146"/>
      <c r="UYJ212" s="142"/>
      <c r="UYK212" s="143"/>
      <c r="UYL212" s="144"/>
      <c r="UYM212" s="124"/>
      <c r="UYN212" s="145"/>
      <c r="UYO212" s="145"/>
      <c r="UYP212" s="146"/>
      <c r="UYQ212" s="142"/>
      <c r="UYR212" s="143"/>
      <c r="UYS212" s="144"/>
      <c r="UYT212" s="124"/>
      <c r="UYU212" s="145"/>
      <c r="UYV212" s="145"/>
      <c r="UYW212" s="146"/>
      <c r="UYX212" s="142"/>
      <c r="UYY212" s="143"/>
      <c r="UYZ212" s="144"/>
      <c r="UZA212" s="124"/>
      <c r="UZB212" s="145"/>
      <c r="UZC212" s="145"/>
      <c r="UZD212" s="146"/>
      <c r="UZE212" s="142"/>
      <c r="UZF212" s="143"/>
      <c r="UZG212" s="144"/>
      <c r="UZH212" s="124"/>
      <c r="UZI212" s="145"/>
      <c r="UZJ212" s="145"/>
      <c r="UZK212" s="146"/>
      <c r="UZL212" s="142"/>
      <c r="UZM212" s="143"/>
      <c r="UZN212" s="144"/>
      <c r="UZO212" s="124"/>
      <c r="UZP212" s="145"/>
      <c r="UZQ212" s="145"/>
      <c r="UZR212" s="146"/>
      <c r="UZS212" s="142"/>
      <c r="UZT212" s="143"/>
      <c r="UZU212" s="144"/>
      <c r="UZV212" s="124"/>
      <c r="UZW212" s="145"/>
      <c r="UZX212" s="145"/>
      <c r="UZY212" s="146"/>
      <c r="UZZ212" s="142"/>
      <c r="VAA212" s="143"/>
      <c r="VAB212" s="144"/>
      <c r="VAC212" s="124"/>
      <c r="VAD212" s="145"/>
      <c r="VAE212" s="145"/>
      <c r="VAF212" s="146"/>
      <c r="VAG212" s="142"/>
      <c r="VAH212" s="143"/>
      <c r="VAI212" s="144"/>
      <c r="VAJ212" s="124"/>
      <c r="VAK212" s="145"/>
      <c r="VAL212" s="145"/>
      <c r="VAM212" s="146"/>
      <c r="VAN212" s="142"/>
      <c r="VAO212" s="143"/>
      <c r="VAP212" s="144"/>
      <c r="VAQ212" s="124"/>
      <c r="VAR212" s="145"/>
      <c r="VAS212" s="145"/>
      <c r="VAT212" s="146"/>
      <c r="VAU212" s="142"/>
      <c r="VAV212" s="143"/>
      <c r="VAW212" s="144"/>
      <c r="VAX212" s="124"/>
      <c r="VAY212" s="145"/>
      <c r="VAZ212" s="145"/>
      <c r="VBA212" s="146"/>
      <c r="VBB212" s="142"/>
      <c r="VBC212" s="143"/>
      <c r="VBD212" s="144"/>
      <c r="VBE212" s="124"/>
      <c r="VBF212" s="145"/>
      <c r="VBG212" s="145"/>
      <c r="VBH212" s="146"/>
      <c r="VBI212" s="142"/>
      <c r="VBJ212" s="143"/>
      <c r="VBK212" s="144"/>
      <c r="VBL212" s="124"/>
      <c r="VBM212" s="145"/>
      <c r="VBN212" s="145"/>
      <c r="VBO212" s="146"/>
      <c r="VBP212" s="142"/>
      <c r="VBQ212" s="143"/>
      <c r="VBR212" s="144"/>
      <c r="VBS212" s="124"/>
      <c r="VBT212" s="145"/>
      <c r="VBU212" s="145"/>
      <c r="VBV212" s="146"/>
      <c r="VBW212" s="142"/>
      <c r="VBX212" s="143"/>
      <c r="VBY212" s="144"/>
      <c r="VBZ212" s="124"/>
      <c r="VCA212" s="145"/>
      <c r="VCB212" s="145"/>
      <c r="VCC212" s="146"/>
      <c r="VCD212" s="142"/>
      <c r="VCE212" s="143"/>
      <c r="VCF212" s="144"/>
      <c r="VCG212" s="124"/>
      <c r="VCH212" s="145"/>
      <c r="VCI212" s="145"/>
      <c r="VCJ212" s="146"/>
      <c r="VCK212" s="142"/>
      <c r="VCL212" s="143"/>
      <c r="VCM212" s="144"/>
      <c r="VCN212" s="124"/>
      <c r="VCO212" s="145"/>
      <c r="VCP212" s="145"/>
      <c r="VCQ212" s="146"/>
      <c r="VCR212" s="142"/>
      <c r="VCS212" s="143"/>
      <c r="VCT212" s="144"/>
      <c r="VCU212" s="124"/>
      <c r="VCV212" s="145"/>
      <c r="VCW212" s="145"/>
      <c r="VCX212" s="146"/>
      <c r="VCY212" s="142"/>
      <c r="VCZ212" s="143"/>
      <c r="VDA212" s="144"/>
      <c r="VDB212" s="124"/>
      <c r="VDC212" s="145"/>
      <c r="VDD212" s="145"/>
      <c r="VDE212" s="146"/>
      <c r="VDF212" s="142"/>
      <c r="VDG212" s="143"/>
      <c r="VDH212" s="144"/>
      <c r="VDI212" s="124"/>
      <c r="VDJ212" s="145"/>
      <c r="VDK212" s="145"/>
      <c r="VDL212" s="146"/>
      <c r="VDM212" s="142"/>
      <c r="VDN212" s="143"/>
      <c r="VDO212" s="144"/>
      <c r="VDP212" s="124"/>
      <c r="VDQ212" s="145"/>
      <c r="VDR212" s="145"/>
      <c r="VDS212" s="146"/>
      <c r="VDT212" s="142"/>
      <c r="VDU212" s="143"/>
      <c r="VDV212" s="144"/>
      <c r="VDW212" s="124"/>
      <c r="VDX212" s="145"/>
      <c r="VDY212" s="145"/>
      <c r="VDZ212" s="146"/>
      <c r="VEA212" s="142"/>
      <c r="VEB212" s="143"/>
      <c r="VEC212" s="144"/>
      <c r="VED212" s="124"/>
      <c r="VEE212" s="145"/>
      <c r="VEF212" s="145"/>
      <c r="VEG212" s="146"/>
      <c r="VEH212" s="142"/>
      <c r="VEI212" s="143"/>
      <c r="VEJ212" s="144"/>
      <c r="VEK212" s="124"/>
      <c r="VEL212" s="145"/>
      <c r="VEM212" s="145"/>
      <c r="VEN212" s="146"/>
      <c r="VEO212" s="142"/>
      <c r="VEP212" s="143"/>
      <c r="VEQ212" s="144"/>
      <c r="VER212" s="124"/>
      <c r="VES212" s="145"/>
      <c r="VET212" s="145"/>
      <c r="VEU212" s="146"/>
      <c r="VEV212" s="142"/>
      <c r="VEW212" s="143"/>
      <c r="VEX212" s="144"/>
      <c r="VEY212" s="124"/>
      <c r="VEZ212" s="145"/>
      <c r="VFA212" s="145"/>
      <c r="VFB212" s="146"/>
      <c r="VFC212" s="142"/>
      <c r="VFD212" s="143"/>
      <c r="VFE212" s="144"/>
      <c r="VFF212" s="124"/>
      <c r="VFG212" s="145"/>
      <c r="VFH212" s="145"/>
      <c r="VFI212" s="146"/>
      <c r="VFJ212" s="142"/>
      <c r="VFK212" s="143"/>
      <c r="VFL212" s="144"/>
      <c r="VFM212" s="124"/>
      <c r="VFN212" s="145"/>
      <c r="VFO212" s="145"/>
      <c r="VFP212" s="146"/>
      <c r="VFQ212" s="142"/>
      <c r="VFR212" s="143"/>
      <c r="VFS212" s="144"/>
      <c r="VFT212" s="124"/>
      <c r="VFU212" s="145"/>
      <c r="VFV212" s="145"/>
      <c r="VFW212" s="146"/>
      <c r="VFX212" s="142"/>
      <c r="VFY212" s="143"/>
      <c r="VFZ212" s="144"/>
      <c r="VGA212" s="124"/>
      <c r="VGB212" s="145"/>
      <c r="VGC212" s="145"/>
      <c r="VGD212" s="146"/>
      <c r="VGE212" s="142"/>
      <c r="VGF212" s="143"/>
      <c r="VGG212" s="144"/>
      <c r="VGH212" s="124"/>
      <c r="VGI212" s="145"/>
      <c r="VGJ212" s="145"/>
      <c r="VGK212" s="146"/>
      <c r="VGL212" s="142"/>
      <c r="VGM212" s="143"/>
      <c r="VGN212" s="144"/>
      <c r="VGO212" s="124"/>
      <c r="VGP212" s="145"/>
      <c r="VGQ212" s="145"/>
      <c r="VGR212" s="146"/>
      <c r="VGS212" s="142"/>
      <c r="VGT212" s="143"/>
      <c r="VGU212" s="144"/>
      <c r="VGV212" s="124"/>
      <c r="VGW212" s="145"/>
      <c r="VGX212" s="145"/>
      <c r="VGY212" s="146"/>
      <c r="VGZ212" s="142"/>
      <c r="VHA212" s="143"/>
      <c r="VHB212" s="144"/>
      <c r="VHC212" s="124"/>
      <c r="VHD212" s="145"/>
      <c r="VHE212" s="145"/>
      <c r="VHF212" s="146"/>
      <c r="VHG212" s="142"/>
      <c r="VHH212" s="143"/>
      <c r="VHI212" s="144"/>
      <c r="VHJ212" s="124"/>
      <c r="VHK212" s="145"/>
      <c r="VHL212" s="145"/>
      <c r="VHM212" s="146"/>
      <c r="VHN212" s="142"/>
      <c r="VHO212" s="143"/>
      <c r="VHP212" s="144"/>
      <c r="VHQ212" s="124"/>
      <c r="VHR212" s="145"/>
      <c r="VHS212" s="145"/>
      <c r="VHT212" s="146"/>
      <c r="VHU212" s="142"/>
      <c r="VHV212" s="143"/>
      <c r="VHW212" s="144"/>
      <c r="VHX212" s="124"/>
      <c r="VHY212" s="145"/>
      <c r="VHZ212" s="145"/>
      <c r="VIA212" s="146"/>
      <c r="VIB212" s="142"/>
      <c r="VIC212" s="143"/>
      <c r="VID212" s="144"/>
      <c r="VIE212" s="124"/>
      <c r="VIF212" s="145"/>
      <c r="VIG212" s="145"/>
      <c r="VIH212" s="146"/>
      <c r="VII212" s="142"/>
      <c r="VIJ212" s="143"/>
      <c r="VIK212" s="144"/>
      <c r="VIL212" s="124"/>
      <c r="VIM212" s="145"/>
      <c r="VIN212" s="145"/>
      <c r="VIO212" s="146"/>
      <c r="VIP212" s="142"/>
      <c r="VIQ212" s="143"/>
      <c r="VIR212" s="144"/>
      <c r="VIS212" s="124"/>
      <c r="VIT212" s="145"/>
      <c r="VIU212" s="145"/>
      <c r="VIV212" s="146"/>
      <c r="VIW212" s="142"/>
      <c r="VIX212" s="143"/>
      <c r="VIY212" s="144"/>
      <c r="VIZ212" s="124"/>
      <c r="VJA212" s="145"/>
      <c r="VJB212" s="145"/>
      <c r="VJC212" s="146"/>
      <c r="VJD212" s="142"/>
      <c r="VJE212" s="143"/>
      <c r="VJF212" s="144"/>
      <c r="VJG212" s="124"/>
      <c r="VJH212" s="145"/>
      <c r="VJI212" s="145"/>
      <c r="VJJ212" s="146"/>
      <c r="VJK212" s="142"/>
      <c r="VJL212" s="143"/>
      <c r="VJM212" s="144"/>
      <c r="VJN212" s="124"/>
      <c r="VJO212" s="145"/>
      <c r="VJP212" s="145"/>
      <c r="VJQ212" s="146"/>
      <c r="VJR212" s="142"/>
      <c r="VJS212" s="143"/>
      <c r="VJT212" s="144"/>
      <c r="VJU212" s="124"/>
      <c r="VJV212" s="145"/>
      <c r="VJW212" s="145"/>
      <c r="VJX212" s="146"/>
      <c r="VJY212" s="142"/>
      <c r="VJZ212" s="143"/>
      <c r="VKA212" s="144"/>
      <c r="VKB212" s="124"/>
      <c r="VKC212" s="145"/>
      <c r="VKD212" s="145"/>
      <c r="VKE212" s="146"/>
      <c r="VKF212" s="142"/>
      <c r="VKG212" s="143"/>
      <c r="VKH212" s="144"/>
      <c r="VKI212" s="124"/>
      <c r="VKJ212" s="145"/>
      <c r="VKK212" s="145"/>
      <c r="VKL212" s="146"/>
      <c r="VKM212" s="142"/>
      <c r="VKN212" s="143"/>
      <c r="VKO212" s="144"/>
      <c r="VKP212" s="124"/>
      <c r="VKQ212" s="145"/>
      <c r="VKR212" s="145"/>
      <c r="VKS212" s="146"/>
      <c r="VKT212" s="142"/>
      <c r="VKU212" s="143"/>
      <c r="VKV212" s="144"/>
      <c r="VKW212" s="124"/>
      <c r="VKX212" s="145"/>
      <c r="VKY212" s="145"/>
      <c r="VKZ212" s="146"/>
      <c r="VLA212" s="142"/>
      <c r="VLB212" s="143"/>
      <c r="VLC212" s="144"/>
      <c r="VLD212" s="124"/>
      <c r="VLE212" s="145"/>
      <c r="VLF212" s="145"/>
      <c r="VLG212" s="146"/>
      <c r="VLH212" s="142"/>
      <c r="VLI212" s="143"/>
      <c r="VLJ212" s="144"/>
      <c r="VLK212" s="124"/>
      <c r="VLL212" s="145"/>
      <c r="VLM212" s="145"/>
      <c r="VLN212" s="146"/>
      <c r="VLO212" s="142"/>
      <c r="VLP212" s="143"/>
      <c r="VLQ212" s="144"/>
      <c r="VLR212" s="124"/>
      <c r="VLS212" s="145"/>
      <c r="VLT212" s="145"/>
      <c r="VLU212" s="146"/>
      <c r="VLV212" s="142"/>
      <c r="VLW212" s="143"/>
      <c r="VLX212" s="144"/>
      <c r="VLY212" s="124"/>
      <c r="VLZ212" s="145"/>
      <c r="VMA212" s="145"/>
      <c r="VMB212" s="146"/>
      <c r="VMC212" s="142"/>
      <c r="VMD212" s="143"/>
      <c r="VME212" s="144"/>
      <c r="VMF212" s="124"/>
      <c r="VMG212" s="145"/>
      <c r="VMH212" s="145"/>
      <c r="VMI212" s="146"/>
      <c r="VMJ212" s="142"/>
      <c r="VMK212" s="143"/>
      <c r="VML212" s="144"/>
      <c r="VMM212" s="124"/>
      <c r="VMN212" s="145"/>
      <c r="VMO212" s="145"/>
      <c r="VMP212" s="146"/>
      <c r="VMQ212" s="142"/>
      <c r="VMR212" s="143"/>
      <c r="VMS212" s="144"/>
      <c r="VMT212" s="124"/>
      <c r="VMU212" s="145"/>
      <c r="VMV212" s="145"/>
      <c r="VMW212" s="146"/>
      <c r="VMX212" s="142"/>
      <c r="VMY212" s="143"/>
      <c r="VMZ212" s="144"/>
      <c r="VNA212" s="124"/>
      <c r="VNB212" s="145"/>
      <c r="VNC212" s="145"/>
      <c r="VND212" s="146"/>
      <c r="VNE212" s="142"/>
      <c r="VNF212" s="143"/>
      <c r="VNG212" s="144"/>
      <c r="VNH212" s="124"/>
      <c r="VNI212" s="145"/>
      <c r="VNJ212" s="145"/>
      <c r="VNK212" s="146"/>
      <c r="VNL212" s="142"/>
      <c r="VNM212" s="143"/>
      <c r="VNN212" s="144"/>
      <c r="VNO212" s="124"/>
      <c r="VNP212" s="145"/>
      <c r="VNQ212" s="145"/>
      <c r="VNR212" s="146"/>
      <c r="VNS212" s="142"/>
      <c r="VNT212" s="143"/>
      <c r="VNU212" s="144"/>
      <c r="VNV212" s="124"/>
      <c r="VNW212" s="145"/>
      <c r="VNX212" s="145"/>
      <c r="VNY212" s="146"/>
      <c r="VNZ212" s="142"/>
      <c r="VOA212" s="143"/>
      <c r="VOB212" s="144"/>
      <c r="VOC212" s="124"/>
      <c r="VOD212" s="145"/>
      <c r="VOE212" s="145"/>
      <c r="VOF212" s="146"/>
      <c r="VOG212" s="142"/>
      <c r="VOH212" s="143"/>
      <c r="VOI212" s="144"/>
      <c r="VOJ212" s="124"/>
      <c r="VOK212" s="145"/>
      <c r="VOL212" s="145"/>
      <c r="VOM212" s="146"/>
      <c r="VON212" s="142"/>
      <c r="VOO212" s="143"/>
      <c r="VOP212" s="144"/>
      <c r="VOQ212" s="124"/>
      <c r="VOR212" s="145"/>
      <c r="VOS212" s="145"/>
      <c r="VOT212" s="146"/>
      <c r="VOU212" s="142"/>
      <c r="VOV212" s="143"/>
      <c r="VOW212" s="144"/>
      <c r="VOX212" s="124"/>
      <c r="VOY212" s="145"/>
      <c r="VOZ212" s="145"/>
      <c r="VPA212" s="146"/>
      <c r="VPB212" s="142"/>
      <c r="VPC212" s="143"/>
      <c r="VPD212" s="144"/>
      <c r="VPE212" s="124"/>
      <c r="VPF212" s="145"/>
      <c r="VPG212" s="145"/>
      <c r="VPH212" s="146"/>
      <c r="VPI212" s="142"/>
      <c r="VPJ212" s="143"/>
      <c r="VPK212" s="144"/>
      <c r="VPL212" s="124"/>
      <c r="VPM212" s="145"/>
      <c r="VPN212" s="145"/>
      <c r="VPO212" s="146"/>
      <c r="VPP212" s="142"/>
      <c r="VPQ212" s="143"/>
      <c r="VPR212" s="144"/>
      <c r="VPS212" s="124"/>
      <c r="VPT212" s="145"/>
      <c r="VPU212" s="145"/>
      <c r="VPV212" s="146"/>
      <c r="VPW212" s="142"/>
      <c r="VPX212" s="143"/>
      <c r="VPY212" s="144"/>
      <c r="VPZ212" s="124"/>
      <c r="VQA212" s="145"/>
      <c r="VQB212" s="145"/>
      <c r="VQC212" s="146"/>
      <c r="VQD212" s="142"/>
      <c r="VQE212" s="143"/>
      <c r="VQF212" s="144"/>
      <c r="VQG212" s="124"/>
      <c r="VQH212" s="145"/>
      <c r="VQI212" s="145"/>
      <c r="VQJ212" s="146"/>
      <c r="VQK212" s="142"/>
      <c r="VQL212" s="143"/>
      <c r="VQM212" s="144"/>
      <c r="VQN212" s="124"/>
      <c r="VQO212" s="145"/>
      <c r="VQP212" s="145"/>
      <c r="VQQ212" s="146"/>
      <c r="VQR212" s="142"/>
      <c r="VQS212" s="143"/>
      <c r="VQT212" s="144"/>
      <c r="VQU212" s="124"/>
      <c r="VQV212" s="145"/>
      <c r="VQW212" s="145"/>
      <c r="VQX212" s="146"/>
      <c r="VQY212" s="142"/>
      <c r="VQZ212" s="143"/>
      <c r="VRA212" s="144"/>
      <c r="VRB212" s="124"/>
      <c r="VRC212" s="145"/>
      <c r="VRD212" s="145"/>
      <c r="VRE212" s="146"/>
      <c r="VRF212" s="142"/>
      <c r="VRG212" s="143"/>
      <c r="VRH212" s="144"/>
      <c r="VRI212" s="124"/>
      <c r="VRJ212" s="145"/>
      <c r="VRK212" s="145"/>
      <c r="VRL212" s="146"/>
      <c r="VRM212" s="142"/>
      <c r="VRN212" s="143"/>
      <c r="VRO212" s="144"/>
      <c r="VRP212" s="124"/>
      <c r="VRQ212" s="145"/>
      <c r="VRR212" s="145"/>
      <c r="VRS212" s="146"/>
      <c r="VRT212" s="142"/>
      <c r="VRU212" s="143"/>
      <c r="VRV212" s="144"/>
      <c r="VRW212" s="124"/>
      <c r="VRX212" s="145"/>
      <c r="VRY212" s="145"/>
      <c r="VRZ212" s="146"/>
      <c r="VSA212" s="142"/>
      <c r="VSB212" s="143"/>
      <c r="VSC212" s="144"/>
      <c r="VSD212" s="124"/>
      <c r="VSE212" s="145"/>
      <c r="VSF212" s="145"/>
      <c r="VSG212" s="146"/>
      <c r="VSH212" s="142"/>
      <c r="VSI212" s="143"/>
      <c r="VSJ212" s="144"/>
      <c r="VSK212" s="124"/>
      <c r="VSL212" s="145"/>
      <c r="VSM212" s="145"/>
      <c r="VSN212" s="146"/>
      <c r="VSO212" s="142"/>
      <c r="VSP212" s="143"/>
      <c r="VSQ212" s="144"/>
      <c r="VSR212" s="124"/>
      <c r="VSS212" s="145"/>
      <c r="VST212" s="145"/>
      <c r="VSU212" s="146"/>
      <c r="VSV212" s="142"/>
      <c r="VSW212" s="143"/>
      <c r="VSX212" s="144"/>
      <c r="VSY212" s="124"/>
      <c r="VSZ212" s="145"/>
      <c r="VTA212" s="145"/>
      <c r="VTB212" s="146"/>
      <c r="VTC212" s="142"/>
      <c r="VTD212" s="143"/>
      <c r="VTE212" s="144"/>
      <c r="VTF212" s="124"/>
      <c r="VTG212" s="145"/>
      <c r="VTH212" s="145"/>
      <c r="VTI212" s="146"/>
      <c r="VTJ212" s="142"/>
      <c r="VTK212" s="143"/>
      <c r="VTL212" s="144"/>
      <c r="VTM212" s="124"/>
      <c r="VTN212" s="145"/>
      <c r="VTO212" s="145"/>
      <c r="VTP212" s="146"/>
      <c r="VTQ212" s="142"/>
      <c r="VTR212" s="143"/>
      <c r="VTS212" s="144"/>
      <c r="VTT212" s="124"/>
      <c r="VTU212" s="145"/>
      <c r="VTV212" s="145"/>
      <c r="VTW212" s="146"/>
      <c r="VTX212" s="142"/>
      <c r="VTY212" s="143"/>
      <c r="VTZ212" s="144"/>
      <c r="VUA212" s="124"/>
      <c r="VUB212" s="145"/>
      <c r="VUC212" s="145"/>
      <c r="VUD212" s="146"/>
      <c r="VUE212" s="142"/>
      <c r="VUF212" s="143"/>
      <c r="VUG212" s="144"/>
      <c r="VUH212" s="124"/>
      <c r="VUI212" s="145"/>
      <c r="VUJ212" s="145"/>
      <c r="VUK212" s="146"/>
      <c r="VUL212" s="142"/>
      <c r="VUM212" s="143"/>
      <c r="VUN212" s="144"/>
      <c r="VUO212" s="124"/>
      <c r="VUP212" s="145"/>
      <c r="VUQ212" s="145"/>
      <c r="VUR212" s="146"/>
      <c r="VUS212" s="142"/>
      <c r="VUT212" s="143"/>
      <c r="VUU212" s="144"/>
      <c r="VUV212" s="124"/>
      <c r="VUW212" s="145"/>
      <c r="VUX212" s="145"/>
      <c r="VUY212" s="146"/>
      <c r="VUZ212" s="142"/>
      <c r="VVA212" s="143"/>
      <c r="VVB212" s="144"/>
      <c r="VVC212" s="124"/>
      <c r="VVD212" s="145"/>
      <c r="VVE212" s="145"/>
      <c r="VVF212" s="146"/>
      <c r="VVG212" s="142"/>
      <c r="VVH212" s="143"/>
      <c r="VVI212" s="144"/>
      <c r="VVJ212" s="124"/>
      <c r="VVK212" s="145"/>
      <c r="VVL212" s="145"/>
      <c r="VVM212" s="146"/>
      <c r="VVN212" s="142"/>
      <c r="VVO212" s="143"/>
      <c r="VVP212" s="144"/>
      <c r="VVQ212" s="124"/>
      <c r="VVR212" s="145"/>
      <c r="VVS212" s="145"/>
      <c r="VVT212" s="146"/>
      <c r="VVU212" s="142"/>
      <c r="VVV212" s="143"/>
      <c r="VVW212" s="144"/>
      <c r="VVX212" s="124"/>
      <c r="VVY212" s="145"/>
      <c r="VVZ212" s="145"/>
      <c r="VWA212" s="146"/>
      <c r="VWB212" s="142"/>
      <c r="VWC212" s="143"/>
      <c r="VWD212" s="144"/>
      <c r="VWE212" s="124"/>
      <c r="VWF212" s="145"/>
      <c r="VWG212" s="145"/>
      <c r="VWH212" s="146"/>
      <c r="VWI212" s="142"/>
      <c r="VWJ212" s="143"/>
      <c r="VWK212" s="144"/>
      <c r="VWL212" s="124"/>
      <c r="VWM212" s="145"/>
      <c r="VWN212" s="145"/>
      <c r="VWO212" s="146"/>
      <c r="VWP212" s="142"/>
      <c r="VWQ212" s="143"/>
      <c r="VWR212" s="144"/>
      <c r="VWS212" s="124"/>
      <c r="VWT212" s="145"/>
      <c r="VWU212" s="145"/>
      <c r="VWV212" s="146"/>
      <c r="VWW212" s="142"/>
      <c r="VWX212" s="143"/>
      <c r="VWY212" s="144"/>
      <c r="VWZ212" s="124"/>
      <c r="VXA212" s="145"/>
      <c r="VXB212" s="145"/>
      <c r="VXC212" s="146"/>
      <c r="VXD212" s="142"/>
      <c r="VXE212" s="143"/>
      <c r="VXF212" s="144"/>
      <c r="VXG212" s="124"/>
      <c r="VXH212" s="145"/>
      <c r="VXI212" s="145"/>
      <c r="VXJ212" s="146"/>
      <c r="VXK212" s="142"/>
      <c r="VXL212" s="143"/>
      <c r="VXM212" s="144"/>
      <c r="VXN212" s="124"/>
      <c r="VXO212" s="145"/>
      <c r="VXP212" s="145"/>
      <c r="VXQ212" s="146"/>
      <c r="VXR212" s="142"/>
      <c r="VXS212" s="143"/>
      <c r="VXT212" s="144"/>
      <c r="VXU212" s="124"/>
      <c r="VXV212" s="145"/>
      <c r="VXW212" s="145"/>
      <c r="VXX212" s="146"/>
      <c r="VXY212" s="142"/>
      <c r="VXZ212" s="143"/>
      <c r="VYA212" s="144"/>
      <c r="VYB212" s="124"/>
      <c r="VYC212" s="145"/>
      <c r="VYD212" s="145"/>
      <c r="VYE212" s="146"/>
      <c r="VYF212" s="142"/>
      <c r="VYG212" s="143"/>
      <c r="VYH212" s="144"/>
      <c r="VYI212" s="124"/>
      <c r="VYJ212" s="145"/>
      <c r="VYK212" s="145"/>
      <c r="VYL212" s="146"/>
      <c r="VYM212" s="142"/>
      <c r="VYN212" s="143"/>
      <c r="VYO212" s="144"/>
      <c r="VYP212" s="124"/>
      <c r="VYQ212" s="145"/>
      <c r="VYR212" s="145"/>
      <c r="VYS212" s="146"/>
      <c r="VYT212" s="142"/>
      <c r="VYU212" s="143"/>
      <c r="VYV212" s="144"/>
      <c r="VYW212" s="124"/>
      <c r="VYX212" s="145"/>
      <c r="VYY212" s="145"/>
      <c r="VYZ212" s="146"/>
      <c r="VZA212" s="142"/>
      <c r="VZB212" s="143"/>
      <c r="VZC212" s="144"/>
      <c r="VZD212" s="124"/>
      <c r="VZE212" s="145"/>
      <c r="VZF212" s="145"/>
      <c r="VZG212" s="146"/>
      <c r="VZH212" s="142"/>
      <c r="VZI212" s="143"/>
      <c r="VZJ212" s="144"/>
      <c r="VZK212" s="124"/>
      <c r="VZL212" s="145"/>
      <c r="VZM212" s="145"/>
      <c r="VZN212" s="146"/>
      <c r="VZO212" s="142"/>
      <c r="VZP212" s="143"/>
      <c r="VZQ212" s="144"/>
      <c r="VZR212" s="124"/>
      <c r="VZS212" s="145"/>
      <c r="VZT212" s="145"/>
      <c r="VZU212" s="146"/>
      <c r="VZV212" s="142"/>
      <c r="VZW212" s="143"/>
      <c r="VZX212" s="144"/>
      <c r="VZY212" s="124"/>
      <c r="VZZ212" s="145"/>
      <c r="WAA212" s="145"/>
      <c r="WAB212" s="146"/>
      <c r="WAC212" s="142"/>
      <c r="WAD212" s="143"/>
      <c r="WAE212" s="144"/>
      <c r="WAF212" s="124"/>
      <c r="WAG212" s="145"/>
      <c r="WAH212" s="145"/>
      <c r="WAI212" s="146"/>
      <c r="WAJ212" s="142"/>
      <c r="WAK212" s="143"/>
      <c r="WAL212" s="144"/>
      <c r="WAM212" s="124"/>
      <c r="WAN212" s="145"/>
      <c r="WAO212" s="145"/>
      <c r="WAP212" s="146"/>
      <c r="WAQ212" s="142"/>
      <c r="WAR212" s="143"/>
      <c r="WAS212" s="144"/>
      <c r="WAT212" s="124"/>
      <c r="WAU212" s="145"/>
      <c r="WAV212" s="145"/>
      <c r="WAW212" s="146"/>
      <c r="WAX212" s="142"/>
      <c r="WAY212" s="143"/>
      <c r="WAZ212" s="144"/>
      <c r="WBA212" s="124"/>
      <c r="WBB212" s="145"/>
      <c r="WBC212" s="145"/>
      <c r="WBD212" s="146"/>
      <c r="WBE212" s="142"/>
      <c r="WBF212" s="143"/>
      <c r="WBG212" s="144"/>
      <c r="WBH212" s="124"/>
      <c r="WBI212" s="145"/>
      <c r="WBJ212" s="145"/>
      <c r="WBK212" s="146"/>
      <c r="WBL212" s="142"/>
      <c r="WBM212" s="143"/>
      <c r="WBN212" s="144"/>
      <c r="WBO212" s="124"/>
      <c r="WBP212" s="145"/>
      <c r="WBQ212" s="145"/>
      <c r="WBR212" s="146"/>
      <c r="WBS212" s="142"/>
      <c r="WBT212" s="143"/>
      <c r="WBU212" s="144"/>
      <c r="WBV212" s="124"/>
      <c r="WBW212" s="145"/>
      <c r="WBX212" s="145"/>
      <c r="WBY212" s="146"/>
      <c r="WBZ212" s="142"/>
      <c r="WCA212" s="143"/>
      <c r="WCB212" s="144"/>
      <c r="WCC212" s="124"/>
      <c r="WCD212" s="145"/>
      <c r="WCE212" s="145"/>
      <c r="WCF212" s="146"/>
      <c r="WCG212" s="142"/>
      <c r="WCH212" s="143"/>
      <c r="WCI212" s="144"/>
      <c r="WCJ212" s="124"/>
      <c r="WCK212" s="145"/>
      <c r="WCL212" s="145"/>
      <c r="WCM212" s="146"/>
      <c r="WCN212" s="142"/>
      <c r="WCO212" s="143"/>
      <c r="WCP212" s="144"/>
      <c r="WCQ212" s="124"/>
      <c r="WCR212" s="145"/>
      <c r="WCS212" s="145"/>
      <c r="WCT212" s="146"/>
      <c r="WCU212" s="142"/>
      <c r="WCV212" s="143"/>
      <c r="WCW212" s="144"/>
      <c r="WCX212" s="124"/>
      <c r="WCY212" s="145"/>
      <c r="WCZ212" s="145"/>
      <c r="WDA212" s="146"/>
      <c r="WDB212" s="142"/>
      <c r="WDC212" s="143"/>
      <c r="WDD212" s="144"/>
      <c r="WDE212" s="124"/>
      <c r="WDF212" s="145"/>
      <c r="WDG212" s="145"/>
      <c r="WDH212" s="146"/>
      <c r="WDI212" s="142"/>
      <c r="WDJ212" s="143"/>
      <c r="WDK212" s="144"/>
      <c r="WDL212" s="124"/>
      <c r="WDM212" s="145"/>
      <c r="WDN212" s="145"/>
      <c r="WDO212" s="146"/>
      <c r="WDP212" s="142"/>
      <c r="WDQ212" s="143"/>
      <c r="WDR212" s="144"/>
      <c r="WDS212" s="124"/>
      <c r="WDT212" s="145"/>
      <c r="WDU212" s="145"/>
      <c r="WDV212" s="146"/>
      <c r="WDW212" s="142"/>
      <c r="WDX212" s="143"/>
      <c r="WDY212" s="144"/>
      <c r="WDZ212" s="124"/>
      <c r="WEA212" s="145"/>
      <c r="WEB212" s="145"/>
      <c r="WEC212" s="146"/>
      <c r="WED212" s="142"/>
      <c r="WEE212" s="143"/>
      <c r="WEF212" s="144"/>
      <c r="WEG212" s="124"/>
      <c r="WEH212" s="145"/>
      <c r="WEI212" s="145"/>
      <c r="WEJ212" s="146"/>
      <c r="WEK212" s="142"/>
      <c r="WEL212" s="143"/>
      <c r="WEM212" s="144"/>
      <c r="WEN212" s="124"/>
      <c r="WEO212" s="145"/>
      <c r="WEP212" s="145"/>
      <c r="WEQ212" s="146"/>
      <c r="WER212" s="142"/>
      <c r="WES212" s="143"/>
      <c r="WET212" s="144"/>
      <c r="WEU212" s="124"/>
      <c r="WEV212" s="145"/>
      <c r="WEW212" s="145"/>
      <c r="WEX212" s="146"/>
      <c r="WEY212" s="142"/>
      <c r="WEZ212" s="143"/>
      <c r="WFA212" s="144"/>
      <c r="WFB212" s="124"/>
      <c r="WFC212" s="145"/>
      <c r="WFD212" s="145"/>
      <c r="WFE212" s="146"/>
      <c r="WFF212" s="142"/>
      <c r="WFG212" s="143"/>
      <c r="WFH212" s="144"/>
      <c r="WFI212" s="124"/>
      <c r="WFJ212" s="145"/>
      <c r="WFK212" s="145"/>
      <c r="WFL212" s="146"/>
      <c r="WFM212" s="142"/>
      <c r="WFN212" s="143"/>
      <c r="WFO212" s="144"/>
      <c r="WFP212" s="124"/>
      <c r="WFQ212" s="145"/>
      <c r="WFR212" s="145"/>
      <c r="WFS212" s="146"/>
      <c r="WFT212" s="142"/>
      <c r="WFU212" s="143"/>
      <c r="WFV212" s="144"/>
      <c r="WFW212" s="124"/>
      <c r="WFX212" s="145"/>
      <c r="WFY212" s="145"/>
      <c r="WFZ212" s="146"/>
      <c r="WGA212" s="142"/>
      <c r="WGB212" s="143"/>
      <c r="WGC212" s="144"/>
      <c r="WGD212" s="124"/>
      <c r="WGE212" s="145"/>
      <c r="WGF212" s="145"/>
      <c r="WGG212" s="146"/>
      <c r="WGH212" s="142"/>
      <c r="WGI212" s="143"/>
      <c r="WGJ212" s="144"/>
      <c r="WGK212" s="124"/>
      <c r="WGL212" s="145"/>
      <c r="WGM212" s="145"/>
      <c r="WGN212" s="146"/>
      <c r="WGO212" s="142"/>
      <c r="WGP212" s="143"/>
      <c r="WGQ212" s="144"/>
      <c r="WGR212" s="124"/>
      <c r="WGS212" s="145"/>
      <c r="WGT212" s="145"/>
      <c r="WGU212" s="146"/>
      <c r="WGV212" s="142"/>
      <c r="WGW212" s="143"/>
      <c r="WGX212" s="144"/>
      <c r="WGY212" s="124"/>
      <c r="WGZ212" s="145"/>
      <c r="WHA212" s="145"/>
      <c r="WHB212" s="146"/>
      <c r="WHC212" s="142"/>
      <c r="WHD212" s="143"/>
      <c r="WHE212" s="144"/>
      <c r="WHF212" s="124"/>
      <c r="WHG212" s="145"/>
      <c r="WHH212" s="145"/>
      <c r="WHI212" s="146"/>
      <c r="WHJ212" s="142"/>
      <c r="WHK212" s="143"/>
      <c r="WHL212" s="144"/>
      <c r="WHM212" s="124"/>
      <c r="WHN212" s="145"/>
      <c r="WHO212" s="145"/>
      <c r="WHP212" s="146"/>
      <c r="WHQ212" s="142"/>
      <c r="WHR212" s="143"/>
      <c r="WHS212" s="144"/>
      <c r="WHT212" s="124"/>
      <c r="WHU212" s="145"/>
      <c r="WHV212" s="145"/>
      <c r="WHW212" s="146"/>
      <c r="WHX212" s="142"/>
      <c r="WHY212" s="143"/>
      <c r="WHZ212" s="144"/>
      <c r="WIA212" s="124"/>
      <c r="WIB212" s="145"/>
      <c r="WIC212" s="145"/>
      <c r="WID212" s="146"/>
      <c r="WIE212" s="142"/>
      <c r="WIF212" s="143"/>
      <c r="WIG212" s="144"/>
      <c r="WIH212" s="124"/>
      <c r="WII212" s="145"/>
      <c r="WIJ212" s="145"/>
      <c r="WIK212" s="146"/>
      <c r="WIL212" s="142"/>
      <c r="WIM212" s="143"/>
      <c r="WIN212" s="144"/>
      <c r="WIO212" s="124"/>
      <c r="WIP212" s="145"/>
      <c r="WIQ212" s="145"/>
      <c r="WIR212" s="146"/>
      <c r="WIS212" s="142"/>
      <c r="WIT212" s="143"/>
      <c r="WIU212" s="144"/>
      <c r="WIV212" s="124"/>
      <c r="WIW212" s="145"/>
      <c r="WIX212" s="145"/>
      <c r="WIY212" s="146"/>
      <c r="WIZ212" s="142"/>
      <c r="WJA212" s="143"/>
      <c r="WJB212" s="144"/>
      <c r="WJC212" s="124"/>
      <c r="WJD212" s="145"/>
      <c r="WJE212" s="145"/>
      <c r="WJF212" s="146"/>
      <c r="WJG212" s="142"/>
      <c r="WJH212" s="143"/>
      <c r="WJI212" s="144"/>
      <c r="WJJ212" s="124"/>
      <c r="WJK212" s="145"/>
      <c r="WJL212" s="145"/>
      <c r="WJM212" s="146"/>
      <c r="WJN212" s="142"/>
      <c r="WJO212" s="143"/>
      <c r="WJP212" s="144"/>
      <c r="WJQ212" s="124"/>
      <c r="WJR212" s="145"/>
      <c r="WJS212" s="145"/>
      <c r="WJT212" s="146"/>
      <c r="WJU212" s="142"/>
      <c r="WJV212" s="143"/>
      <c r="WJW212" s="144"/>
      <c r="WJX212" s="124"/>
      <c r="WJY212" s="145"/>
      <c r="WJZ212" s="145"/>
      <c r="WKA212" s="146"/>
      <c r="WKB212" s="142"/>
      <c r="WKC212" s="143"/>
      <c r="WKD212" s="144"/>
      <c r="WKE212" s="124"/>
      <c r="WKF212" s="145"/>
      <c r="WKG212" s="145"/>
      <c r="WKH212" s="146"/>
      <c r="WKI212" s="142"/>
      <c r="WKJ212" s="143"/>
      <c r="WKK212" s="144"/>
      <c r="WKL212" s="124"/>
      <c r="WKM212" s="145"/>
      <c r="WKN212" s="145"/>
      <c r="WKO212" s="146"/>
      <c r="WKP212" s="142"/>
      <c r="WKQ212" s="143"/>
      <c r="WKR212" s="144"/>
      <c r="WKS212" s="124"/>
      <c r="WKT212" s="145"/>
      <c r="WKU212" s="145"/>
      <c r="WKV212" s="146"/>
      <c r="WKW212" s="142"/>
      <c r="WKX212" s="143"/>
      <c r="WKY212" s="144"/>
      <c r="WKZ212" s="124"/>
      <c r="WLA212" s="145"/>
      <c r="WLB212" s="145"/>
      <c r="WLC212" s="146"/>
      <c r="WLD212" s="142"/>
      <c r="WLE212" s="143"/>
      <c r="WLF212" s="144"/>
      <c r="WLG212" s="124"/>
      <c r="WLH212" s="145"/>
      <c r="WLI212" s="145"/>
      <c r="WLJ212" s="146"/>
      <c r="WLK212" s="142"/>
      <c r="WLL212" s="143"/>
      <c r="WLM212" s="144"/>
      <c r="WLN212" s="124"/>
      <c r="WLO212" s="145"/>
      <c r="WLP212" s="145"/>
      <c r="WLQ212" s="146"/>
      <c r="WLR212" s="142"/>
      <c r="WLS212" s="143"/>
      <c r="WLT212" s="144"/>
      <c r="WLU212" s="124"/>
      <c r="WLV212" s="145"/>
      <c r="WLW212" s="145"/>
      <c r="WLX212" s="146"/>
      <c r="WLY212" s="142"/>
      <c r="WLZ212" s="143"/>
      <c r="WMA212" s="144"/>
      <c r="WMB212" s="124"/>
      <c r="WMC212" s="145"/>
      <c r="WMD212" s="145"/>
      <c r="WME212" s="146"/>
      <c r="WMF212" s="142"/>
      <c r="WMG212" s="143"/>
      <c r="WMH212" s="144"/>
      <c r="WMI212" s="124"/>
      <c r="WMJ212" s="145"/>
      <c r="WMK212" s="145"/>
      <c r="WML212" s="146"/>
      <c r="WMM212" s="142"/>
      <c r="WMN212" s="143"/>
      <c r="WMO212" s="144"/>
      <c r="WMP212" s="124"/>
      <c r="WMQ212" s="145"/>
      <c r="WMR212" s="145"/>
      <c r="WMS212" s="146"/>
      <c r="WMT212" s="142"/>
      <c r="WMU212" s="143"/>
      <c r="WMV212" s="144"/>
      <c r="WMW212" s="124"/>
      <c r="WMX212" s="145"/>
      <c r="WMY212" s="145"/>
      <c r="WMZ212" s="146"/>
      <c r="WNA212" s="142"/>
      <c r="WNB212" s="143"/>
      <c r="WNC212" s="144"/>
      <c r="WND212" s="124"/>
      <c r="WNE212" s="145"/>
      <c r="WNF212" s="145"/>
      <c r="WNG212" s="146"/>
      <c r="WNH212" s="142"/>
      <c r="WNI212" s="143"/>
      <c r="WNJ212" s="144"/>
      <c r="WNK212" s="124"/>
      <c r="WNL212" s="145"/>
      <c r="WNM212" s="145"/>
      <c r="WNN212" s="146"/>
      <c r="WNO212" s="142"/>
      <c r="WNP212" s="143"/>
      <c r="WNQ212" s="144"/>
      <c r="WNR212" s="124"/>
      <c r="WNS212" s="145"/>
      <c r="WNT212" s="145"/>
      <c r="WNU212" s="146"/>
      <c r="WNV212" s="142"/>
      <c r="WNW212" s="143"/>
      <c r="WNX212" s="144"/>
      <c r="WNY212" s="124"/>
      <c r="WNZ212" s="145"/>
      <c r="WOA212" s="145"/>
      <c r="WOB212" s="146"/>
      <c r="WOC212" s="142"/>
      <c r="WOD212" s="143"/>
      <c r="WOE212" s="144"/>
      <c r="WOF212" s="124"/>
      <c r="WOG212" s="145"/>
      <c r="WOH212" s="145"/>
      <c r="WOI212" s="146"/>
      <c r="WOJ212" s="142"/>
      <c r="WOK212" s="143"/>
      <c r="WOL212" s="144"/>
      <c r="WOM212" s="124"/>
      <c r="WON212" s="145"/>
      <c r="WOO212" s="145"/>
      <c r="WOP212" s="146"/>
      <c r="WOQ212" s="142"/>
      <c r="WOR212" s="143"/>
      <c r="WOS212" s="144"/>
      <c r="WOT212" s="124"/>
      <c r="WOU212" s="145"/>
      <c r="WOV212" s="145"/>
      <c r="WOW212" s="146"/>
      <c r="WOX212" s="142"/>
      <c r="WOY212" s="143"/>
      <c r="WOZ212" s="144"/>
      <c r="WPA212" s="124"/>
      <c r="WPB212" s="145"/>
      <c r="WPC212" s="145"/>
      <c r="WPD212" s="146"/>
      <c r="WPE212" s="142"/>
      <c r="WPF212" s="143"/>
      <c r="WPG212" s="144"/>
      <c r="WPH212" s="124"/>
      <c r="WPI212" s="145"/>
      <c r="WPJ212" s="145"/>
      <c r="WPK212" s="146"/>
      <c r="WPL212" s="142"/>
      <c r="WPM212" s="143"/>
      <c r="WPN212" s="144"/>
      <c r="WPO212" s="124"/>
      <c r="WPP212" s="145"/>
      <c r="WPQ212" s="145"/>
      <c r="WPR212" s="146"/>
      <c r="WPS212" s="142"/>
      <c r="WPT212" s="143"/>
      <c r="WPU212" s="144"/>
      <c r="WPV212" s="124"/>
      <c r="WPW212" s="145"/>
      <c r="WPX212" s="145"/>
      <c r="WPY212" s="146"/>
      <c r="WPZ212" s="142"/>
      <c r="WQA212" s="143"/>
      <c r="WQB212" s="144"/>
      <c r="WQC212" s="124"/>
      <c r="WQD212" s="145"/>
      <c r="WQE212" s="145"/>
      <c r="WQF212" s="146"/>
      <c r="WQG212" s="142"/>
      <c r="WQH212" s="143"/>
      <c r="WQI212" s="144"/>
      <c r="WQJ212" s="124"/>
      <c r="WQK212" s="145"/>
      <c r="WQL212" s="145"/>
      <c r="WQM212" s="146"/>
      <c r="WQN212" s="142"/>
      <c r="WQO212" s="143"/>
      <c r="WQP212" s="144"/>
      <c r="WQQ212" s="124"/>
      <c r="WQR212" s="145"/>
      <c r="WQS212" s="145"/>
      <c r="WQT212" s="146"/>
      <c r="WQU212" s="142"/>
      <c r="WQV212" s="143"/>
      <c r="WQW212" s="144"/>
      <c r="WQX212" s="124"/>
      <c r="WQY212" s="145"/>
      <c r="WQZ212" s="145"/>
      <c r="WRA212" s="146"/>
      <c r="WRB212" s="142"/>
      <c r="WRC212" s="143"/>
      <c r="WRD212" s="144"/>
      <c r="WRE212" s="124"/>
      <c r="WRF212" s="145"/>
      <c r="WRG212" s="145"/>
      <c r="WRH212" s="146"/>
      <c r="WRI212" s="142"/>
      <c r="WRJ212" s="143"/>
      <c r="WRK212" s="144"/>
      <c r="WRL212" s="124"/>
      <c r="WRM212" s="145"/>
      <c r="WRN212" s="145"/>
      <c r="WRO212" s="146"/>
      <c r="WRP212" s="142"/>
      <c r="WRQ212" s="143"/>
      <c r="WRR212" s="144"/>
      <c r="WRS212" s="124"/>
      <c r="WRT212" s="145"/>
      <c r="WRU212" s="145"/>
      <c r="WRV212" s="146"/>
      <c r="WRW212" s="142"/>
      <c r="WRX212" s="143"/>
      <c r="WRY212" s="144"/>
      <c r="WRZ212" s="124"/>
      <c r="WSA212" s="145"/>
      <c r="WSB212" s="145"/>
      <c r="WSC212" s="146"/>
      <c r="WSD212" s="142"/>
      <c r="WSE212" s="143"/>
      <c r="WSF212" s="144"/>
      <c r="WSG212" s="124"/>
      <c r="WSH212" s="145"/>
      <c r="WSI212" s="145"/>
      <c r="WSJ212" s="146"/>
      <c r="WSK212" s="142"/>
      <c r="WSL212" s="143"/>
      <c r="WSM212" s="144"/>
      <c r="WSN212" s="124"/>
      <c r="WSO212" s="145"/>
      <c r="WSP212" s="145"/>
      <c r="WSQ212" s="146"/>
      <c r="WSR212" s="142"/>
      <c r="WSS212" s="143"/>
      <c r="WST212" s="144"/>
      <c r="WSU212" s="124"/>
      <c r="WSV212" s="145"/>
      <c r="WSW212" s="145"/>
      <c r="WSX212" s="146"/>
      <c r="WSY212" s="142"/>
      <c r="WSZ212" s="143"/>
      <c r="WTA212" s="144"/>
      <c r="WTB212" s="124"/>
      <c r="WTC212" s="145"/>
      <c r="WTD212" s="145"/>
      <c r="WTE212" s="146"/>
      <c r="WTF212" s="142"/>
      <c r="WTG212" s="143"/>
      <c r="WTH212" s="144"/>
      <c r="WTI212" s="124"/>
      <c r="WTJ212" s="145"/>
      <c r="WTK212" s="145"/>
      <c r="WTL212" s="146"/>
      <c r="WTM212" s="142"/>
      <c r="WTN212" s="143"/>
      <c r="WTO212" s="144"/>
      <c r="WTP212" s="124"/>
      <c r="WTQ212" s="145"/>
      <c r="WTR212" s="145"/>
      <c r="WTS212" s="146"/>
      <c r="WTT212" s="142"/>
      <c r="WTU212" s="143"/>
      <c r="WTV212" s="144"/>
      <c r="WTW212" s="124"/>
      <c r="WTX212" s="145"/>
      <c r="WTY212" s="145"/>
      <c r="WTZ212" s="146"/>
      <c r="WUA212" s="142"/>
      <c r="WUB212" s="143"/>
      <c r="WUC212" s="144"/>
      <c r="WUD212" s="124"/>
      <c r="WUE212" s="145"/>
      <c r="WUF212" s="145"/>
      <c r="WUG212" s="146"/>
      <c r="WUH212" s="142"/>
      <c r="WUI212" s="143"/>
      <c r="WUJ212" s="144"/>
      <c r="WUK212" s="124"/>
      <c r="WUL212" s="145"/>
      <c r="WUM212" s="145"/>
      <c r="WUN212" s="146"/>
      <c r="WUO212" s="142"/>
      <c r="WUP212" s="143"/>
      <c r="WUQ212" s="144"/>
      <c r="WUR212" s="124"/>
      <c r="WUS212" s="145"/>
      <c r="WUT212" s="145"/>
      <c r="WUU212" s="146"/>
      <c r="WUV212" s="142"/>
      <c r="WUW212" s="143"/>
      <c r="WUX212" s="144"/>
      <c r="WUY212" s="124"/>
      <c r="WUZ212" s="145"/>
      <c r="WVA212" s="145"/>
      <c r="WVB212" s="146"/>
      <c r="WVC212" s="142"/>
      <c r="WVD212" s="143"/>
      <c r="WVE212" s="144"/>
      <c r="WVF212" s="124"/>
      <c r="WVG212" s="145"/>
      <c r="WVH212" s="145"/>
      <c r="WVI212" s="146"/>
      <c r="WVJ212" s="142"/>
      <c r="WVK212" s="143"/>
      <c r="WVL212" s="144"/>
      <c r="WVM212" s="124"/>
      <c r="WVN212" s="145"/>
      <c r="WVO212" s="145"/>
      <c r="WVP212" s="146"/>
      <c r="WVQ212" s="142"/>
      <c r="WVR212" s="143"/>
      <c r="WVS212" s="144"/>
      <c r="WVT212" s="124"/>
      <c r="WVU212" s="145"/>
      <c r="WVV212" s="145"/>
      <c r="WVW212" s="146"/>
      <c r="WVX212" s="142"/>
      <c r="WVY212" s="143"/>
      <c r="WVZ212" s="144"/>
      <c r="WWA212" s="124"/>
      <c r="WWB212" s="145"/>
      <c r="WWC212" s="145"/>
      <c r="WWD212" s="146"/>
      <c r="WWE212" s="142"/>
      <c r="WWF212" s="143"/>
      <c r="WWG212" s="144"/>
      <c r="WWH212" s="124"/>
      <c r="WWI212" s="145"/>
      <c r="WWJ212" s="145"/>
      <c r="WWK212" s="146"/>
      <c r="WWL212" s="142"/>
      <c r="WWM212" s="143"/>
      <c r="WWN212" s="144"/>
      <c r="WWO212" s="124"/>
      <c r="WWP212" s="145"/>
      <c r="WWQ212" s="145"/>
      <c r="WWR212" s="146"/>
      <c r="WWS212" s="142"/>
      <c r="WWT212" s="143"/>
      <c r="WWU212" s="144"/>
      <c r="WWV212" s="124"/>
      <c r="WWW212" s="145"/>
      <c r="WWX212" s="145"/>
      <c r="WWY212" s="146"/>
      <c r="WWZ212" s="142"/>
      <c r="WXA212" s="143"/>
      <c r="WXB212" s="144"/>
      <c r="WXC212" s="124"/>
      <c r="WXD212" s="145"/>
      <c r="WXE212" s="145"/>
      <c r="WXF212" s="146"/>
      <c r="WXG212" s="142"/>
      <c r="WXH212" s="143"/>
      <c r="WXI212" s="144"/>
      <c r="WXJ212" s="124"/>
      <c r="WXK212" s="145"/>
      <c r="WXL212" s="145"/>
      <c r="WXM212" s="146"/>
      <c r="WXN212" s="142"/>
      <c r="WXO212" s="143"/>
      <c r="WXP212" s="144"/>
      <c r="WXQ212" s="124"/>
      <c r="WXR212" s="145"/>
      <c r="WXS212" s="145"/>
      <c r="WXT212" s="146"/>
      <c r="WXU212" s="142"/>
      <c r="WXV212" s="143"/>
      <c r="WXW212" s="144"/>
      <c r="WXX212" s="124"/>
      <c r="WXY212" s="145"/>
      <c r="WXZ212" s="145"/>
      <c r="WYA212" s="146"/>
      <c r="WYB212" s="142"/>
      <c r="WYC212" s="143"/>
      <c r="WYD212" s="144"/>
      <c r="WYE212" s="124"/>
      <c r="WYF212" s="145"/>
      <c r="WYG212" s="145"/>
      <c r="WYH212" s="146"/>
      <c r="WYI212" s="142"/>
      <c r="WYJ212" s="143"/>
      <c r="WYK212" s="144"/>
      <c r="WYL212" s="124"/>
      <c r="WYM212" s="145"/>
      <c r="WYN212" s="145"/>
      <c r="WYO212" s="146"/>
      <c r="WYP212" s="142"/>
      <c r="WYQ212" s="143"/>
      <c r="WYR212" s="144"/>
      <c r="WYS212" s="124"/>
      <c r="WYT212" s="145"/>
      <c r="WYU212" s="145"/>
      <c r="WYV212" s="146"/>
      <c r="WYW212" s="142"/>
      <c r="WYX212" s="143"/>
      <c r="WYY212" s="144"/>
      <c r="WYZ212" s="124"/>
      <c r="WZA212" s="145"/>
      <c r="WZB212" s="145"/>
      <c r="WZC212" s="146"/>
      <c r="WZD212" s="142"/>
      <c r="WZE212" s="143"/>
      <c r="WZF212" s="144"/>
      <c r="WZG212" s="124"/>
      <c r="WZH212" s="145"/>
      <c r="WZI212" s="145"/>
      <c r="WZJ212" s="146"/>
      <c r="WZK212" s="142"/>
      <c r="WZL212" s="143"/>
      <c r="WZM212" s="144"/>
      <c r="WZN212" s="124"/>
      <c r="WZO212" s="145"/>
      <c r="WZP212" s="145"/>
      <c r="WZQ212" s="146"/>
      <c r="WZR212" s="142"/>
      <c r="WZS212" s="143"/>
      <c r="WZT212" s="144"/>
      <c r="WZU212" s="124"/>
      <c r="WZV212" s="145"/>
      <c r="WZW212" s="145"/>
      <c r="WZX212" s="146"/>
      <c r="WZY212" s="142"/>
      <c r="WZZ212" s="143"/>
      <c r="XAA212" s="144"/>
      <c r="XAB212" s="124"/>
      <c r="XAC212" s="145"/>
      <c r="XAD212" s="145"/>
      <c r="XAE212" s="146"/>
      <c r="XAF212" s="142"/>
      <c r="XAG212" s="143"/>
      <c r="XAH212" s="144"/>
      <c r="XAI212" s="124"/>
      <c r="XAJ212" s="145"/>
      <c r="XAK212" s="145"/>
      <c r="XAL212" s="146"/>
      <c r="XAM212" s="142"/>
      <c r="XAN212" s="143"/>
      <c r="XAO212" s="144"/>
      <c r="XAP212" s="124"/>
      <c r="XAQ212" s="145"/>
      <c r="XAR212" s="145"/>
      <c r="XAS212" s="146"/>
      <c r="XAT212" s="142"/>
      <c r="XAU212" s="143"/>
      <c r="XAV212" s="144"/>
      <c r="XAW212" s="124"/>
      <c r="XAX212" s="145"/>
      <c r="XAY212" s="145"/>
      <c r="XAZ212" s="146"/>
      <c r="XBA212" s="142"/>
      <c r="XBB212" s="143"/>
      <c r="XBC212" s="144"/>
      <c r="XBD212" s="124"/>
      <c r="XBE212" s="145"/>
      <c r="XBF212" s="145"/>
      <c r="XBG212" s="146"/>
      <c r="XBH212" s="142"/>
      <c r="XBI212" s="143"/>
      <c r="XBJ212" s="144"/>
      <c r="XBK212" s="124"/>
      <c r="XBL212" s="145"/>
      <c r="XBM212" s="145"/>
      <c r="XBN212" s="146"/>
      <c r="XBO212" s="142"/>
      <c r="XBP212" s="143"/>
      <c r="XBQ212" s="144"/>
      <c r="XBR212" s="124"/>
      <c r="XBS212" s="145"/>
      <c r="XBT212" s="145"/>
      <c r="XBU212" s="146"/>
      <c r="XBV212" s="142"/>
      <c r="XBW212" s="143"/>
      <c r="XBX212" s="144"/>
      <c r="XBY212" s="124"/>
      <c r="XBZ212" s="145"/>
      <c r="XCA212" s="145"/>
      <c r="XCB212" s="146"/>
      <c r="XCC212" s="142"/>
      <c r="XCD212" s="143"/>
      <c r="XCE212" s="144"/>
      <c r="XCF212" s="124"/>
      <c r="XCG212" s="145"/>
      <c r="XCH212" s="145"/>
      <c r="XCI212" s="146"/>
      <c r="XCJ212" s="142"/>
      <c r="XCK212" s="143"/>
      <c r="XCL212" s="144"/>
      <c r="XCM212" s="124"/>
      <c r="XCN212" s="145"/>
      <c r="XCO212" s="145"/>
      <c r="XCP212" s="146"/>
      <c r="XCQ212" s="142"/>
      <c r="XCR212" s="143"/>
      <c r="XCS212" s="144"/>
      <c r="XCT212" s="124"/>
      <c r="XCU212" s="145"/>
      <c r="XCV212" s="145"/>
      <c r="XCW212" s="146"/>
      <c r="XCX212" s="142"/>
      <c r="XCY212" s="143"/>
      <c r="XCZ212" s="144"/>
      <c r="XDA212" s="124"/>
      <c r="XDB212" s="145"/>
      <c r="XDC212" s="145"/>
      <c r="XDD212" s="146"/>
      <c r="XDE212" s="142"/>
      <c r="XDF212" s="143"/>
      <c r="XDG212" s="144"/>
      <c r="XDH212" s="124"/>
      <c r="XDI212" s="145"/>
      <c r="XDJ212" s="145"/>
      <c r="XDK212" s="146"/>
      <c r="XDL212" s="142"/>
      <c r="XDM212" s="143"/>
      <c r="XDN212" s="144"/>
      <c r="XDO212" s="124"/>
      <c r="XDP212" s="145"/>
      <c r="XDQ212" s="145"/>
      <c r="XDR212" s="146"/>
      <c r="XDS212" s="142"/>
      <c r="XDT212" s="143"/>
      <c r="XDU212" s="144"/>
      <c r="XDV212" s="124"/>
      <c r="XDW212" s="145"/>
      <c r="XDX212" s="145"/>
      <c r="XDY212" s="146"/>
      <c r="XDZ212" s="142"/>
      <c r="XEA212" s="143"/>
      <c r="XEB212" s="144"/>
      <c r="XEC212" s="124"/>
      <c r="XED212" s="145"/>
      <c r="XEE212" s="145"/>
      <c r="XEF212" s="146"/>
      <c r="XEG212" s="142"/>
      <c r="XEH212" s="143"/>
      <c r="XEI212" s="144"/>
      <c r="XEJ212" s="124"/>
      <c r="XEK212" s="145"/>
      <c r="XEL212" s="145"/>
      <c r="XEM212" s="146"/>
      <c r="XEN212" s="142"/>
      <c r="XEO212" s="143"/>
      <c r="XEP212" s="144"/>
      <c r="XEQ212" s="124"/>
      <c r="XER212" s="145"/>
      <c r="XES212" s="145"/>
      <c r="XET212" s="146"/>
      <c r="XEU212" s="142"/>
      <c r="XEV212" s="143"/>
      <c r="XEW212" s="144"/>
      <c r="XEX212" s="124"/>
      <c r="XEY212" s="145"/>
      <c r="XEZ212" s="145"/>
      <c r="XFA212" s="146"/>
      <c r="XFB212" s="142"/>
      <c r="XFC212" s="143"/>
      <c r="XFD212" s="144"/>
    </row>
    <row r="213" spans="1:16384" s="70" customFormat="1" hidden="1">
      <c r="A213" s="560" t="s">
        <v>626</v>
      </c>
      <c r="B213" s="114" t="s">
        <v>635</v>
      </c>
      <c r="C213" s="114"/>
      <c r="D213" s="119"/>
      <c r="E213" s="121">
        <v>700</v>
      </c>
      <c r="F213" s="125">
        <v>46309</v>
      </c>
      <c r="G213" s="125">
        <v>46309</v>
      </c>
      <c r="H213" s="119" t="s">
        <v>19</v>
      </c>
      <c r="J213" s="567"/>
      <c r="K213" s="568"/>
      <c r="M213" s="113"/>
      <c r="N213" s="403"/>
      <c r="O213" s="403"/>
      <c r="Q213" s="404"/>
      <c r="R213" s="404"/>
    </row>
    <row r="214" spans="1:16384" s="14" customFormat="1" hidden="1">
      <c r="A214" s="560" t="s">
        <v>626</v>
      </c>
      <c r="B214" s="114" t="s">
        <v>636</v>
      </c>
      <c r="C214" s="114"/>
      <c r="D214" s="119"/>
      <c r="E214" s="121">
        <v>150</v>
      </c>
      <c r="F214" s="125" t="s">
        <v>548</v>
      </c>
      <c r="G214" s="350" t="s">
        <v>548</v>
      </c>
      <c r="H214" s="125" t="s">
        <v>19</v>
      </c>
      <c r="I214" s="70"/>
      <c r="J214" s="567"/>
      <c r="K214" s="568"/>
      <c r="L214" s="70"/>
      <c r="M214" s="113"/>
      <c r="N214" s="403"/>
      <c r="O214" s="403"/>
      <c r="P214" s="70"/>
      <c r="Q214" s="404"/>
      <c r="R214" s="404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</row>
    <row r="215" spans="1:16384" s="14" customFormat="1" hidden="1">
      <c r="A215" s="560" t="s">
        <v>626</v>
      </c>
      <c r="B215" s="114" t="s">
        <v>637</v>
      </c>
      <c r="C215" s="114"/>
      <c r="D215" s="119"/>
      <c r="E215" s="121">
        <v>200</v>
      </c>
      <c r="F215" s="125" t="s">
        <v>556</v>
      </c>
      <c r="G215" s="350" t="s">
        <v>556</v>
      </c>
      <c r="H215" s="119" t="s">
        <v>19</v>
      </c>
      <c r="I215" s="70"/>
      <c r="J215" s="567"/>
      <c r="K215" s="568"/>
      <c r="L215" s="70"/>
      <c r="M215" s="113"/>
      <c r="N215" s="403"/>
      <c r="O215" s="403"/>
      <c r="P215" s="70"/>
      <c r="Q215" s="404"/>
      <c r="R215" s="404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</row>
    <row r="216" spans="1:16384" s="14" customFormat="1" hidden="1">
      <c r="A216" s="560" t="s">
        <v>373</v>
      </c>
      <c r="B216" s="111" t="s">
        <v>638</v>
      </c>
      <c r="C216" s="111"/>
      <c r="D216" s="119" t="s">
        <v>639</v>
      </c>
      <c r="E216" s="121">
        <v>420</v>
      </c>
      <c r="F216" s="125">
        <v>46235</v>
      </c>
      <c r="G216" s="351">
        <v>46237</v>
      </c>
      <c r="H216" s="119" t="s">
        <v>19</v>
      </c>
      <c r="I216" s="70"/>
      <c r="J216" s="567"/>
      <c r="K216" s="568"/>
      <c r="L216" s="70"/>
      <c r="M216" s="113"/>
      <c r="N216" s="403"/>
      <c r="O216" s="403"/>
      <c r="P216" s="70"/>
      <c r="Q216" s="404"/>
      <c r="R216" s="404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</row>
    <row r="217" spans="1:16384" s="14" customFormat="1" hidden="1">
      <c r="A217" s="560" t="s">
        <v>373</v>
      </c>
      <c r="B217" s="111" t="s">
        <v>640</v>
      </c>
      <c r="C217" s="111"/>
      <c r="D217" s="119" t="s">
        <v>355</v>
      </c>
      <c r="E217" s="121">
        <v>200</v>
      </c>
      <c r="F217" s="125">
        <v>46236</v>
      </c>
      <c r="G217" s="351">
        <v>46237</v>
      </c>
      <c r="H217" s="119" t="s">
        <v>19</v>
      </c>
      <c r="I217" s="70"/>
      <c r="J217" s="567"/>
      <c r="K217" s="568"/>
      <c r="L217" s="70"/>
      <c r="M217" s="113"/>
      <c r="N217" s="403"/>
      <c r="O217" s="403"/>
      <c r="P217" s="70"/>
      <c r="Q217" s="404"/>
      <c r="R217" s="404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</row>
    <row r="218" spans="1:16384" s="14" customFormat="1" hidden="1">
      <c r="A218" s="560" t="s">
        <v>373</v>
      </c>
      <c r="B218" s="111" t="s">
        <v>641</v>
      </c>
      <c r="C218" s="111"/>
      <c r="D218" s="119" t="s">
        <v>620</v>
      </c>
      <c r="E218" s="121">
        <v>200</v>
      </c>
      <c r="F218" s="125">
        <v>46236</v>
      </c>
      <c r="G218" s="351">
        <v>46237</v>
      </c>
      <c r="H218" s="119" t="s">
        <v>19</v>
      </c>
      <c r="I218" s="70"/>
      <c r="J218" s="567"/>
      <c r="K218" s="568"/>
      <c r="L218" s="70"/>
      <c r="M218" s="113"/>
      <c r="N218" s="403"/>
      <c r="O218" s="403"/>
      <c r="P218" s="70"/>
      <c r="Q218" s="404"/>
      <c r="R218" s="404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</row>
    <row r="219" spans="1:16384" s="14" customFormat="1" hidden="1">
      <c r="A219" s="560" t="s">
        <v>373</v>
      </c>
      <c r="B219" s="111" t="s">
        <v>642</v>
      </c>
      <c r="C219" s="111"/>
      <c r="D219" s="119" t="s">
        <v>383</v>
      </c>
      <c r="E219" s="121">
        <v>600</v>
      </c>
      <c r="F219" s="125">
        <v>46237</v>
      </c>
      <c r="G219" s="351">
        <v>46237</v>
      </c>
      <c r="H219" s="119" t="s">
        <v>19</v>
      </c>
      <c r="I219" s="70"/>
      <c r="J219" s="567"/>
      <c r="K219" s="568"/>
      <c r="L219" s="70"/>
      <c r="M219" s="113"/>
      <c r="N219" s="403"/>
      <c r="O219" s="403"/>
      <c r="P219" s="70"/>
      <c r="Q219" s="404"/>
      <c r="R219" s="404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</row>
    <row r="220" spans="1:16384" s="14" customFormat="1" hidden="1">
      <c r="A220" s="560" t="s">
        <v>373</v>
      </c>
      <c r="B220" s="111" t="s">
        <v>643</v>
      </c>
      <c r="C220" s="111"/>
      <c r="D220" s="119" t="s">
        <v>620</v>
      </c>
      <c r="E220" s="121">
        <v>160</v>
      </c>
      <c r="F220" s="125">
        <v>46237</v>
      </c>
      <c r="G220" s="351">
        <v>46237</v>
      </c>
      <c r="H220" s="119" t="s">
        <v>19</v>
      </c>
      <c r="I220" s="70"/>
      <c r="J220" s="567"/>
      <c r="K220" s="568"/>
      <c r="L220" s="70"/>
      <c r="M220" s="113"/>
      <c r="N220" s="403"/>
      <c r="O220" s="403"/>
      <c r="P220" s="70"/>
      <c r="Q220" s="404"/>
      <c r="R220" s="404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</row>
    <row r="221" spans="1:16384" s="14" customFormat="1" hidden="1">
      <c r="A221" s="560" t="s">
        <v>373</v>
      </c>
      <c r="B221" s="111" t="s">
        <v>643</v>
      </c>
      <c r="C221" s="111"/>
      <c r="D221" s="119" t="s">
        <v>620</v>
      </c>
      <c r="E221" s="121">
        <v>60</v>
      </c>
      <c r="F221" s="125">
        <v>46237</v>
      </c>
      <c r="G221" s="351">
        <v>46237</v>
      </c>
      <c r="H221" s="119" t="s">
        <v>19</v>
      </c>
      <c r="I221" s="70"/>
      <c r="J221" s="567"/>
      <c r="K221" s="568"/>
      <c r="L221" s="70"/>
      <c r="M221" s="113"/>
      <c r="N221" s="403"/>
      <c r="O221" s="403"/>
      <c r="P221" s="70"/>
      <c r="Q221" s="404"/>
      <c r="R221" s="404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</row>
    <row r="222" spans="1:16384" s="14" customFormat="1" hidden="1">
      <c r="A222" s="560" t="s">
        <v>373</v>
      </c>
      <c r="B222" s="111" t="s">
        <v>644</v>
      </c>
      <c r="C222" s="111"/>
      <c r="D222" s="119" t="s">
        <v>620</v>
      </c>
      <c r="E222" s="121">
        <v>740</v>
      </c>
      <c r="F222" s="125">
        <v>46237</v>
      </c>
      <c r="G222" s="351">
        <v>46237</v>
      </c>
      <c r="H222" s="119" t="s">
        <v>19</v>
      </c>
      <c r="I222" s="70"/>
      <c r="J222" s="567"/>
      <c r="K222" s="568"/>
      <c r="L222" s="70"/>
      <c r="M222" s="113"/>
      <c r="N222" s="403"/>
      <c r="O222" s="403"/>
      <c r="P222" s="70"/>
      <c r="Q222" s="404"/>
      <c r="R222" s="404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</row>
    <row r="223" spans="1:16384" s="14" customFormat="1" hidden="1">
      <c r="A223" s="560" t="s">
        <v>373</v>
      </c>
      <c r="B223" s="111" t="s">
        <v>645</v>
      </c>
      <c r="C223" s="111"/>
      <c r="D223" s="119" t="s">
        <v>646</v>
      </c>
      <c r="E223" s="121">
        <v>70</v>
      </c>
      <c r="F223" s="125">
        <v>46238</v>
      </c>
      <c r="G223" s="351">
        <v>46238</v>
      </c>
      <c r="H223" s="119" t="s">
        <v>19</v>
      </c>
      <c r="I223" s="70"/>
      <c r="J223" s="563"/>
      <c r="K223" s="564"/>
      <c r="L223" s="70"/>
      <c r="M223" s="113"/>
      <c r="N223" s="403"/>
      <c r="O223" s="403"/>
      <c r="P223" s="70"/>
      <c r="Q223" s="404"/>
      <c r="R223" s="404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</row>
    <row r="224" spans="1:16384" s="14" customFormat="1" hidden="1">
      <c r="A224" s="560" t="s">
        <v>373</v>
      </c>
      <c r="B224" s="111" t="s">
        <v>647</v>
      </c>
      <c r="C224" s="111"/>
      <c r="D224" s="119" t="s">
        <v>648</v>
      </c>
      <c r="E224" s="121">
        <v>170</v>
      </c>
      <c r="F224" s="125">
        <v>46238</v>
      </c>
      <c r="G224" s="351">
        <v>46238</v>
      </c>
      <c r="H224" s="119" t="s">
        <v>19</v>
      </c>
      <c r="I224" s="70"/>
      <c r="J224" s="563"/>
      <c r="K224" s="564"/>
      <c r="L224" s="70"/>
      <c r="M224" s="113"/>
      <c r="N224" s="403"/>
      <c r="O224" s="403"/>
      <c r="P224" s="70"/>
      <c r="Q224" s="404"/>
      <c r="R224" s="404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</row>
    <row r="225" spans="1:36" s="14" customFormat="1" hidden="1">
      <c r="A225" s="560" t="s">
        <v>373</v>
      </c>
      <c r="B225" s="111" t="s">
        <v>649</v>
      </c>
      <c r="C225" s="111"/>
      <c r="D225" s="119" t="s">
        <v>650</v>
      </c>
      <c r="E225" s="121">
        <v>90</v>
      </c>
      <c r="F225" s="125">
        <v>46239</v>
      </c>
      <c r="G225" s="351">
        <v>46239</v>
      </c>
      <c r="H225" s="119" t="s">
        <v>19</v>
      </c>
      <c r="I225" s="70"/>
      <c r="J225" s="563"/>
      <c r="K225" s="564"/>
      <c r="L225" s="70"/>
      <c r="M225" s="113"/>
      <c r="N225" s="403"/>
      <c r="O225" s="403"/>
      <c r="P225" s="70"/>
      <c r="Q225" s="404"/>
      <c r="R225" s="404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</row>
    <row r="226" spans="1:36" s="14" customFormat="1" hidden="1">
      <c r="A226" s="560" t="s">
        <v>373</v>
      </c>
      <c r="B226" s="111" t="s">
        <v>651</v>
      </c>
      <c r="C226" s="111"/>
      <c r="D226" s="119" t="s">
        <v>650</v>
      </c>
      <c r="E226" s="121">
        <v>720</v>
      </c>
      <c r="F226" s="125">
        <v>46239</v>
      </c>
      <c r="G226" s="351">
        <v>46239</v>
      </c>
      <c r="H226" s="119" t="s">
        <v>19</v>
      </c>
      <c r="I226" s="70"/>
      <c r="J226" s="563"/>
      <c r="K226" s="564"/>
      <c r="L226" s="70"/>
      <c r="M226" s="113"/>
      <c r="N226" s="403"/>
      <c r="O226" s="403"/>
      <c r="P226" s="70"/>
      <c r="Q226" s="404"/>
      <c r="R226" s="404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</row>
    <row r="227" spans="1:36" s="14" customFormat="1" hidden="1">
      <c r="A227" s="560" t="s">
        <v>373</v>
      </c>
      <c r="B227" s="111" t="s">
        <v>652</v>
      </c>
      <c r="C227" s="111"/>
      <c r="D227" s="119" t="s">
        <v>650</v>
      </c>
      <c r="E227" s="121">
        <v>80</v>
      </c>
      <c r="F227" s="125">
        <v>46239</v>
      </c>
      <c r="G227" s="351">
        <v>46239</v>
      </c>
      <c r="H227" s="119" t="s">
        <v>19</v>
      </c>
      <c r="I227" s="70"/>
      <c r="J227" s="563"/>
      <c r="K227" s="564"/>
      <c r="L227" s="70"/>
      <c r="M227" s="113"/>
      <c r="N227" s="403"/>
      <c r="O227" s="403"/>
      <c r="P227" s="70"/>
      <c r="Q227" s="404"/>
      <c r="R227" s="404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</row>
    <row r="228" spans="1:36" s="14" customFormat="1" hidden="1">
      <c r="A228" s="560" t="s">
        <v>373</v>
      </c>
      <c r="B228" s="111" t="s">
        <v>653</v>
      </c>
      <c r="C228" s="111"/>
      <c r="D228" s="119" t="s">
        <v>639</v>
      </c>
      <c r="E228" s="121">
        <v>160</v>
      </c>
      <c r="F228" s="125">
        <v>46240</v>
      </c>
      <c r="G228" s="351">
        <v>46240</v>
      </c>
      <c r="H228" s="119" t="s">
        <v>19</v>
      </c>
      <c r="I228" s="70"/>
      <c r="J228" s="563"/>
      <c r="K228" s="564"/>
      <c r="L228" s="70"/>
      <c r="M228" s="113"/>
      <c r="N228" s="403"/>
      <c r="O228" s="403"/>
      <c r="P228" s="70"/>
      <c r="Q228" s="404"/>
      <c r="R228" s="404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</row>
    <row r="229" spans="1:36" s="14" customFormat="1" hidden="1">
      <c r="A229" s="560" t="s">
        <v>373</v>
      </c>
      <c r="B229" s="111" t="s">
        <v>654</v>
      </c>
      <c r="C229" s="111"/>
      <c r="D229" s="119" t="s">
        <v>355</v>
      </c>
      <c r="E229" s="121">
        <v>60</v>
      </c>
      <c r="F229" s="125">
        <v>46241</v>
      </c>
      <c r="G229" s="351">
        <v>46241</v>
      </c>
      <c r="H229" s="119" t="s">
        <v>19</v>
      </c>
      <c r="I229" s="70"/>
      <c r="J229" s="563"/>
      <c r="K229" s="564"/>
      <c r="L229" s="70"/>
      <c r="M229" s="113"/>
      <c r="N229" s="403"/>
      <c r="O229" s="403"/>
      <c r="P229" s="70"/>
      <c r="Q229" s="404"/>
      <c r="R229" s="404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</row>
    <row r="230" spans="1:36" s="14" customFormat="1" hidden="1">
      <c r="A230" s="560" t="s">
        <v>373</v>
      </c>
      <c r="B230" s="111" t="s">
        <v>655</v>
      </c>
      <c r="C230" s="111"/>
      <c r="D230" s="119" t="s">
        <v>656</v>
      </c>
      <c r="E230" s="121">
        <v>80</v>
      </c>
      <c r="F230" s="125">
        <v>46241</v>
      </c>
      <c r="G230" s="351">
        <v>46241</v>
      </c>
      <c r="H230" s="119" t="s">
        <v>19</v>
      </c>
      <c r="I230" s="70"/>
      <c r="J230" s="563"/>
      <c r="K230" s="564"/>
      <c r="L230" s="70"/>
      <c r="M230" s="113"/>
      <c r="N230" s="403"/>
      <c r="O230" s="403"/>
      <c r="P230" s="70"/>
      <c r="Q230" s="404"/>
      <c r="R230" s="404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</row>
    <row r="231" spans="1:36" s="14" customFormat="1" hidden="1">
      <c r="A231" s="560" t="s">
        <v>373</v>
      </c>
      <c r="B231" s="111" t="s">
        <v>657</v>
      </c>
      <c r="C231" s="111"/>
      <c r="D231" s="119" t="s">
        <v>648</v>
      </c>
      <c r="E231" s="121">
        <v>300</v>
      </c>
      <c r="F231" s="125">
        <v>46244</v>
      </c>
      <c r="G231" s="351">
        <v>46244</v>
      </c>
      <c r="H231" s="119" t="s">
        <v>19</v>
      </c>
      <c r="I231" s="70"/>
      <c r="J231" s="563"/>
      <c r="K231" s="564"/>
      <c r="L231" s="70"/>
      <c r="M231" s="113"/>
      <c r="N231" s="403"/>
      <c r="O231" s="403"/>
      <c r="P231" s="70"/>
      <c r="Q231" s="404"/>
      <c r="R231" s="404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</row>
    <row r="232" spans="1:36" s="14" customFormat="1" hidden="1">
      <c r="A232" s="560" t="s">
        <v>373</v>
      </c>
      <c r="B232" s="111" t="s">
        <v>658</v>
      </c>
      <c r="C232" s="111"/>
      <c r="D232" s="119" t="s">
        <v>648</v>
      </c>
      <c r="E232" s="121">
        <v>100</v>
      </c>
      <c r="F232" s="125">
        <v>46244</v>
      </c>
      <c r="G232" s="351">
        <v>46244</v>
      </c>
      <c r="H232" s="119" t="s">
        <v>19</v>
      </c>
      <c r="I232" s="70"/>
      <c r="J232" s="563"/>
      <c r="K232" s="564"/>
      <c r="L232" s="70"/>
      <c r="M232" s="113"/>
      <c r="N232" s="403"/>
      <c r="O232" s="403"/>
      <c r="P232" s="70"/>
      <c r="Q232" s="404"/>
      <c r="R232" s="404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</row>
    <row r="233" spans="1:36" s="14" customFormat="1" hidden="1">
      <c r="A233" s="560" t="s">
        <v>373</v>
      </c>
      <c r="B233" s="111" t="s">
        <v>659</v>
      </c>
      <c r="C233" s="111"/>
      <c r="D233" s="119" t="s">
        <v>648</v>
      </c>
      <c r="E233" s="121">
        <v>205</v>
      </c>
      <c r="F233" s="125">
        <v>46244</v>
      </c>
      <c r="G233" s="351">
        <v>46244</v>
      </c>
      <c r="H233" s="119" t="s">
        <v>19</v>
      </c>
      <c r="I233" s="70"/>
      <c r="J233" s="569" t="s">
        <v>355</v>
      </c>
      <c r="K233" s="569"/>
      <c r="L233" s="70"/>
      <c r="M233" s="126"/>
      <c r="N233" s="403"/>
      <c r="O233" s="403"/>
      <c r="P233" s="70"/>
      <c r="Q233" s="404"/>
      <c r="R233" s="404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</row>
    <row r="234" spans="1:36" s="14" customFormat="1" hidden="1">
      <c r="A234" s="560" t="s">
        <v>373</v>
      </c>
      <c r="B234" s="111" t="s">
        <v>660</v>
      </c>
      <c r="C234" s="111"/>
      <c r="D234" s="119" t="s">
        <v>648</v>
      </c>
      <c r="E234" s="121">
        <v>95</v>
      </c>
      <c r="F234" s="125">
        <v>46244</v>
      </c>
      <c r="G234" s="351">
        <v>46244</v>
      </c>
      <c r="H234" s="119" t="s">
        <v>19</v>
      </c>
      <c r="I234" s="70"/>
      <c r="J234" s="563" t="s">
        <v>661</v>
      </c>
      <c r="K234" s="564"/>
      <c r="L234" s="70"/>
      <c r="M234" s="113"/>
      <c r="N234" s="403"/>
      <c r="O234" s="403"/>
      <c r="P234" s="70"/>
      <c r="Q234" s="404"/>
      <c r="R234" s="404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</row>
    <row r="235" spans="1:36" s="14" customFormat="1" hidden="1">
      <c r="A235" s="560" t="s">
        <v>373</v>
      </c>
      <c r="B235" s="111" t="s">
        <v>662</v>
      </c>
      <c r="C235" s="111"/>
      <c r="D235" s="119" t="s">
        <v>663</v>
      </c>
      <c r="E235" s="121">
        <v>230</v>
      </c>
      <c r="F235" s="125">
        <v>46245</v>
      </c>
      <c r="G235" s="351">
        <v>46245</v>
      </c>
      <c r="H235" s="119" t="s">
        <v>19</v>
      </c>
      <c r="I235" s="70"/>
      <c r="J235" s="563"/>
      <c r="K235" s="564"/>
      <c r="L235" s="70"/>
      <c r="M235" s="113"/>
      <c r="N235" s="403"/>
      <c r="O235" s="403"/>
      <c r="P235" s="70"/>
      <c r="Q235" s="404"/>
      <c r="R235" s="404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</row>
    <row r="236" spans="1:36" s="14" customFormat="1" ht="15" hidden="1" customHeight="1">
      <c r="A236" s="560" t="s">
        <v>373</v>
      </c>
      <c r="B236" s="111" t="s">
        <v>664</v>
      </c>
      <c r="C236" s="111"/>
      <c r="D236" s="119"/>
      <c r="E236" s="121">
        <v>450</v>
      </c>
      <c r="F236" s="125">
        <v>46246</v>
      </c>
      <c r="G236" s="351">
        <v>46246</v>
      </c>
      <c r="H236" s="119" t="s">
        <v>19</v>
      </c>
      <c r="I236" s="70"/>
      <c r="J236" s="572" t="s">
        <v>665</v>
      </c>
      <c r="K236" s="564"/>
      <c r="L236" s="70"/>
      <c r="M236" s="113"/>
      <c r="N236" s="403"/>
      <c r="O236" s="403"/>
      <c r="P236" s="70"/>
      <c r="Q236" s="404"/>
      <c r="R236" s="404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</row>
    <row r="237" spans="1:36" s="14" customFormat="1" hidden="1">
      <c r="A237" s="560" t="s">
        <v>373</v>
      </c>
      <c r="B237" s="111" t="s">
        <v>666</v>
      </c>
      <c r="C237" s="111"/>
      <c r="D237" s="119" t="s">
        <v>620</v>
      </c>
      <c r="E237" s="121">
        <v>642</v>
      </c>
      <c r="F237" s="125">
        <v>46246</v>
      </c>
      <c r="G237" s="351">
        <v>46246</v>
      </c>
      <c r="H237" s="119" t="s">
        <v>19</v>
      </c>
      <c r="I237" s="70"/>
      <c r="J237" s="567"/>
      <c r="K237" s="568"/>
      <c r="L237" s="70"/>
      <c r="M237" s="113"/>
      <c r="N237" s="403"/>
      <c r="O237" s="403"/>
      <c r="P237" s="70"/>
      <c r="Q237" s="404"/>
      <c r="R237" s="404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</row>
    <row r="238" spans="1:36" s="14" customFormat="1" hidden="1">
      <c r="A238" s="560" t="s">
        <v>373</v>
      </c>
      <c r="B238" s="111" t="s">
        <v>667</v>
      </c>
      <c r="C238" s="111"/>
      <c r="D238" s="119" t="s">
        <v>668</v>
      </c>
      <c r="E238" s="121">
        <v>1128</v>
      </c>
      <c r="F238" s="125">
        <v>46246</v>
      </c>
      <c r="G238" s="351">
        <v>46246</v>
      </c>
      <c r="H238" s="119" t="s">
        <v>19</v>
      </c>
      <c r="I238" s="70"/>
      <c r="J238" s="567"/>
      <c r="K238" s="568"/>
      <c r="L238" s="70"/>
      <c r="M238" s="113"/>
      <c r="N238" s="403"/>
      <c r="O238" s="403"/>
      <c r="P238" s="70"/>
      <c r="Q238" s="404"/>
      <c r="R238" s="404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</row>
    <row r="239" spans="1:36" s="14" customFormat="1" hidden="1">
      <c r="A239" s="560" t="s">
        <v>373</v>
      </c>
      <c r="B239" s="111" t="s">
        <v>669</v>
      </c>
      <c r="C239" s="111"/>
      <c r="D239" s="119" t="s">
        <v>668</v>
      </c>
      <c r="E239" s="121">
        <v>80</v>
      </c>
      <c r="F239" s="125">
        <v>46246</v>
      </c>
      <c r="G239" s="351">
        <v>46246</v>
      </c>
      <c r="H239" s="119" t="s">
        <v>19</v>
      </c>
      <c r="I239" s="70"/>
      <c r="J239" s="567"/>
      <c r="K239" s="568"/>
      <c r="L239" s="70"/>
      <c r="M239" s="113"/>
      <c r="N239" s="403"/>
      <c r="O239" s="403"/>
      <c r="P239" s="70"/>
      <c r="Q239" s="404"/>
      <c r="R239" s="404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</row>
    <row r="240" spans="1:36" s="14" customFormat="1" hidden="1">
      <c r="A240" s="560" t="s">
        <v>373</v>
      </c>
      <c r="B240" s="111" t="s">
        <v>670</v>
      </c>
      <c r="C240" s="111"/>
      <c r="D240" s="119" t="s">
        <v>650</v>
      </c>
      <c r="E240" s="121">
        <v>70</v>
      </c>
      <c r="F240" s="125">
        <v>46246</v>
      </c>
      <c r="G240" s="351">
        <v>46246</v>
      </c>
      <c r="H240" s="119" t="s">
        <v>19</v>
      </c>
      <c r="I240" s="70"/>
      <c r="J240" s="569"/>
      <c r="K240" s="569"/>
      <c r="L240" s="70"/>
      <c r="M240" s="126"/>
      <c r="N240" s="403"/>
      <c r="O240" s="403"/>
      <c r="P240" s="70"/>
      <c r="Q240" s="404"/>
      <c r="R240" s="404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</row>
    <row r="241" spans="1:36" s="14" customFormat="1" hidden="1">
      <c r="A241" s="560" t="s">
        <v>373</v>
      </c>
      <c r="B241" s="111" t="s">
        <v>670</v>
      </c>
      <c r="C241" s="111"/>
      <c r="D241" s="119" t="s">
        <v>650</v>
      </c>
      <c r="E241" s="121">
        <v>80</v>
      </c>
      <c r="F241" s="125">
        <v>46246</v>
      </c>
      <c r="G241" s="351">
        <v>46246</v>
      </c>
      <c r="H241" s="119" t="s">
        <v>19</v>
      </c>
      <c r="I241" s="70"/>
      <c r="J241" s="569"/>
      <c r="K241" s="569"/>
      <c r="L241" s="70"/>
      <c r="M241" s="126"/>
      <c r="N241" s="403"/>
      <c r="O241" s="403"/>
      <c r="P241" s="70"/>
      <c r="Q241" s="404"/>
      <c r="R241" s="404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</row>
    <row r="242" spans="1:36" s="14" customFormat="1" hidden="1">
      <c r="A242" s="560" t="s">
        <v>373</v>
      </c>
      <c r="B242" s="111" t="s">
        <v>671</v>
      </c>
      <c r="C242" s="111"/>
      <c r="D242" s="119"/>
      <c r="E242" s="121">
        <v>240</v>
      </c>
      <c r="F242" s="125">
        <v>46246</v>
      </c>
      <c r="G242" s="351">
        <v>46246</v>
      </c>
      <c r="H242" s="119" t="s">
        <v>19</v>
      </c>
      <c r="I242" s="70"/>
      <c r="J242" s="569"/>
      <c r="K242" s="569"/>
      <c r="L242" s="70"/>
      <c r="M242" s="126"/>
      <c r="N242" s="403"/>
      <c r="O242" s="403"/>
      <c r="P242" s="70"/>
      <c r="Q242" s="404"/>
      <c r="R242" s="404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</row>
    <row r="243" spans="1:36" s="14" customFormat="1" hidden="1">
      <c r="A243" s="560" t="s">
        <v>373</v>
      </c>
      <c r="B243" s="111" t="s">
        <v>672</v>
      </c>
      <c r="C243" s="111"/>
      <c r="D243" s="119" t="s">
        <v>383</v>
      </c>
      <c r="E243" s="121">
        <v>1384</v>
      </c>
      <c r="F243" s="125">
        <v>46247</v>
      </c>
      <c r="G243" s="351">
        <v>46247</v>
      </c>
      <c r="H243" s="119" t="s">
        <v>19</v>
      </c>
      <c r="I243" s="70"/>
      <c r="J243" s="569"/>
      <c r="K243" s="569"/>
      <c r="L243" s="70"/>
      <c r="M243" s="126"/>
      <c r="N243" s="403"/>
      <c r="O243" s="403"/>
      <c r="P243" s="70"/>
      <c r="Q243" s="404"/>
      <c r="R243" s="404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</row>
    <row r="244" spans="1:36" s="14" customFormat="1" hidden="1">
      <c r="A244" s="560" t="s">
        <v>373</v>
      </c>
      <c r="B244" s="111" t="s">
        <v>673</v>
      </c>
      <c r="C244" s="111"/>
      <c r="D244" s="119" t="s">
        <v>648</v>
      </c>
      <c r="E244" s="121">
        <v>49.8</v>
      </c>
      <c r="F244" s="125">
        <v>46247</v>
      </c>
      <c r="G244" s="351">
        <v>46247</v>
      </c>
      <c r="H244" s="119" t="s">
        <v>19</v>
      </c>
      <c r="I244" s="70"/>
      <c r="J244" s="569"/>
      <c r="K244" s="569"/>
      <c r="L244" s="70"/>
      <c r="M244" s="126"/>
      <c r="N244" s="403"/>
      <c r="O244" s="403"/>
      <c r="P244" s="70"/>
      <c r="Q244" s="404"/>
      <c r="R244" s="404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</row>
    <row r="245" spans="1:36" s="14" customFormat="1" hidden="1">
      <c r="A245" s="560" t="s">
        <v>373</v>
      </c>
      <c r="B245" s="111" t="s">
        <v>674</v>
      </c>
      <c r="C245" s="111"/>
      <c r="D245" s="119"/>
      <c r="E245" s="121">
        <v>35</v>
      </c>
      <c r="F245" s="125">
        <v>46247</v>
      </c>
      <c r="G245" s="351">
        <v>46247</v>
      </c>
      <c r="H245" s="119" t="s">
        <v>19</v>
      </c>
      <c r="I245" s="70"/>
      <c r="J245" s="569"/>
      <c r="K245" s="569"/>
      <c r="L245" s="70"/>
      <c r="M245" s="126"/>
      <c r="N245" s="403"/>
      <c r="O245" s="403"/>
      <c r="P245" s="70"/>
      <c r="Q245" s="404"/>
      <c r="R245" s="404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</row>
    <row r="246" spans="1:36" s="14" customFormat="1" hidden="1">
      <c r="A246" s="560" t="s">
        <v>373</v>
      </c>
      <c r="B246" s="111" t="s">
        <v>675</v>
      </c>
      <c r="C246" s="111"/>
      <c r="D246" s="119" t="s">
        <v>676</v>
      </c>
      <c r="E246" s="121">
        <v>798</v>
      </c>
      <c r="F246" s="125">
        <v>46247</v>
      </c>
      <c r="G246" s="351">
        <v>46247</v>
      </c>
      <c r="H246" s="119" t="s">
        <v>19</v>
      </c>
      <c r="I246" s="70"/>
      <c r="J246" s="563"/>
      <c r="K246" s="564"/>
      <c r="L246" s="70"/>
      <c r="M246" s="113"/>
      <c r="N246" s="403"/>
      <c r="O246" s="403"/>
      <c r="P246" s="70"/>
      <c r="Q246" s="404"/>
      <c r="R246" s="404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</row>
    <row r="247" spans="1:36" s="14" customFormat="1" hidden="1">
      <c r="A247" s="560" t="s">
        <v>373</v>
      </c>
      <c r="B247" s="111" t="s">
        <v>677</v>
      </c>
      <c r="C247" s="111"/>
      <c r="D247" s="119" t="s">
        <v>678</v>
      </c>
      <c r="E247" s="121">
        <v>46</v>
      </c>
      <c r="F247" s="125">
        <v>46251</v>
      </c>
      <c r="G247" s="351">
        <v>46251</v>
      </c>
      <c r="H247" s="119" t="s">
        <v>19</v>
      </c>
      <c r="I247" s="70"/>
      <c r="J247" s="532"/>
      <c r="K247" s="533"/>
      <c r="L247" s="70"/>
      <c r="M247" s="113"/>
      <c r="N247" s="403"/>
      <c r="O247" s="403"/>
      <c r="P247" s="70"/>
      <c r="Q247" s="404"/>
      <c r="R247" s="404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</row>
    <row r="248" spans="1:36" s="14" customFormat="1" hidden="1">
      <c r="A248" s="560" t="s">
        <v>373</v>
      </c>
      <c r="B248" s="111" t="s">
        <v>679</v>
      </c>
      <c r="C248" s="111"/>
      <c r="D248" s="119" t="s">
        <v>676</v>
      </c>
      <c r="E248" s="121">
        <v>500</v>
      </c>
      <c r="F248" s="125">
        <v>46251</v>
      </c>
      <c r="G248" s="351">
        <v>46251</v>
      </c>
      <c r="H248" s="119" t="s">
        <v>19</v>
      </c>
      <c r="I248" s="70"/>
      <c r="J248" s="563"/>
      <c r="K248" s="564"/>
      <c r="L248" s="70"/>
      <c r="M248" s="113"/>
      <c r="N248" s="403"/>
      <c r="O248" s="403"/>
      <c r="P248" s="70"/>
      <c r="Q248" s="404"/>
      <c r="R248" s="404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</row>
    <row r="249" spans="1:36" s="14" customFormat="1" hidden="1">
      <c r="A249" s="560" t="s">
        <v>373</v>
      </c>
      <c r="B249" s="111" t="s">
        <v>680</v>
      </c>
      <c r="C249" s="111"/>
      <c r="D249" s="119" t="s">
        <v>620</v>
      </c>
      <c r="E249" s="121">
        <v>190</v>
      </c>
      <c r="F249" s="125">
        <v>46251</v>
      </c>
      <c r="G249" s="351">
        <v>46251</v>
      </c>
      <c r="H249" s="119" t="s">
        <v>19</v>
      </c>
      <c r="I249" s="70"/>
      <c r="J249" s="563"/>
      <c r="K249" s="564"/>
      <c r="L249" s="70"/>
      <c r="M249" s="113"/>
      <c r="N249" s="403"/>
      <c r="O249" s="403"/>
      <c r="P249" s="70"/>
      <c r="Q249" s="404"/>
      <c r="R249" s="404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</row>
    <row r="250" spans="1:36" s="14" customFormat="1" hidden="1">
      <c r="A250" s="560" t="s">
        <v>373</v>
      </c>
      <c r="B250" s="111" t="s">
        <v>681</v>
      </c>
      <c r="C250" s="111"/>
      <c r="D250" s="119"/>
      <c r="E250" s="121">
        <v>350</v>
      </c>
      <c r="F250" s="125">
        <v>46252</v>
      </c>
      <c r="G250" s="351">
        <v>46252</v>
      </c>
      <c r="H250" s="119" t="s">
        <v>445</v>
      </c>
      <c r="I250" s="70"/>
      <c r="J250" s="563"/>
      <c r="K250" s="564"/>
      <c r="L250" s="70"/>
      <c r="M250" s="113"/>
      <c r="N250" s="403"/>
      <c r="O250" s="403"/>
      <c r="P250" s="70"/>
      <c r="Q250" s="404"/>
      <c r="R250" s="404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</row>
    <row r="251" spans="1:36" s="14" customFormat="1" hidden="1">
      <c r="A251" s="560" t="s">
        <v>373</v>
      </c>
      <c r="B251" s="111" t="s">
        <v>682</v>
      </c>
      <c r="C251" s="111"/>
      <c r="D251" s="119" t="s">
        <v>678</v>
      </c>
      <c r="E251" s="121">
        <v>3314.75</v>
      </c>
      <c r="F251" s="125">
        <v>46253</v>
      </c>
      <c r="G251" s="351">
        <v>46253</v>
      </c>
      <c r="H251" s="119" t="s">
        <v>19</v>
      </c>
      <c r="I251" s="70"/>
      <c r="J251" s="563"/>
      <c r="K251" s="564"/>
      <c r="L251" s="70"/>
      <c r="M251" s="113"/>
      <c r="N251" s="403"/>
      <c r="O251" s="403"/>
      <c r="P251" s="70"/>
      <c r="Q251" s="404"/>
      <c r="R251" s="404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</row>
    <row r="252" spans="1:36" s="58" customFormat="1" ht="15" hidden="1" customHeight="1">
      <c r="A252" s="560" t="s">
        <v>373</v>
      </c>
      <c r="B252" s="111" t="s">
        <v>683</v>
      </c>
      <c r="C252" s="111"/>
      <c r="D252" s="119"/>
      <c r="E252" s="121">
        <v>800</v>
      </c>
      <c r="F252" s="125">
        <v>46253</v>
      </c>
      <c r="G252" s="351">
        <v>46253</v>
      </c>
      <c r="H252" s="119" t="s">
        <v>19</v>
      </c>
      <c r="I252" s="70"/>
      <c r="J252" s="570"/>
      <c r="K252" s="571"/>
      <c r="L252" s="427"/>
      <c r="M252" s="481"/>
      <c r="N252" s="403"/>
      <c r="O252" s="403"/>
      <c r="P252" s="70"/>
      <c r="Q252" s="404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</row>
    <row r="253" spans="1:36" s="14" customFormat="1" hidden="1">
      <c r="A253" s="560" t="s">
        <v>373</v>
      </c>
      <c r="B253" s="111" t="s">
        <v>684</v>
      </c>
      <c r="C253" s="111"/>
      <c r="D253" s="119" t="s">
        <v>685</v>
      </c>
      <c r="E253" s="121">
        <v>700</v>
      </c>
      <c r="F253" s="125">
        <v>46254</v>
      </c>
      <c r="G253" s="351">
        <v>46254</v>
      </c>
      <c r="H253" s="119" t="s">
        <v>19</v>
      </c>
      <c r="I253" s="70"/>
      <c r="J253" s="563"/>
      <c r="K253" s="564"/>
      <c r="L253" s="70"/>
      <c r="M253" s="113"/>
      <c r="N253" s="403"/>
      <c r="O253" s="403"/>
      <c r="P253" s="70"/>
      <c r="Q253" s="404"/>
      <c r="R253" s="404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</row>
    <row r="254" spans="1:36" s="14" customFormat="1" hidden="1">
      <c r="A254" s="560" t="s">
        <v>373</v>
      </c>
      <c r="B254" s="111" t="s">
        <v>686</v>
      </c>
      <c r="C254" s="111"/>
      <c r="D254" s="119" t="s">
        <v>639</v>
      </c>
      <c r="E254" s="121">
        <v>470</v>
      </c>
      <c r="F254" s="125">
        <v>46254</v>
      </c>
      <c r="G254" s="351">
        <v>46254</v>
      </c>
      <c r="H254" s="119" t="s">
        <v>19</v>
      </c>
      <c r="I254" s="70"/>
      <c r="J254" s="563"/>
      <c r="K254" s="564"/>
      <c r="L254" s="70"/>
      <c r="M254" s="113"/>
      <c r="N254" s="403"/>
      <c r="O254" s="403"/>
      <c r="P254" s="70"/>
      <c r="Q254" s="404"/>
      <c r="R254" s="404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</row>
    <row r="255" spans="1:36" s="14" customFormat="1" hidden="1">
      <c r="A255" s="560" t="s">
        <v>373</v>
      </c>
      <c r="B255" s="111" t="s">
        <v>687</v>
      </c>
      <c r="C255" s="111"/>
      <c r="D255" s="119"/>
      <c r="E255" s="121">
        <v>200</v>
      </c>
      <c r="F255" s="125">
        <v>46254</v>
      </c>
      <c r="G255" s="351">
        <v>46254</v>
      </c>
      <c r="H255" s="119" t="s">
        <v>19</v>
      </c>
      <c r="I255" s="70"/>
      <c r="J255" s="563"/>
      <c r="K255" s="564"/>
      <c r="L255" s="70"/>
      <c r="M255" s="113"/>
      <c r="N255" s="403"/>
      <c r="O255" s="403"/>
      <c r="P255" s="70"/>
      <c r="Q255" s="404"/>
      <c r="R255" s="404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</row>
    <row r="256" spans="1:36" s="14" customFormat="1" hidden="1">
      <c r="A256" s="560" t="s">
        <v>373</v>
      </c>
      <c r="B256" s="111" t="s">
        <v>688</v>
      </c>
      <c r="C256" s="111"/>
      <c r="D256" s="119" t="s">
        <v>620</v>
      </c>
      <c r="E256" s="121">
        <v>254</v>
      </c>
      <c r="F256" s="125">
        <v>46255</v>
      </c>
      <c r="G256" s="351">
        <v>46255</v>
      </c>
      <c r="H256" s="119" t="s">
        <v>19</v>
      </c>
      <c r="I256" s="70"/>
      <c r="J256" s="563"/>
      <c r="K256" s="564"/>
      <c r="L256" s="70"/>
      <c r="M256" s="113"/>
      <c r="N256" s="403"/>
      <c r="O256" s="403"/>
      <c r="P256" s="70"/>
      <c r="Q256" s="404"/>
      <c r="R256" s="404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</row>
    <row r="257" spans="1:36" s="14" customFormat="1" hidden="1">
      <c r="A257" s="560" t="s">
        <v>373</v>
      </c>
      <c r="B257" s="111" t="s">
        <v>689</v>
      </c>
      <c r="C257" s="111"/>
      <c r="D257" s="119"/>
      <c r="E257" s="121">
        <v>350</v>
      </c>
      <c r="F257" s="125">
        <v>46255</v>
      </c>
      <c r="G257" s="351">
        <v>46255</v>
      </c>
      <c r="H257" s="119" t="s">
        <v>19</v>
      </c>
      <c r="I257" s="70"/>
      <c r="J257" s="563"/>
      <c r="K257" s="564"/>
      <c r="L257" s="70"/>
      <c r="M257" s="113"/>
      <c r="N257" s="403"/>
      <c r="O257" s="403"/>
      <c r="P257" s="70"/>
      <c r="Q257" s="404"/>
      <c r="R257" s="404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</row>
    <row r="258" spans="1:36" s="14" customFormat="1" hidden="1">
      <c r="A258" s="560" t="s">
        <v>373</v>
      </c>
      <c r="B258" s="111" t="s">
        <v>690</v>
      </c>
      <c r="C258" s="111"/>
      <c r="D258" s="119" t="s">
        <v>678</v>
      </c>
      <c r="E258" s="121">
        <v>150</v>
      </c>
      <c r="F258" s="125">
        <v>46255</v>
      </c>
      <c r="G258" s="351">
        <v>46255</v>
      </c>
      <c r="H258" s="119" t="s">
        <v>19</v>
      </c>
      <c r="I258" s="70"/>
      <c r="J258" s="563"/>
      <c r="K258" s="564"/>
      <c r="L258" s="70"/>
      <c r="M258" s="113"/>
      <c r="N258" s="403"/>
      <c r="O258" s="403"/>
      <c r="P258" s="70"/>
      <c r="Q258" s="404"/>
      <c r="R258" s="404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</row>
    <row r="259" spans="1:36" s="14" customFormat="1" hidden="1">
      <c r="A259" s="560" t="s">
        <v>373</v>
      </c>
      <c r="B259" s="111" t="s">
        <v>691</v>
      </c>
      <c r="C259" s="111"/>
      <c r="D259" s="119"/>
      <c r="E259" s="121">
        <v>300</v>
      </c>
      <c r="F259" s="125">
        <v>46255</v>
      </c>
      <c r="G259" s="351">
        <v>46258</v>
      </c>
      <c r="H259" s="119" t="s">
        <v>445</v>
      </c>
      <c r="I259" s="70"/>
      <c r="J259" s="563"/>
      <c r="K259" s="564"/>
      <c r="L259" s="70"/>
      <c r="M259" s="113"/>
      <c r="N259" s="403"/>
      <c r="O259" s="403"/>
      <c r="P259" s="70"/>
      <c r="Q259" s="404"/>
      <c r="R259" s="404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</row>
    <row r="260" spans="1:36" s="14" customFormat="1" hidden="1">
      <c r="A260" s="560" t="s">
        <v>373</v>
      </c>
      <c r="B260" s="111" t="s">
        <v>692</v>
      </c>
      <c r="C260" s="111"/>
      <c r="D260" s="119"/>
      <c r="E260" s="121">
        <v>300</v>
      </c>
      <c r="F260" s="125">
        <v>46258</v>
      </c>
      <c r="G260" s="351">
        <v>46258</v>
      </c>
      <c r="H260" s="119" t="s">
        <v>19</v>
      </c>
      <c r="I260" s="70"/>
      <c r="J260" s="563"/>
      <c r="K260" s="564"/>
      <c r="L260" s="70"/>
      <c r="M260" s="113"/>
      <c r="N260" s="403"/>
      <c r="O260" s="403"/>
      <c r="P260" s="70"/>
      <c r="Q260" s="404"/>
      <c r="R260" s="404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</row>
    <row r="261" spans="1:36" s="14" customFormat="1" hidden="1">
      <c r="A261" s="560" t="s">
        <v>373</v>
      </c>
      <c r="B261" s="111" t="s">
        <v>693</v>
      </c>
      <c r="C261" s="111"/>
      <c r="D261" s="119"/>
      <c r="E261" s="121">
        <v>200</v>
      </c>
      <c r="F261" s="125">
        <v>46258</v>
      </c>
      <c r="G261" s="351">
        <v>46258</v>
      </c>
      <c r="H261" s="119" t="s">
        <v>19</v>
      </c>
      <c r="I261" s="70"/>
      <c r="J261" s="563"/>
      <c r="K261" s="564"/>
      <c r="L261" s="70"/>
      <c r="M261" s="113"/>
      <c r="N261" s="403"/>
      <c r="O261" s="403"/>
      <c r="P261" s="70"/>
      <c r="Q261" s="404"/>
      <c r="R261" s="404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</row>
    <row r="262" spans="1:36" s="14" customFormat="1" hidden="1">
      <c r="A262" s="560" t="s">
        <v>373</v>
      </c>
      <c r="B262" s="111" t="s">
        <v>690</v>
      </c>
      <c r="C262" s="111"/>
      <c r="D262" s="119"/>
      <c r="E262" s="121">
        <v>150</v>
      </c>
      <c r="F262" s="125">
        <v>46258</v>
      </c>
      <c r="G262" s="351">
        <v>46258</v>
      </c>
      <c r="H262" s="119" t="s">
        <v>19</v>
      </c>
      <c r="I262" s="70"/>
      <c r="J262" s="563"/>
      <c r="K262" s="564"/>
      <c r="L262" s="70"/>
      <c r="M262" s="113"/>
      <c r="N262" s="403"/>
      <c r="O262" s="403"/>
      <c r="P262" s="70"/>
      <c r="Q262" s="404"/>
      <c r="R262" s="404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</row>
    <row r="263" spans="1:36" s="14" customFormat="1" hidden="1">
      <c r="A263" s="560" t="s">
        <v>373</v>
      </c>
      <c r="B263" s="111" t="s">
        <v>694</v>
      </c>
      <c r="C263" s="111"/>
      <c r="D263" s="119" t="s">
        <v>695</v>
      </c>
      <c r="E263" s="121">
        <v>360</v>
      </c>
      <c r="F263" s="125">
        <v>46258</v>
      </c>
      <c r="G263" s="351">
        <v>46258</v>
      </c>
      <c r="H263" s="119" t="s">
        <v>19</v>
      </c>
      <c r="I263" s="70"/>
      <c r="J263" s="563"/>
      <c r="K263" s="564"/>
      <c r="L263" s="70"/>
      <c r="M263" s="113"/>
      <c r="N263" s="403"/>
      <c r="O263" s="403"/>
      <c r="P263" s="70"/>
      <c r="Q263" s="404"/>
      <c r="R263" s="404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</row>
    <row r="264" spans="1:36" s="14" customFormat="1" hidden="1">
      <c r="A264" s="560" t="s">
        <v>373</v>
      </c>
      <c r="B264" s="111" t="s">
        <v>696</v>
      </c>
      <c r="C264" s="111"/>
      <c r="D264" s="119"/>
      <c r="E264" s="121">
        <v>400</v>
      </c>
      <c r="F264" s="125">
        <v>46259</v>
      </c>
      <c r="G264" s="351">
        <v>46259</v>
      </c>
      <c r="H264" s="119" t="s">
        <v>19</v>
      </c>
      <c r="I264" s="70"/>
      <c r="J264" s="563"/>
      <c r="K264" s="564"/>
      <c r="L264" s="70"/>
      <c r="M264" s="113"/>
      <c r="N264" s="403"/>
      <c r="O264" s="403"/>
      <c r="P264" s="70"/>
      <c r="Q264" s="404"/>
      <c r="R264" s="404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</row>
    <row r="265" spans="1:36" s="14" customFormat="1" hidden="1">
      <c r="A265" s="560" t="s">
        <v>373</v>
      </c>
      <c r="B265" s="111" t="s">
        <v>697</v>
      </c>
      <c r="C265" s="111"/>
      <c r="D265" s="119"/>
      <c r="E265" s="121">
        <v>165</v>
      </c>
      <c r="F265" s="125">
        <v>46259</v>
      </c>
      <c r="G265" s="351">
        <v>46259</v>
      </c>
      <c r="H265" s="119" t="s">
        <v>19</v>
      </c>
      <c r="I265" s="70"/>
      <c r="J265" s="563"/>
      <c r="K265" s="564"/>
      <c r="L265" s="70"/>
      <c r="M265" s="113"/>
      <c r="N265" s="403"/>
      <c r="O265" s="403"/>
      <c r="P265" s="70"/>
      <c r="Q265" s="404"/>
      <c r="R265" s="404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</row>
    <row r="266" spans="1:36" s="14" customFormat="1" hidden="1">
      <c r="A266" s="560" t="s">
        <v>373</v>
      </c>
      <c r="B266" s="111" t="s">
        <v>698</v>
      </c>
      <c r="C266" s="111"/>
      <c r="D266" s="119"/>
      <c r="E266" s="121">
        <v>60</v>
      </c>
      <c r="F266" s="125">
        <v>46260</v>
      </c>
      <c r="G266" s="351">
        <v>46260</v>
      </c>
      <c r="H266" s="119" t="s">
        <v>19</v>
      </c>
      <c r="I266" s="70"/>
      <c r="J266" s="563"/>
      <c r="K266" s="564"/>
      <c r="L266" s="70"/>
      <c r="M266" s="113"/>
      <c r="N266" s="403"/>
      <c r="O266" s="403"/>
      <c r="P266" s="70"/>
      <c r="Q266" s="404"/>
      <c r="R266" s="404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</row>
    <row r="267" spans="1:36" s="14" customFormat="1" hidden="1">
      <c r="A267" s="560" t="s">
        <v>373</v>
      </c>
      <c r="B267" s="111" t="s">
        <v>699</v>
      </c>
      <c r="C267" s="111"/>
      <c r="D267" s="119"/>
      <c r="E267" s="121">
        <v>240</v>
      </c>
      <c r="F267" s="125">
        <v>46260</v>
      </c>
      <c r="G267" s="351">
        <v>46260</v>
      </c>
      <c r="H267" s="119" t="s">
        <v>19</v>
      </c>
      <c r="I267" s="70"/>
      <c r="J267" s="563"/>
      <c r="K267" s="564"/>
      <c r="L267" s="70"/>
      <c r="M267" s="113"/>
      <c r="N267" s="403"/>
      <c r="O267" s="403"/>
      <c r="P267" s="70"/>
      <c r="Q267" s="404"/>
      <c r="R267" s="404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</row>
    <row r="268" spans="1:36" s="14" customFormat="1" hidden="1">
      <c r="A268" s="560" t="s">
        <v>373</v>
      </c>
      <c r="B268" s="111" t="s">
        <v>699</v>
      </c>
      <c r="C268" s="111"/>
      <c r="D268" s="119"/>
      <c r="E268" s="121">
        <v>120</v>
      </c>
      <c r="F268" s="125">
        <v>46260</v>
      </c>
      <c r="G268" s="351">
        <v>46260</v>
      </c>
      <c r="H268" s="119" t="s">
        <v>19</v>
      </c>
      <c r="I268" s="70"/>
      <c r="J268" s="563"/>
      <c r="K268" s="564"/>
      <c r="L268" s="70"/>
      <c r="M268" s="113"/>
      <c r="N268" s="403"/>
      <c r="O268" s="403"/>
      <c r="P268" s="70"/>
      <c r="Q268" s="404"/>
      <c r="R268" s="404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</row>
    <row r="269" spans="1:36" s="14" customFormat="1" hidden="1">
      <c r="A269" s="560" t="s">
        <v>373</v>
      </c>
      <c r="B269" s="111" t="s">
        <v>700</v>
      </c>
      <c r="C269" s="111"/>
      <c r="D269" s="119"/>
      <c r="E269" s="121">
        <v>600</v>
      </c>
      <c r="F269" s="125">
        <v>46261</v>
      </c>
      <c r="G269" s="351">
        <v>46261</v>
      </c>
      <c r="H269" s="119" t="s">
        <v>19</v>
      </c>
      <c r="I269" s="70"/>
      <c r="J269" s="563"/>
      <c r="K269" s="564"/>
      <c r="L269" s="70"/>
      <c r="M269" s="113"/>
      <c r="N269" s="403"/>
      <c r="O269" s="403"/>
      <c r="P269" s="70"/>
      <c r="Q269" s="404"/>
      <c r="R269" s="404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</row>
    <row r="270" spans="1:36" s="58" customFormat="1" ht="15" hidden="1" customHeight="1">
      <c r="A270" s="560" t="s">
        <v>373</v>
      </c>
      <c r="B270" s="111" t="s">
        <v>701</v>
      </c>
      <c r="C270" s="111"/>
      <c r="D270" s="119"/>
      <c r="E270" s="121">
        <v>2700</v>
      </c>
      <c r="F270" s="125">
        <v>46261</v>
      </c>
      <c r="G270" s="351">
        <v>46261</v>
      </c>
      <c r="H270" s="119" t="s">
        <v>19</v>
      </c>
      <c r="I270" s="70"/>
      <c r="J270" s="563"/>
      <c r="K270" s="564"/>
      <c r="L270" s="70"/>
      <c r="M270" s="224"/>
      <c r="N270" s="403"/>
      <c r="O270" s="403"/>
      <c r="P270" s="70"/>
      <c r="Q270" s="404"/>
      <c r="R270" s="404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</row>
    <row r="271" spans="1:36" s="58" customFormat="1" ht="15" hidden="1" customHeight="1">
      <c r="A271" s="560" t="s">
        <v>373</v>
      </c>
      <c r="B271" s="111" t="s">
        <v>702</v>
      </c>
      <c r="C271" s="111"/>
      <c r="D271" s="119"/>
      <c r="E271" s="121">
        <v>60</v>
      </c>
      <c r="F271" s="125">
        <v>46261</v>
      </c>
      <c r="G271" s="351">
        <v>46261</v>
      </c>
      <c r="H271" s="119" t="s">
        <v>19</v>
      </c>
      <c r="I271" s="70"/>
      <c r="J271" s="532"/>
      <c r="K271" s="533"/>
      <c r="L271" s="70"/>
      <c r="M271" s="224"/>
      <c r="N271" s="403"/>
      <c r="O271" s="403"/>
      <c r="P271" s="70"/>
      <c r="Q271" s="404"/>
      <c r="R271" s="404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</row>
    <row r="272" spans="1:36" s="58" customFormat="1" ht="15" hidden="1" customHeight="1">
      <c r="A272" s="560" t="s">
        <v>373</v>
      </c>
      <c r="B272" s="111" t="s">
        <v>703</v>
      </c>
      <c r="C272" s="111"/>
      <c r="D272" s="119"/>
      <c r="E272" s="121">
        <v>500</v>
      </c>
      <c r="F272" s="125">
        <v>46261</v>
      </c>
      <c r="G272" s="351">
        <v>46261</v>
      </c>
      <c r="H272" s="119" t="s">
        <v>19</v>
      </c>
      <c r="I272" s="70"/>
      <c r="J272" s="563"/>
      <c r="K272" s="564"/>
      <c r="L272" s="499"/>
      <c r="M272" s="108"/>
      <c r="N272" s="403"/>
      <c r="O272" s="403"/>
      <c r="P272" s="70"/>
      <c r="Q272" s="404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</row>
    <row r="273" spans="1:36" s="14" customFormat="1" hidden="1">
      <c r="A273" s="560" t="s">
        <v>373</v>
      </c>
      <c r="B273" s="111" t="s">
        <v>704</v>
      </c>
      <c r="C273" s="111"/>
      <c r="D273" s="119"/>
      <c r="E273" s="121">
        <v>700</v>
      </c>
      <c r="F273" s="125">
        <v>46262</v>
      </c>
      <c r="G273" s="351">
        <v>46262</v>
      </c>
      <c r="H273" s="119" t="s">
        <v>19</v>
      </c>
      <c r="I273" s="70"/>
      <c r="J273" s="563"/>
      <c r="K273" s="564"/>
      <c r="L273" s="499"/>
      <c r="M273" s="108"/>
      <c r="N273" s="403"/>
      <c r="O273" s="403"/>
      <c r="P273" s="70"/>
      <c r="Q273" s="404"/>
      <c r="R273" s="404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</row>
    <row r="274" spans="1:36" s="14" customFormat="1" hidden="1">
      <c r="A274" s="560" t="s">
        <v>373</v>
      </c>
      <c r="B274" s="111" t="s">
        <v>702</v>
      </c>
      <c r="C274" s="111"/>
      <c r="D274" s="119"/>
      <c r="E274" s="121">
        <v>100</v>
      </c>
      <c r="F274" s="125">
        <v>46262</v>
      </c>
      <c r="G274" s="351">
        <v>46262</v>
      </c>
      <c r="H274" s="119" t="s">
        <v>19</v>
      </c>
      <c r="I274" s="70"/>
      <c r="J274" s="563"/>
      <c r="K274" s="564"/>
      <c r="L274" s="499"/>
      <c r="M274" s="108"/>
      <c r="N274" s="403"/>
      <c r="O274" s="403"/>
      <c r="P274" s="70"/>
      <c r="Q274" s="404"/>
      <c r="R274" s="404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</row>
    <row r="275" spans="1:36" s="14" customFormat="1" hidden="1">
      <c r="A275" s="560" t="s">
        <v>373</v>
      </c>
      <c r="B275" s="111" t="s">
        <v>705</v>
      </c>
      <c r="C275" s="111"/>
      <c r="D275" s="119"/>
      <c r="E275" s="121">
        <v>240</v>
      </c>
      <c r="F275" s="125">
        <v>46262</v>
      </c>
      <c r="G275" s="351">
        <v>46262</v>
      </c>
      <c r="H275" s="119" t="s">
        <v>19</v>
      </c>
      <c r="I275" s="70"/>
      <c r="J275" s="563"/>
      <c r="K275" s="564"/>
      <c r="L275" s="499"/>
      <c r="M275" s="108"/>
      <c r="N275" s="403"/>
      <c r="O275" s="403"/>
      <c r="P275" s="70"/>
      <c r="Q275" s="404"/>
      <c r="R275" s="404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</row>
    <row r="276" spans="1:36" s="14" customFormat="1" hidden="1">
      <c r="A276" s="560" t="s">
        <v>373</v>
      </c>
      <c r="B276" s="111" t="s">
        <v>706</v>
      </c>
      <c r="C276" s="111"/>
      <c r="D276" s="119"/>
      <c r="E276" s="121">
        <v>214</v>
      </c>
      <c r="F276" s="125">
        <v>46262</v>
      </c>
      <c r="G276" s="351">
        <v>46262</v>
      </c>
      <c r="H276" s="119" t="s">
        <v>19</v>
      </c>
      <c r="I276" s="70"/>
      <c r="J276" s="563"/>
      <c r="K276" s="564"/>
      <c r="L276" s="70"/>
      <c r="M276" s="113"/>
      <c r="N276" s="403"/>
      <c r="O276" s="403"/>
      <c r="P276" s="70"/>
      <c r="Q276" s="404"/>
      <c r="R276" s="404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</row>
    <row r="277" spans="1:36" s="14" customFormat="1" hidden="1">
      <c r="A277" s="560" t="s">
        <v>373</v>
      </c>
      <c r="B277" s="111" t="s">
        <v>707</v>
      </c>
      <c r="C277" s="111"/>
      <c r="D277" s="119"/>
      <c r="E277" s="121">
        <v>1000</v>
      </c>
      <c r="F277" s="125">
        <v>46265</v>
      </c>
      <c r="G277" s="351">
        <v>46265</v>
      </c>
      <c r="H277" s="119" t="s">
        <v>19</v>
      </c>
      <c r="I277" s="70"/>
      <c r="J277" s="563"/>
      <c r="K277" s="564"/>
      <c r="L277" s="70"/>
      <c r="M277" s="113"/>
      <c r="N277" s="403"/>
      <c r="O277" s="403"/>
      <c r="P277" s="70"/>
      <c r="Q277" s="404"/>
      <c r="R277" s="404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</row>
    <row r="278" spans="1:36" s="14" customFormat="1" hidden="1">
      <c r="A278" s="560" t="s">
        <v>373</v>
      </c>
      <c r="B278" s="111" t="s">
        <v>708</v>
      </c>
      <c r="C278" s="111"/>
      <c r="D278" s="119"/>
      <c r="E278" s="121">
        <v>1150</v>
      </c>
      <c r="F278" s="125">
        <v>46265</v>
      </c>
      <c r="G278" s="351">
        <v>46265</v>
      </c>
      <c r="H278" s="119" t="s">
        <v>19</v>
      </c>
      <c r="I278" s="70"/>
      <c r="J278" s="563"/>
      <c r="K278" s="564"/>
      <c r="L278" s="70"/>
      <c r="M278" s="113"/>
      <c r="N278" s="403"/>
      <c r="O278" s="403"/>
      <c r="P278" s="70"/>
      <c r="Q278" s="404"/>
      <c r="R278" s="404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</row>
    <row r="279" spans="1:36" s="14" customFormat="1" hidden="1">
      <c r="A279" s="560" t="s">
        <v>373</v>
      </c>
      <c r="B279" s="111" t="s">
        <v>709</v>
      </c>
      <c r="C279" s="111"/>
      <c r="D279" s="119"/>
      <c r="E279" s="121">
        <v>120</v>
      </c>
      <c r="F279" s="125">
        <v>46265</v>
      </c>
      <c r="G279" s="351">
        <v>46265</v>
      </c>
      <c r="H279" s="119" t="s">
        <v>19</v>
      </c>
      <c r="I279" s="70"/>
      <c r="J279" s="563"/>
      <c r="K279" s="564"/>
      <c r="L279" s="70"/>
      <c r="M279" s="113"/>
      <c r="N279" s="403"/>
      <c r="O279" s="403"/>
      <c r="P279" s="70"/>
      <c r="Q279" s="404"/>
      <c r="R279" s="404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</row>
    <row r="280" spans="1:36" s="14" customFormat="1" hidden="1">
      <c r="A280" s="560" t="s">
        <v>373</v>
      </c>
      <c r="B280" s="111" t="s">
        <v>710</v>
      </c>
      <c r="C280" s="111"/>
      <c r="D280" s="119"/>
      <c r="E280" s="121">
        <v>35</v>
      </c>
      <c r="F280" s="125">
        <v>46265</v>
      </c>
      <c r="G280" s="351">
        <v>46265</v>
      </c>
      <c r="H280" s="119" t="s">
        <v>19</v>
      </c>
      <c r="I280" s="70"/>
      <c r="J280" s="563"/>
      <c r="K280" s="564"/>
      <c r="L280" s="70"/>
      <c r="M280" s="113"/>
      <c r="N280" s="403"/>
      <c r="O280" s="403"/>
      <c r="P280" s="70"/>
      <c r="Q280" s="404"/>
      <c r="R280" s="404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</row>
    <row r="281" spans="1:36" s="14" customFormat="1" hidden="1">
      <c r="A281" s="560" t="s">
        <v>373</v>
      </c>
      <c r="B281" s="111" t="s">
        <v>711</v>
      </c>
      <c r="C281" s="111"/>
      <c r="D281" s="119"/>
      <c r="E281" s="121">
        <v>200</v>
      </c>
      <c r="F281" s="125">
        <v>46267</v>
      </c>
      <c r="G281" s="125">
        <v>46267</v>
      </c>
      <c r="H281" s="119" t="s">
        <v>19</v>
      </c>
      <c r="I281" s="70"/>
      <c r="J281" s="563"/>
      <c r="K281" s="564"/>
      <c r="L281" s="70"/>
      <c r="M281" s="113"/>
      <c r="N281" s="403"/>
      <c r="O281" s="403"/>
      <c r="P281" s="70"/>
      <c r="Q281" s="404"/>
      <c r="R281" s="404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</row>
    <row r="282" spans="1:36" s="14" customFormat="1" hidden="1">
      <c r="A282" s="560" t="s">
        <v>373</v>
      </c>
      <c r="B282" s="111" t="s">
        <v>712</v>
      </c>
      <c r="C282" s="111"/>
      <c r="D282" s="119"/>
      <c r="E282" s="121">
        <v>1500</v>
      </c>
      <c r="F282" s="125">
        <v>46267</v>
      </c>
      <c r="G282" s="125">
        <v>46267</v>
      </c>
      <c r="H282" s="119" t="s">
        <v>19</v>
      </c>
      <c r="I282" s="70"/>
      <c r="J282" s="563"/>
      <c r="K282" s="564"/>
      <c r="L282" s="70"/>
      <c r="M282" s="113"/>
      <c r="N282" s="403"/>
      <c r="O282" s="403"/>
      <c r="P282" s="70"/>
      <c r="Q282" s="404"/>
      <c r="R282" s="404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</row>
    <row r="283" spans="1:36" s="14" customFormat="1" hidden="1">
      <c r="A283" s="560" t="s">
        <v>373</v>
      </c>
      <c r="B283" s="111" t="s">
        <v>713</v>
      </c>
      <c r="C283" s="111"/>
      <c r="D283" s="119" t="s">
        <v>668</v>
      </c>
      <c r="E283" s="121">
        <v>178</v>
      </c>
      <c r="F283" s="125">
        <v>46267</v>
      </c>
      <c r="G283" s="125">
        <v>46267</v>
      </c>
      <c r="H283" s="119" t="s">
        <v>19</v>
      </c>
      <c r="I283" s="70"/>
      <c r="J283" s="563"/>
      <c r="K283" s="564"/>
      <c r="L283" s="70"/>
      <c r="M283" s="113"/>
      <c r="N283" s="403"/>
      <c r="O283" s="403"/>
      <c r="P283" s="70"/>
      <c r="Q283" s="404"/>
      <c r="R283" s="404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</row>
    <row r="284" spans="1:36" s="14" customFormat="1" hidden="1">
      <c r="A284" s="560" t="s">
        <v>373</v>
      </c>
      <c r="B284" s="111" t="s">
        <v>714</v>
      </c>
      <c r="C284" s="111"/>
      <c r="D284" s="119"/>
      <c r="E284" s="121">
        <v>500</v>
      </c>
      <c r="F284" s="125">
        <v>46268</v>
      </c>
      <c r="G284" s="125">
        <v>46268</v>
      </c>
      <c r="H284" s="119" t="s">
        <v>19</v>
      </c>
      <c r="I284" s="70"/>
      <c r="J284" s="563"/>
      <c r="K284" s="564"/>
      <c r="L284" s="70"/>
      <c r="M284" s="113"/>
      <c r="N284" s="403"/>
      <c r="O284" s="403"/>
      <c r="P284" s="70"/>
      <c r="Q284" s="404"/>
      <c r="R284" s="404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</row>
    <row r="285" spans="1:36" s="14" customFormat="1" hidden="1">
      <c r="A285" s="560" t="s">
        <v>373</v>
      </c>
      <c r="B285" s="111" t="s">
        <v>715</v>
      </c>
      <c r="C285" s="111"/>
      <c r="D285" s="119"/>
      <c r="E285" s="121">
        <v>250</v>
      </c>
      <c r="F285" s="125">
        <v>46268</v>
      </c>
      <c r="G285" s="125">
        <v>46268</v>
      </c>
      <c r="H285" s="119" t="s">
        <v>19</v>
      </c>
      <c r="I285" s="70"/>
      <c r="J285" s="563"/>
      <c r="K285" s="564"/>
      <c r="L285" s="70"/>
      <c r="M285" s="113"/>
      <c r="N285" s="403"/>
      <c r="O285" s="403"/>
      <c r="P285" s="70"/>
      <c r="Q285" s="404"/>
      <c r="R285" s="404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</row>
    <row r="286" spans="1:36" s="14" customFormat="1" hidden="1">
      <c r="A286" s="560" t="s">
        <v>373</v>
      </c>
      <c r="B286" s="111" t="s">
        <v>716</v>
      </c>
      <c r="C286" s="111"/>
      <c r="D286" s="119"/>
      <c r="E286" s="121">
        <v>100</v>
      </c>
      <c r="F286" s="125">
        <v>46268</v>
      </c>
      <c r="G286" s="125">
        <v>46268</v>
      </c>
      <c r="H286" s="119" t="s">
        <v>19</v>
      </c>
      <c r="I286" s="70"/>
      <c r="J286" s="563"/>
      <c r="K286" s="564"/>
      <c r="L286" s="70"/>
      <c r="M286" s="113"/>
      <c r="N286" s="403"/>
      <c r="O286" s="403"/>
      <c r="P286" s="70"/>
      <c r="Q286" s="404"/>
      <c r="R286" s="404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</row>
    <row r="287" spans="1:36" s="14" customFormat="1" hidden="1">
      <c r="A287" s="560" t="s">
        <v>373</v>
      </c>
      <c r="B287" s="111" t="s">
        <v>717</v>
      </c>
      <c r="C287" s="111"/>
      <c r="D287" s="119"/>
      <c r="E287" s="121">
        <v>120</v>
      </c>
      <c r="F287" s="125">
        <v>46268</v>
      </c>
      <c r="G287" s="125">
        <v>46268</v>
      </c>
      <c r="H287" s="119" t="s">
        <v>19</v>
      </c>
      <c r="I287" s="70"/>
      <c r="J287" s="563"/>
      <c r="K287" s="564"/>
      <c r="L287" s="70"/>
      <c r="M287" s="113"/>
      <c r="N287" s="403"/>
      <c r="O287" s="403"/>
      <c r="P287" s="70"/>
      <c r="Q287" s="404"/>
      <c r="R287" s="404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</row>
    <row r="288" spans="1:36" s="14" customFormat="1" hidden="1">
      <c r="A288" s="560" t="s">
        <v>373</v>
      </c>
      <c r="B288" s="111" t="s">
        <v>718</v>
      </c>
      <c r="C288" s="111"/>
      <c r="D288" s="119"/>
      <c r="E288" s="121">
        <v>431.8</v>
      </c>
      <c r="F288" s="125">
        <v>46269</v>
      </c>
      <c r="G288" s="125">
        <v>46269</v>
      </c>
      <c r="H288" s="119" t="s">
        <v>445</v>
      </c>
      <c r="I288" s="70"/>
      <c r="J288" s="563"/>
      <c r="K288" s="564"/>
      <c r="L288" s="70"/>
      <c r="M288" s="113"/>
      <c r="N288" s="403"/>
      <c r="O288" s="403"/>
      <c r="P288" s="70"/>
      <c r="Q288" s="404"/>
      <c r="R288" s="404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</row>
    <row r="289" spans="1:36" s="14" customFormat="1" hidden="1">
      <c r="A289" s="560" t="s">
        <v>373</v>
      </c>
      <c r="B289" s="111" t="s">
        <v>719</v>
      </c>
      <c r="C289" s="111"/>
      <c r="D289" s="119"/>
      <c r="E289" s="121">
        <v>2180</v>
      </c>
      <c r="F289" s="125">
        <v>46269</v>
      </c>
      <c r="G289" s="125">
        <v>46269</v>
      </c>
      <c r="H289" s="119" t="s">
        <v>445</v>
      </c>
      <c r="I289" s="70"/>
      <c r="J289" s="563"/>
      <c r="K289" s="564"/>
      <c r="L289" s="70"/>
      <c r="M289" s="113"/>
      <c r="N289" s="403"/>
      <c r="O289" s="403"/>
      <c r="P289" s="70"/>
      <c r="Q289" s="404"/>
      <c r="R289" s="404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</row>
    <row r="290" spans="1:36" s="14" customFormat="1" hidden="1">
      <c r="A290" s="560" t="s">
        <v>373</v>
      </c>
      <c r="B290" s="111" t="s">
        <v>680</v>
      </c>
      <c r="C290" s="111"/>
      <c r="D290" s="119"/>
      <c r="E290" s="121">
        <v>100</v>
      </c>
      <c r="F290" s="125">
        <v>46273</v>
      </c>
      <c r="G290" s="125">
        <v>46273</v>
      </c>
      <c r="H290" s="119" t="s">
        <v>445</v>
      </c>
      <c r="I290" s="70"/>
      <c r="J290" s="563"/>
      <c r="K290" s="564"/>
      <c r="L290" s="70"/>
      <c r="M290" s="113"/>
      <c r="N290" s="403"/>
      <c r="O290" s="403"/>
      <c r="P290" s="70"/>
      <c r="Q290" s="404"/>
      <c r="R290" s="404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</row>
    <row r="291" spans="1:36" s="14" customFormat="1" hidden="1">
      <c r="A291" s="560" t="s">
        <v>373</v>
      </c>
      <c r="B291" s="111" t="s">
        <v>720</v>
      </c>
      <c r="C291" s="111"/>
      <c r="D291" s="119"/>
      <c r="E291" s="121">
        <v>350</v>
      </c>
      <c r="F291" s="125">
        <v>46275</v>
      </c>
      <c r="G291" s="125">
        <v>46275</v>
      </c>
      <c r="H291" s="119" t="s">
        <v>445</v>
      </c>
      <c r="I291" s="70"/>
      <c r="J291" s="563"/>
      <c r="K291" s="564"/>
      <c r="L291" s="70"/>
      <c r="M291" s="113"/>
      <c r="N291" s="403"/>
      <c r="O291" s="403"/>
      <c r="P291" s="70"/>
      <c r="Q291" s="404"/>
      <c r="R291" s="404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</row>
    <row r="292" spans="1:36" s="14" customFormat="1" ht="16.149999999999999" hidden="1" customHeight="1">
      <c r="A292" s="560" t="s">
        <v>373</v>
      </c>
      <c r="B292" s="111" t="s">
        <v>721</v>
      </c>
      <c r="C292" s="111"/>
      <c r="D292" s="119" t="s">
        <v>722</v>
      </c>
      <c r="E292" s="121">
        <v>120</v>
      </c>
      <c r="F292" s="125">
        <v>46275</v>
      </c>
      <c r="G292" s="125">
        <v>46275</v>
      </c>
      <c r="H292" s="119" t="s">
        <v>445</v>
      </c>
      <c r="I292" s="70"/>
      <c r="J292" s="563"/>
      <c r="K292" s="564"/>
      <c r="L292" s="70"/>
      <c r="M292" s="113"/>
      <c r="N292" s="403"/>
      <c r="O292" s="403"/>
      <c r="P292" s="70"/>
      <c r="Q292" s="404"/>
      <c r="R292" s="404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</row>
    <row r="293" spans="1:36" s="14" customFormat="1" hidden="1">
      <c r="A293" s="560" t="s">
        <v>373</v>
      </c>
      <c r="B293" s="111" t="s">
        <v>723</v>
      </c>
      <c r="C293" s="111"/>
      <c r="D293" s="119"/>
      <c r="E293" s="121">
        <v>751.62</v>
      </c>
      <c r="F293" s="125">
        <v>46275</v>
      </c>
      <c r="G293" s="125">
        <v>46275</v>
      </c>
      <c r="H293" s="119" t="s">
        <v>445</v>
      </c>
      <c r="I293" s="70"/>
      <c r="J293" s="563"/>
      <c r="K293" s="564"/>
      <c r="L293" s="70"/>
      <c r="M293" s="113"/>
      <c r="N293" s="403"/>
      <c r="O293" s="403"/>
      <c r="P293" s="70"/>
      <c r="Q293" s="404"/>
      <c r="R293" s="404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</row>
    <row r="294" spans="1:36" s="14" customFormat="1" hidden="1">
      <c r="A294" s="560" t="s">
        <v>373</v>
      </c>
      <c r="B294" s="111" t="s">
        <v>724</v>
      </c>
      <c r="C294" s="111"/>
      <c r="D294" s="119"/>
      <c r="E294" s="121">
        <v>270</v>
      </c>
      <c r="F294" s="125">
        <v>46275</v>
      </c>
      <c r="G294" s="125">
        <v>46275</v>
      </c>
      <c r="H294" s="119" t="s">
        <v>445</v>
      </c>
      <c r="I294" s="70"/>
      <c r="J294" s="563"/>
      <c r="K294" s="564"/>
      <c r="L294" s="70"/>
      <c r="M294" s="113"/>
      <c r="N294" s="403"/>
      <c r="O294" s="403"/>
      <c r="P294" s="70"/>
      <c r="Q294" s="404"/>
      <c r="R294" s="404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</row>
    <row r="295" spans="1:36" s="14" customFormat="1" hidden="1">
      <c r="A295" s="560" t="s">
        <v>373</v>
      </c>
      <c r="B295" s="111" t="s">
        <v>725</v>
      </c>
      <c r="C295" s="111"/>
      <c r="D295" s="119"/>
      <c r="E295" s="121">
        <v>200</v>
      </c>
      <c r="F295" s="125">
        <v>46276</v>
      </c>
      <c r="G295" s="125">
        <v>46276</v>
      </c>
      <c r="H295" s="119" t="s">
        <v>445</v>
      </c>
      <c r="I295" s="70"/>
      <c r="J295" s="563"/>
      <c r="K295" s="564"/>
      <c r="L295" s="70"/>
      <c r="M295" s="113"/>
      <c r="N295" s="403"/>
      <c r="O295" s="403"/>
      <c r="P295" s="70"/>
      <c r="Q295" s="404"/>
      <c r="R295" s="404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</row>
    <row r="296" spans="1:36" s="14" customFormat="1" hidden="1">
      <c r="A296" s="560" t="s">
        <v>373</v>
      </c>
      <c r="B296" s="111" t="s">
        <v>726</v>
      </c>
      <c r="C296" s="111"/>
      <c r="D296" s="119"/>
      <c r="E296" s="121">
        <v>42.5</v>
      </c>
      <c r="F296" s="125">
        <v>46276</v>
      </c>
      <c r="G296" s="125">
        <v>46276</v>
      </c>
      <c r="H296" s="119" t="s">
        <v>445</v>
      </c>
      <c r="I296" s="70"/>
      <c r="J296" s="563"/>
      <c r="K296" s="564"/>
      <c r="L296" s="70"/>
      <c r="M296" s="113"/>
      <c r="N296" s="403"/>
      <c r="O296" s="403"/>
      <c r="P296" s="70"/>
      <c r="Q296" s="404"/>
      <c r="R296" s="404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</row>
    <row r="297" spans="1:36" s="14" customFormat="1" hidden="1">
      <c r="A297" s="560" t="s">
        <v>373</v>
      </c>
      <c r="B297" s="111" t="s">
        <v>727</v>
      </c>
      <c r="C297" s="111"/>
      <c r="D297" s="119"/>
      <c r="E297" s="121">
        <v>78</v>
      </c>
      <c r="F297" s="125">
        <v>46276</v>
      </c>
      <c r="G297" s="125">
        <v>46276</v>
      </c>
      <c r="H297" s="119" t="s">
        <v>445</v>
      </c>
      <c r="I297" s="70"/>
      <c r="J297" s="563"/>
      <c r="K297" s="564"/>
      <c r="L297" s="70"/>
      <c r="M297" s="113"/>
      <c r="N297" s="403"/>
      <c r="O297" s="403"/>
      <c r="P297" s="70"/>
      <c r="Q297" s="404"/>
      <c r="R297" s="404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</row>
    <row r="298" spans="1:36" s="14" customFormat="1" hidden="1">
      <c r="A298" s="560" t="s">
        <v>373</v>
      </c>
      <c r="B298" s="111" t="s">
        <v>728</v>
      </c>
      <c r="C298" s="111"/>
      <c r="D298" s="119"/>
      <c r="E298" s="121">
        <v>200</v>
      </c>
      <c r="F298" s="125">
        <v>46276</v>
      </c>
      <c r="G298" s="125">
        <v>46276</v>
      </c>
      <c r="H298" s="119" t="s">
        <v>445</v>
      </c>
      <c r="I298" s="70"/>
      <c r="J298" s="567"/>
      <c r="K298" s="568"/>
      <c r="L298" s="70"/>
      <c r="M298" s="113"/>
      <c r="N298" s="403"/>
      <c r="O298" s="403"/>
      <c r="P298" s="70"/>
      <c r="Q298" s="404"/>
      <c r="R298" s="404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</row>
    <row r="299" spans="1:36" s="14" customFormat="1" hidden="1">
      <c r="A299" s="560" t="s">
        <v>373</v>
      </c>
      <c r="B299" s="111" t="s">
        <v>729</v>
      </c>
      <c r="C299" s="111"/>
      <c r="D299" s="119"/>
      <c r="E299" s="121">
        <v>100</v>
      </c>
      <c r="F299" s="125">
        <v>46276</v>
      </c>
      <c r="G299" s="125">
        <v>46276</v>
      </c>
      <c r="H299" s="119" t="s">
        <v>445</v>
      </c>
      <c r="I299" s="70"/>
      <c r="J299" s="563"/>
      <c r="K299" s="564"/>
      <c r="L299" s="70"/>
      <c r="M299" s="113"/>
      <c r="N299" s="403"/>
      <c r="O299" s="403"/>
      <c r="P299" s="70"/>
      <c r="Q299" s="404"/>
      <c r="R299" s="404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</row>
    <row r="300" spans="1:36" s="14" customFormat="1" hidden="1">
      <c r="A300" s="560" t="s">
        <v>373</v>
      </c>
      <c r="B300" s="111" t="s">
        <v>730</v>
      </c>
      <c r="C300" s="111"/>
      <c r="D300" s="119"/>
      <c r="E300" s="121">
        <v>600</v>
      </c>
      <c r="F300" s="125">
        <v>46277</v>
      </c>
      <c r="G300" s="125">
        <v>46279</v>
      </c>
      <c r="H300" s="119" t="s">
        <v>445</v>
      </c>
      <c r="I300" s="70"/>
      <c r="J300" s="563"/>
      <c r="K300" s="564"/>
      <c r="L300" s="70"/>
      <c r="M300" s="113"/>
      <c r="N300" s="403"/>
      <c r="O300" s="403"/>
      <c r="P300" s="70"/>
      <c r="Q300" s="404"/>
      <c r="R300" s="404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</row>
    <row r="301" spans="1:36" s="14" customFormat="1" hidden="1">
      <c r="A301" s="560" t="s">
        <v>373</v>
      </c>
      <c r="B301" s="111" t="s">
        <v>731</v>
      </c>
      <c r="C301" s="111"/>
      <c r="D301" s="119"/>
      <c r="E301" s="121">
        <v>100</v>
      </c>
      <c r="F301" s="125">
        <v>46277</v>
      </c>
      <c r="G301" s="125">
        <v>46279</v>
      </c>
      <c r="H301" s="119" t="s">
        <v>445</v>
      </c>
      <c r="I301" s="70"/>
      <c r="J301" s="563"/>
      <c r="K301" s="564"/>
      <c r="L301" s="70"/>
      <c r="M301" s="113"/>
      <c r="N301" s="403"/>
      <c r="O301" s="403"/>
      <c r="P301" s="70"/>
      <c r="Q301" s="404"/>
      <c r="R301" s="404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</row>
    <row r="302" spans="1:36" s="14" customFormat="1" hidden="1">
      <c r="A302" s="560" t="s">
        <v>373</v>
      </c>
      <c r="B302" s="111" t="s">
        <v>732</v>
      </c>
      <c r="C302" s="111"/>
      <c r="D302" s="119"/>
      <c r="E302" s="121">
        <v>252</v>
      </c>
      <c r="F302" s="125">
        <v>46277</v>
      </c>
      <c r="G302" s="125">
        <v>46279</v>
      </c>
      <c r="H302" s="119" t="s">
        <v>445</v>
      </c>
      <c r="I302" s="70"/>
      <c r="J302" s="563"/>
      <c r="K302" s="564"/>
      <c r="L302" s="70"/>
      <c r="M302" s="113"/>
      <c r="N302" s="403"/>
      <c r="O302" s="403"/>
      <c r="P302" s="70"/>
      <c r="Q302" s="404"/>
      <c r="R302" s="404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</row>
    <row r="303" spans="1:36" s="14" customFormat="1" hidden="1">
      <c r="A303" s="560" t="s">
        <v>373</v>
      </c>
      <c r="B303" s="111" t="s">
        <v>731</v>
      </c>
      <c r="C303" s="111"/>
      <c r="D303" s="119"/>
      <c r="E303" s="121">
        <v>170</v>
      </c>
      <c r="F303" s="125">
        <v>46277</v>
      </c>
      <c r="G303" s="125">
        <v>46279</v>
      </c>
      <c r="H303" s="119" t="s">
        <v>445</v>
      </c>
      <c r="I303" s="70"/>
      <c r="J303" s="563"/>
      <c r="K303" s="564"/>
      <c r="L303" s="70"/>
      <c r="M303" s="113"/>
      <c r="N303" s="403"/>
      <c r="O303" s="403"/>
      <c r="P303" s="70"/>
      <c r="Q303" s="404"/>
      <c r="R303" s="404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</row>
    <row r="304" spans="1:36" s="14" customFormat="1" hidden="1">
      <c r="A304" s="560" t="s">
        <v>373</v>
      </c>
      <c r="B304" s="111" t="s">
        <v>733</v>
      </c>
      <c r="C304" s="111"/>
      <c r="D304" s="119"/>
      <c r="E304" s="121">
        <v>250</v>
      </c>
      <c r="F304" s="125">
        <v>46277</v>
      </c>
      <c r="G304" s="125">
        <v>46279</v>
      </c>
      <c r="H304" s="119" t="s">
        <v>445</v>
      </c>
      <c r="I304" s="70"/>
      <c r="J304" s="563"/>
      <c r="K304" s="564"/>
      <c r="L304" s="70"/>
      <c r="M304" s="113"/>
      <c r="N304" s="403"/>
      <c r="O304" s="403"/>
      <c r="P304" s="70"/>
      <c r="Q304" s="404"/>
      <c r="R304" s="404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</row>
    <row r="305" spans="1:36" s="14" customFormat="1" hidden="1">
      <c r="A305" s="560" t="s">
        <v>373</v>
      </c>
      <c r="B305" s="111" t="s">
        <v>734</v>
      </c>
      <c r="C305" s="111"/>
      <c r="D305" s="119"/>
      <c r="E305" s="121">
        <v>2200</v>
      </c>
      <c r="F305" s="125">
        <v>46279</v>
      </c>
      <c r="G305" s="125">
        <v>46279</v>
      </c>
      <c r="H305" s="119" t="s">
        <v>19</v>
      </c>
      <c r="I305" s="70"/>
      <c r="J305" s="563"/>
      <c r="K305" s="564"/>
      <c r="L305" s="70"/>
      <c r="M305" s="113"/>
      <c r="N305" s="403"/>
      <c r="O305" s="403"/>
      <c r="P305" s="70"/>
      <c r="Q305" s="404"/>
      <c r="R305" s="404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</row>
    <row r="306" spans="1:36" s="14" customFormat="1" hidden="1">
      <c r="A306" s="560" t="s">
        <v>373</v>
      </c>
      <c r="B306" s="111" t="s">
        <v>735</v>
      </c>
      <c r="C306" s="111"/>
      <c r="D306" s="119"/>
      <c r="E306" s="121">
        <v>9600</v>
      </c>
      <c r="F306" s="125">
        <v>46279</v>
      </c>
      <c r="G306" s="125">
        <v>46279</v>
      </c>
      <c r="H306" s="119" t="s">
        <v>19</v>
      </c>
      <c r="I306" s="70"/>
      <c r="J306" s="563"/>
      <c r="K306" s="564"/>
      <c r="L306" s="70"/>
      <c r="M306" s="113"/>
      <c r="N306" s="403"/>
      <c r="O306" s="403"/>
      <c r="P306" s="70"/>
      <c r="Q306" s="404"/>
      <c r="R306" s="404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</row>
    <row r="307" spans="1:36" s="14" customFormat="1" hidden="1">
      <c r="A307" s="560" t="s">
        <v>373</v>
      </c>
      <c r="B307" s="111" t="s">
        <v>736</v>
      </c>
      <c r="C307" s="111"/>
      <c r="D307" s="119"/>
      <c r="E307" s="121">
        <v>100</v>
      </c>
      <c r="F307" s="125">
        <v>46279</v>
      </c>
      <c r="G307" s="125">
        <v>46279</v>
      </c>
      <c r="H307" s="119" t="s">
        <v>19</v>
      </c>
      <c r="I307" s="70"/>
      <c r="J307" s="563"/>
      <c r="K307" s="564"/>
      <c r="L307" s="70"/>
      <c r="M307" s="113"/>
      <c r="N307" s="403"/>
      <c r="O307" s="403"/>
      <c r="P307" s="70"/>
      <c r="Q307" s="404"/>
      <c r="R307" s="404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</row>
    <row r="308" spans="1:36" s="14" customFormat="1" hidden="1">
      <c r="A308" s="560" t="s">
        <v>373</v>
      </c>
      <c r="B308" s="111" t="s">
        <v>737</v>
      </c>
      <c r="C308" s="111"/>
      <c r="D308" s="119"/>
      <c r="E308" s="121">
        <v>237</v>
      </c>
      <c r="F308" s="125">
        <v>46279</v>
      </c>
      <c r="G308" s="125">
        <v>46279</v>
      </c>
      <c r="H308" s="119" t="s">
        <v>19</v>
      </c>
      <c r="I308" s="70"/>
      <c r="J308" s="563"/>
      <c r="K308" s="564"/>
      <c r="L308" s="70"/>
      <c r="M308" s="113"/>
      <c r="N308" s="403"/>
      <c r="O308" s="403"/>
      <c r="P308" s="70"/>
      <c r="Q308" s="404"/>
      <c r="R308" s="404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</row>
    <row r="309" spans="1:36" s="14" customFormat="1" hidden="1">
      <c r="A309" s="560" t="s">
        <v>373</v>
      </c>
      <c r="B309" s="111" t="s">
        <v>738</v>
      </c>
      <c r="C309" s="111"/>
      <c r="D309" s="119"/>
      <c r="E309" s="121">
        <v>590</v>
      </c>
      <c r="F309" s="125">
        <v>46279</v>
      </c>
      <c r="G309" s="125">
        <v>46279</v>
      </c>
      <c r="H309" s="119" t="s">
        <v>19</v>
      </c>
      <c r="I309" s="70"/>
      <c r="J309" s="563"/>
      <c r="K309" s="564"/>
      <c r="L309" s="70"/>
      <c r="M309" s="113"/>
      <c r="N309" s="403"/>
      <c r="O309" s="403"/>
      <c r="P309" s="70"/>
      <c r="Q309" s="404"/>
      <c r="R309" s="404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</row>
    <row r="310" spans="1:36" s="14" customFormat="1" hidden="1">
      <c r="A310" s="560" t="s">
        <v>373</v>
      </c>
      <c r="B310" s="111" t="s">
        <v>739</v>
      </c>
      <c r="C310" s="111"/>
      <c r="D310" s="119"/>
      <c r="E310" s="121">
        <v>700</v>
      </c>
      <c r="F310" s="125">
        <v>46280</v>
      </c>
      <c r="G310" s="125">
        <v>46280</v>
      </c>
      <c r="H310" s="119" t="s">
        <v>19</v>
      </c>
      <c r="I310" s="70"/>
      <c r="J310" s="563"/>
      <c r="K310" s="564"/>
      <c r="L310" s="70"/>
      <c r="M310" s="113"/>
      <c r="N310" s="403"/>
      <c r="O310" s="403"/>
      <c r="P310" s="70"/>
      <c r="Q310" s="404"/>
      <c r="R310" s="404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</row>
    <row r="311" spans="1:36" s="14" customFormat="1" ht="16.899999999999999" hidden="1" customHeight="1">
      <c r="A311" s="560" t="s">
        <v>373</v>
      </c>
      <c r="B311" s="111" t="s">
        <v>740</v>
      </c>
      <c r="C311" s="111"/>
      <c r="D311" s="119"/>
      <c r="E311" s="121">
        <v>720</v>
      </c>
      <c r="F311" s="125">
        <v>46280</v>
      </c>
      <c r="G311" s="125">
        <v>46280</v>
      </c>
      <c r="H311" s="119" t="s">
        <v>19</v>
      </c>
      <c r="I311" s="70"/>
      <c r="J311" s="563"/>
      <c r="K311" s="564"/>
      <c r="L311" s="70"/>
      <c r="M311" s="113"/>
      <c r="N311" s="403"/>
      <c r="O311" s="403"/>
      <c r="P311" s="70"/>
      <c r="Q311" s="404"/>
      <c r="R311" s="404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</row>
    <row r="312" spans="1:36" s="14" customFormat="1" hidden="1">
      <c r="A312" s="560" t="s">
        <v>373</v>
      </c>
      <c r="B312" s="111" t="s">
        <v>741</v>
      </c>
      <c r="C312" s="111"/>
      <c r="D312" s="119"/>
      <c r="E312" s="121">
        <v>300</v>
      </c>
      <c r="F312" s="125">
        <v>46280</v>
      </c>
      <c r="G312" s="125">
        <v>46280</v>
      </c>
      <c r="H312" s="119" t="s">
        <v>19</v>
      </c>
      <c r="I312" s="70"/>
      <c r="J312" s="563"/>
      <c r="K312" s="564"/>
      <c r="L312" s="70"/>
      <c r="M312" s="113"/>
      <c r="N312" s="403"/>
      <c r="O312" s="403"/>
      <c r="P312" s="70"/>
      <c r="Q312" s="404"/>
      <c r="R312" s="404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</row>
    <row r="313" spans="1:36" s="14" customFormat="1" hidden="1">
      <c r="A313" s="560" t="s">
        <v>373</v>
      </c>
      <c r="B313" s="111" t="s">
        <v>742</v>
      </c>
      <c r="C313" s="111"/>
      <c r="D313" s="119"/>
      <c r="E313" s="121">
        <v>140</v>
      </c>
      <c r="F313" s="125">
        <v>46281</v>
      </c>
      <c r="G313" s="125">
        <v>46281</v>
      </c>
      <c r="H313" s="119" t="s">
        <v>19</v>
      </c>
      <c r="I313" s="70"/>
      <c r="J313" s="563"/>
      <c r="K313" s="564"/>
      <c r="L313" s="70"/>
      <c r="M313" s="113"/>
      <c r="N313" s="403"/>
      <c r="O313" s="403"/>
      <c r="P313" s="70"/>
      <c r="Q313" s="404"/>
      <c r="R313" s="404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</row>
    <row r="314" spans="1:36" s="14" customFormat="1" hidden="1">
      <c r="A314" s="560" t="s">
        <v>373</v>
      </c>
      <c r="B314" s="111" t="s">
        <v>743</v>
      </c>
      <c r="C314" s="111"/>
      <c r="D314" s="119"/>
      <c r="E314" s="121">
        <v>1000</v>
      </c>
      <c r="F314" s="125">
        <v>46281</v>
      </c>
      <c r="G314" s="125">
        <v>46281</v>
      </c>
      <c r="H314" s="119" t="s">
        <v>19</v>
      </c>
      <c r="I314" s="70"/>
      <c r="J314" s="563"/>
      <c r="K314" s="564"/>
      <c r="L314" s="70"/>
      <c r="M314" s="113"/>
      <c r="N314" s="403"/>
      <c r="O314" s="403"/>
      <c r="P314" s="70"/>
      <c r="Q314" s="404"/>
      <c r="R314" s="404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</row>
    <row r="315" spans="1:36" s="14" customFormat="1" hidden="1">
      <c r="A315" s="560" t="s">
        <v>373</v>
      </c>
      <c r="B315" s="111" t="s">
        <v>744</v>
      </c>
      <c r="C315" s="111"/>
      <c r="D315" s="119"/>
      <c r="E315" s="121">
        <v>30</v>
      </c>
      <c r="F315" s="125">
        <v>46282</v>
      </c>
      <c r="G315" s="125">
        <v>46282</v>
      </c>
      <c r="H315" s="119" t="s">
        <v>19</v>
      </c>
      <c r="I315" s="70"/>
      <c r="J315" s="563"/>
      <c r="K315" s="564"/>
      <c r="L315" s="70"/>
      <c r="M315" s="113"/>
      <c r="N315" s="403"/>
      <c r="O315" s="403"/>
      <c r="P315" s="70"/>
      <c r="Q315" s="404"/>
      <c r="R315" s="404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</row>
    <row r="316" spans="1:36" s="14" customFormat="1" ht="16.149999999999999" hidden="1" customHeight="1">
      <c r="A316" s="560" t="s">
        <v>373</v>
      </c>
      <c r="B316" s="111" t="s">
        <v>745</v>
      </c>
      <c r="C316" s="111"/>
      <c r="D316" s="119"/>
      <c r="E316" s="121">
        <v>55</v>
      </c>
      <c r="F316" s="125">
        <v>46282</v>
      </c>
      <c r="G316" s="125">
        <v>46282</v>
      </c>
      <c r="H316" s="119" t="s">
        <v>19</v>
      </c>
      <c r="I316" s="70"/>
      <c r="J316" s="563"/>
      <c r="K316" s="564"/>
      <c r="L316" s="70"/>
      <c r="M316" s="113"/>
      <c r="N316" s="403"/>
      <c r="O316" s="403"/>
      <c r="P316" s="70"/>
      <c r="Q316" s="404"/>
      <c r="R316" s="404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</row>
    <row r="317" spans="1:36" s="14" customFormat="1" hidden="1">
      <c r="A317" s="560" t="s">
        <v>373</v>
      </c>
      <c r="B317" s="111" t="s">
        <v>746</v>
      </c>
      <c r="C317" s="111"/>
      <c r="D317" s="119"/>
      <c r="E317" s="121">
        <v>410</v>
      </c>
      <c r="F317" s="125">
        <v>46285</v>
      </c>
      <c r="G317" s="125">
        <v>46285</v>
      </c>
      <c r="H317" s="119" t="s">
        <v>457</v>
      </c>
      <c r="I317" s="70"/>
      <c r="J317" s="563"/>
      <c r="K317" s="564"/>
      <c r="L317" s="70"/>
      <c r="M317" s="113"/>
      <c r="N317" s="403"/>
      <c r="O317" s="403"/>
      <c r="P317" s="70"/>
      <c r="Q317" s="404"/>
      <c r="R317" s="404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</row>
    <row r="318" spans="1:36" s="14" customFormat="1" hidden="1">
      <c r="A318" s="560" t="s">
        <v>373</v>
      </c>
      <c r="B318" s="111" t="s">
        <v>747</v>
      </c>
      <c r="C318" s="111"/>
      <c r="D318" s="119" t="s">
        <v>748</v>
      </c>
      <c r="E318" s="121">
        <v>62</v>
      </c>
      <c r="F318" s="125">
        <v>46285</v>
      </c>
      <c r="G318" s="125">
        <v>46286</v>
      </c>
      <c r="H318" s="119" t="s">
        <v>19</v>
      </c>
      <c r="I318" s="70"/>
      <c r="J318" s="563"/>
      <c r="K318" s="564"/>
      <c r="L318" s="70"/>
      <c r="M318" s="113"/>
      <c r="N318" s="403"/>
      <c r="O318" s="403"/>
      <c r="P318" s="70"/>
      <c r="Q318" s="404"/>
      <c r="R318" s="404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</row>
    <row r="319" spans="1:36" s="14" customFormat="1" hidden="1">
      <c r="A319" s="560" t="s">
        <v>373</v>
      </c>
      <c r="B319" s="111" t="s">
        <v>749</v>
      </c>
      <c r="C319" s="111"/>
      <c r="D319" s="119"/>
      <c r="E319" s="121">
        <v>220</v>
      </c>
      <c r="F319" s="125">
        <v>46285</v>
      </c>
      <c r="G319" s="125">
        <v>46286</v>
      </c>
      <c r="H319" s="119" t="s">
        <v>19</v>
      </c>
      <c r="I319" s="70"/>
      <c r="J319" s="563"/>
      <c r="K319" s="564"/>
      <c r="L319" s="70"/>
      <c r="M319" s="113"/>
      <c r="N319" s="403"/>
      <c r="O319" s="403"/>
      <c r="P319" s="70"/>
      <c r="Q319" s="404"/>
      <c r="R319" s="404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</row>
    <row r="320" spans="1:36" s="426" customFormat="1" ht="16.899999999999999" hidden="1" customHeight="1">
      <c r="A320" s="560" t="s">
        <v>373</v>
      </c>
      <c r="B320" s="111" t="s">
        <v>750</v>
      </c>
      <c r="C320" s="111"/>
      <c r="D320" s="119"/>
      <c r="E320" s="121">
        <v>179</v>
      </c>
      <c r="F320" s="125">
        <v>46285</v>
      </c>
      <c r="G320" s="125">
        <v>46286</v>
      </c>
      <c r="H320" s="119" t="s">
        <v>19</v>
      </c>
      <c r="I320" s="423"/>
      <c r="J320" s="175"/>
      <c r="K320" s="176"/>
      <c r="L320" s="423"/>
      <c r="M320" s="347"/>
      <c r="N320" s="424"/>
      <c r="O320" s="424"/>
      <c r="P320" s="423"/>
      <c r="Q320" s="425"/>
      <c r="R320" s="425"/>
      <c r="S320" s="423"/>
      <c r="T320" s="423"/>
      <c r="U320" s="423"/>
      <c r="V320" s="423"/>
      <c r="W320" s="423"/>
      <c r="X320" s="423"/>
      <c r="Y320" s="423"/>
      <c r="Z320" s="423"/>
      <c r="AA320" s="423"/>
      <c r="AB320" s="423"/>
      <c r="AC320" s="423"/>
      <c r="AD320" s="423"/>
      <c r="AE320" s="423"/>
      <c r="AF320" s="423"/>
      <c r="AG320" s="423"/>
      <c r="AH320" s="423"/>
      <c r="AI320" s="423"/>
      <c r="AJ320" s="423"/>
    </row>
    <row r="321" spans="1:36" s="426" customFormat="1" ht="18.600000000000001" hidden="1" customHeight="1">
      <c r="A321" s="560" t="s">
        <v>373</v>
      </c>
      <c r="B321" s="111" t="s">
        <v>751</v>
      </c>
      <c r="C321" s="111"/>
      <c r="D321" s="119"/>
      <c r="E321" s="121">
        <v>659</v>
      </c>
      <c r="F321" s="125">
        <v>46285</v>
      </c>
      <c r="G321" s="125">
        <v>46286</v>
      </c>
      <c r="H321" s="119" t="s">
        <v>19</v>
      </c>
      <c r="I321" s="423"/>
      <c r="J321" s="175"/>
      <c r="K321" s="176"/>
      <c r="L321" s="423"/>
      <c r="M321" s="347"/>
      <c r="N321" s="424"/>
      <c r="O321" s="424"/>
      <c r="P321" s="423"/>
      <c r="Q321" s="425"/>
      <c r="R321" s="425"/>
      <c r="S321" s="423"/>
      <c r="T321" s="423"/>
      <c r="U321" s="423"/>
      <c r="V321" s="423"/>
      <c r="W321" s="423"/>
      <c r="X321" s="423"/>
      <c r="Y321" s="423"/>
      <c r="Z321" s="423"/>
      <c r="AA321" s="423"/>
      <c r="AB321" s="423"/>
      <c r="AC321" s="423"/>
      <c r="AD321" s="423"/>
      <c r="AE321" s="423"/>
      <c r="AF321" s="423"/>
      <c r="AG321" s="423"/>
      <c r="AH321" s="423"/>
      <c r="AI321" s="423"/>
      <c r="AJ321" s="423"/>
    </row>
    <row r="322" spans="1:36" s="14" customFormat="1" ht="18" hidden="1" customHeight="1">
      <c r="A322" s="560" t="s">
        <v>373</v>
      </c>
      <c r="B322" s="111" t="s">
        <v>752</v>
      </c>
      <c r="C322" s="111"/>
      <c r="D322" s="119"/>
      <c r="E322" s="121">
        <v>90</v>
      </c>
      <c r="F322" s="125">
        <v>46287</v>
      </c>
      <c r="G322" s="125">
        <v>46287</v>
      </c>
      <c r="H322" s="119" t="s">
        <v>457</v>
      </c>
      <c r="I322" s="70"/>
      <c r="J322" s="563"/>
      <c r="K322" s="564"/>
      <c r="L322" s="70"/>
      <c r="M322" s="113"/>
      <c r="N322" s="403"/>
      <c r="O322" s="403"/>
      <c r="P322" s="70"/>
      <c r="Q322" s="404"/>
      <c r="R322" s="404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</row>
    <row r="323" spans="1:36" s="14" customFormat="1" hidden="1">
      <c r="A323" s="560" t="s">
        <v>373</v>
      </c>
      <c r="B323" s="111" t="s">
        <v>753</v>
      </c>
      <c r="C323" s="111"/>
      <c r="D323" s="119"/>
      <c r="E323" s="121">
        <v>740</v>
      </c>
      <c r="F323" s="125">
        <v>46287</v>
      </c>
      <c r="G323" s="125">
        <v>46287</v>
      </c>
      <c r="H323" s="119" t="s">
        <v>457</v>
      </c>
      <c r="I323" s="70"/>
      <c r="J323" s="563"/>
      <c r="K323" s="564"/>
      <c r="L323" s="70"/>
      <c r="M323" s="113"/>
      <c r="N323" s="403"/>
      <c r="O323" s="403"/>
      <c r="P323" s="70"/>
      <c r="Q323" s="404"/>
      <c r="R323" s="404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</row>
    <row r="324" spans="1:36" s="14" customFormat="1" hidden="1">
      <c r="A324" s="560" t="s">
        <v>373</v>
      </c>
      <c r="B324" s="111" t="s">
        <v>754</v>
      </c>
      <c r="C324" s="111"/>
      <c r="D324" s="119"/>
      <c r="E324" s="121">
        <v>129</v>
      </c>
      <c r="F324" s="125">
        <v>46288</v>
      </c>
      <c r="G324" s="125">
        <v>46288</v>
      </c>
      <c r="H324" s="119" t="s">
        <v>19</v>
      </c>
      <c r="I324" s="70"/>
      <c r="J324" s="563"/>
      <c r="K324" s="564"/>
      <c r="L324" s="70"/>
      <c r="M324" s="113"/>
      <c r="N324" s="403"/>
      <c r="O324" s="403"/>
      <c r="P324" s="70"/>
      <c r="Q324" s="404"/>
      <c r="R324" s="404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</row>
    <row r="325" spans="1:36" s="14" customFormat="1" hidden="1">
      <c r="A325" s="560" t="s">
        <v>373</v>
      </c>
      <c r="B325" s="114" t="s">
        <v>755</v>
      </c>
      <c r="C325" s="114"/>
      <c r="D325" s="119"/>
      <c r="E325" s="121">
        <v>370</v>
      </c>
      <c r="F325" s="125">
        <v>46296</v>
      </c>
      <c r="G325" s="350">
        <v>46296</v>
      </c>
      <c r="H325" s="125" t="s">
        <v>445</v>
      </c>
      <c r="I325" s="70"/>
      <c r="J325" s="563"/>
      <c r="K325" s="564"/>
      <c r="L325" s="70"/>
      <c r="M325" s="113"/>
      <c r="N325" s="403"/>
      <c r="O325" s="403"/>
      <c r="P325" s="70"/>
      <c r="Q325" s="404"/>
      <c r="R325" s="404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</row>
    <row r="326" spans="1:36" s="14" customFormat="1">
      <c r="A326" s="437" t="s">
        <v>373</v>
      </c>
      <c r="B326" s="114" t="s">
        <v>756</v>
      </c>
      <c r="C326" s="439"/>
      <c r="D326" s="119" t="s">
        <v>757</v>
      </c>
      <c r="E326" s="121">
        <v>3648</v>
      </c>
      <c r="F326" s="125">
        <v>46286</v>
      </c>
      <c r="G326" s="351" t="s">
        <v>366</v>
      </c>
      <c r="H326" s="119"/>
      <c r="I326" s="70"/>
      <c r="J326" s="563"/>
      <c r="K326" s="564"/>
      <c r="L326" s="70"/>
      <c r="M326" s="113"/>
      <c r="N326" s="403"/>
      <c r="O326" s="403"/>
      <c r="P326" s="70"/>
      <c r="Q326" s="404"/>
      <c r="R326" s="404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</row>
    <row r="327" spans="1:36" s="14" customFormat="1" hidden="1">
      <c r="A327" s="560" t="s">
        <v>373</v>
      </c>
      <c r="B327" s="114" t="s">
        <v>758</v>
      </c>
      <c r="C327" s="114"/>
      <c r="D327" s="119"/>
      <c r="E327" s="121">
        <v>350</v>
      </c>
      <c r="F327" s="125">
        <v>46296</v>
      </c>
      <c r="G327" s="350">
        <v>46296</v>
      </c>
      <c r="H327" s="125" t="s">
        <v>445</v>
      </c>
      <c r="I327" s="70"/>
      <c r="J327" s="563"/>
      <c r="K327" s="564"/>
      <c r="L327" s="70"/>
      <c r="M327" s="113"/>
      <c r="N327" s="403"/>
      <c r="O327" s="403"/>
      <c r="P327" s="70"/>
      <c r="Q327" s="404"/>
      <c r="R327" s="404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</row>
    <row r="328" spans="1:36" s="14" customFormat="1" hidden="1">
      <c r="A328" s="560" t="s">
        <v>373</v>
      </c>
      <c r="B328" s="114" t="s">
        <v>759</v>
      </c>
      <c r="C328" s="114"/>
      <c r="D328" s="119"/>
      <c r="E328" s="121">
        <v>910</v>
      </c>
      <c r="F328" s="125">
        <v>46296</v>
      </c>
      <c r="G328" s="350">
        <v>46296</v>
      </c>
      <c r="H328" s="125" t="s">
        <v>445</v>
      </c>
      <c r="I328" s="70"/>
      <c r="J328" s="563"/>
      <c r="K328" s="564"/>
      <c r="L328" s="70"/>
      <c r="M328" s="113"/>
      <c r="N328" s="403"/>
      <c r="O328" s="403"/>
      <c r="P328" s="70"/>
      <c r="Q328" s="404"/>
      <c r="R328" s="404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</row>
    <row r="329" spans="1:36" s="14" customFormat="1" hidden="1">
      <c r="A329" s="560" t="s">
        <v>373</v>
      </c>
      <c r="B329" s="114" t="s">
        <v>760</v>
      </c>
      <c r="C329" s="114"/>
      <c r="D329" s="119"/>
      <c r="E329" s="121">
        <v>90.09</v>
      </c>
      <c r="F329" s="125">
        <v>46296</v>
      </c>
      <c r="G329" s="350">
        <v>46296</v>
      </c>
      <c r="H329" s="125" t="s">
        <v>445</v>
      </c>
      <c r="I329" s="70"/>
      <c r="J329" s="563"/>
      <c r="K329" s="564"/>
      <c r="L329" s="70"/>
      <c r="M329" s="113"/>
      <c r="N329" s="403"/>
      <c r="O329" s="403"/>
      <c r="P329" s="70"/>
      <c r="Q329" s="404"/>
      <c r="R329" s="404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</row>
    <row r="330" spans="1:36" s="14" customFormat="1" ht="16.899999999999999" hidden="1" customHeight="1">
      <c r="A330" s="560" t="s">
        <v>373</v>
      </c>
      <c r="B330" s="114" t="s">
        <v>761</v>
      </c>
      <c r="C330" s="114"/>
      <c r="D330" s="119"/>
      <c r="E330" s="121">
        <v>150</v>
      </c>
      <c r="F330" s="125">
        <v>46296</v>
      </c>
      <c r="G330" s="350">
        <v>46296</v>
      </c>
      <c r="H330" s="125" t="s">
        <v>445</v>
      </c>
      <c r="I330" s="70"/>
      <c r="J330" s="563"/>
      <c r="K330" s="564"/>
      <c r="L330" s="70"/>
      <c r="M330" s="113"/>
      <c r="N330" s="403"/>
      <c r="O330" s="403"/>
      <c r="P330" s="70"/>
      <c r="Q330" s="404"/>
      <c r="R330" s="404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</row>
    <row r="331" spans="1:36" s="14" customFormat="1" hidden="1">
      <c r="A331" s="560" t="s">
        <v>373</v>
      </c>
      <c r="B331" s="114" t="s">
        <v>762</v>
      </c>
      <c r="C331" s="114"/>
      <c r="D331" s="119"/>
      <c r="E331" s="121">
        <v>56</v>
      </c>
      <c r="F331" s="125">
        <v>46296</v>
      </c>
      <c r="G331" s="350">
        <v>46296</v>
      </c>
      <c r="H331" s="125" t="s">
        <v>445</v>
      </c>
      <c r="I331" s="70"/>
      <c r="J331" s="563"/>
      <c r="K331" s="564"/>
      <c r="L331" s="70"/>
      <c r="M331" s="113"/>
      <c r="N331" s="403"/>
      <c r="O331" s="403"/>
      <c r="P331" s="70"/>
      <c r="Q331" s="404"/>
      <c r="R331" s="404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</row>
    <row r="332" spans="1:36" s="14" customFormat="1" hidden="1">
      <c r="A332" s="560" t="s">
        <v>373</v>
      </c>
      <c r="B332" s="114" t="s">
        <v>763</v>
      </c>
      <c r="C332" s="114"/>
      <c r="D332" s="119"/>
      <c r="E332" s="121">
        <v>200</v>
      </c>
      <c r="F332" s="125">
        <v>46297</v>
      </c>
      <c r="G332" s="350">
        <v>46297</v>
      </c>
      <c r="H332" s="125" t="s">
        <v>19</v>
      </c>
      <c r="I332" s="70"/>
      <c r="J332" s="563"/>
      <c r="K332" s="564"/>
      <c r="L332" s="70"/>
      <c r="M332" s="113"/>
      <c r="N332" s="403"/>
      <c r="O332" s="403"/>
      <c r="P332" s="70"/>
      <c r="Q332" s="404"/>
      <c r="R332" s="404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</row>
    <row r="333" spans="1:36" s="14" customFormat="1" hidden="1">
      <c r="A333" s="560" t="s">
        <v>373</v>
      </c>
      <c r="B333" s="114" t="s">
        <v>764</v>
      </c>
      <c r="C333" s="114"/>
      <c r="D333" s="119"/>
      <c r="E333" s="121">
        <v>14</v>
      </c>
      <c r="F333" s="125">
        <v>46297</v>
      </c>
      <c r="G333" s="350">
        <v>46297</v>
      </c>
      <c r="H333" s="125" t="s">
        <v>19</v>
      </c>
      <c r="I333" s="70"/>
      <c r="J333" s="563"/>
      <c r="K333" s="564"/>
      <c r="L333" s="70"/>
      <c r="M333" s="113"/>
      <c r="N333" s="403"/>
      <c r="O333" s="403"/>
      <c r="P333" s="70"/>
      <c r="Q333" s="404"/>
      <c r="R333" s="404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</row>
    <row r="334" spans="1:36" s="14" customFormat="1" hidden="1">
      <c r="A334" s="560" t="s">
        <v>373</v>
      </c>
      <c r="B334" s="114" t="s">
        <v>765</v>
      </c>
      <c r="C334" s="114"/>
      <c r="D334" s="119"/>
      <c r="E334" s="121">
        <v>700</v>
      </c>
      <c r="F334" s="125">
        <v>46297</v>
      </c>
      <c r="G334" s="350">
        <v>46297</v>
      </c>
      <c r="H334" s="125" t="s">
        <v>19</v>
      </c>
      <c r="I334" s="70"/>
      <c r="J334" s="563"/>
      <c r="K334" s="564"/>
      <c r="L334" s="70"/>
      <c r="M334" s="113"/>
      <c r="N334" s="403"/>
      <c r="O334" s="403"/>
      <c r="P334" s="70"/>
      <c r="Q334" s="404"/>
      <c r="R334" s="404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</row>
    <row r="335" spans="1:36" s="14" customFormat="1" hidden="1">
      <c r="A335" s="437" t="s">
        <v>373</v>
      </c>
      <c r="B335" s="114" t="s">
        <v>766</v>
      </c>
      <c r="C335" s="114"/>
      <c r="D335" s="119" t="s">
        <v>767</v>
      </c>
      <c r="E335" s="121">
        <v>3280</v>
      </c>
      <c r="F335" s="351">
        <v>46295</v>
      </c>
      <c r="G335" s="125">
        <v>46295</v>
      </c>
      <c r="H335" s="125" t="s">
        <v>19</v>
      </c>
      <c r="I335" s="70"/>
      <c r="J335" s="563"/>
      <c r="K335" s="564"/>
      <c r="L335" s="70"/>
      <c r="M335" s="113"/>
      <c r="N335" s="403"/>
      <c r="O335" s="403"/>
      <c r="P335" s="70"/>
      <c r="Q335" s="404"/>
      <c r="R335" s="404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</row>
    <row r="336" spans="1:36" s="14" customFormat="1" hidden="1">
      <c r="A336" s="560" t="s">
        <v>373</v>
      </c>
      <c r="B336" s="111" t="s">
        <v>768</v>
      </c>
      <c r="C336" s="111"/>
      <c r="D336" s="119"/>
      <c r="E336" s="121">
        <v>1550</v>
      </c>
      <c r="F336" s="351">
        <v>46289</v>
      </c>
      <c r="G336" s="125">
        <v>46289</v>
      </c>
      <c r="H336" s="125" t="s">
        <v>19</v>
      </c>
      <c r="I336" s="70"/>
      <c r="J336" s="563"/>
      <c r="K336" s="564"/>
      <c r="L336" s="70"/>
      <c r="M336" s="113"/>
      <c r="N336" s="403"/>
      <c r="O336" s="403"/>
      <c r="P336" s="70"/>
      <c r="Q336" s="404"/>
      <c r="R336" s="404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</row>
    <row r="337" spans="1:36" s="14" customFormat="1" hidden="1">
      <c r="A337" s="560" t="s">
        <v>373</v>
      </c>
      <c r="B337" s="111" t="s">
        <v>769</v>
      </c>
      <c r="C337" s="111"/>
      <c r="D337" s="119" t="s">
        <v>19</v>
      </c>
      <c r="E337" s="121">
        <v>1815</v>
      </c>
      <c r="F337" s="351">
        <v>46290</v>
      </c>
      <c r="G337" s="125">
        <v>46290</v>
      </c>
      <c r="H337" s="125" t="s">
        <v>19</v>
      </c>
      <c r="I337" s="70"/>
      <c r="J337" s="563"/>
      <c r="K337" s="564"/>
      <c r="L337" s="70"/>
      <c r="M337" s="113"/>
      <c r="N337" s="403"/>
      <c r="O337" s="403"/>
      <c r="P337" s="70"/>
      <c r="Q337" s="404"/>
      <c r="R337" s="404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</row>
    <row r="338" spans="1:36" s="14" customFormat="1" hidden="1">
      <c r="A338" s="560" t="s">
        <v>373</v>
      </c>
      <c r="B338" s="111" t="s">
        <v>770</v>
      </c>
      <c r="C338" s="111"/>
      <c r="D338" s="119" t="s">
        <v>19</v>
      </c>
      <c r="E338" s="121">
        <v>300</v>
      </c>
      <c r="F338" s="351">
        <v>46290</v>
      </c>
      <c r="G338" s="125">
        <v>46290</v>
      </c>
      <c r="H338" s="125" t="s">
        <v>19</v>
      </c>
      <c r="I338" s="70"/>
      <c r="J338" s="563"/>
      <c r="K338" s="564"/>
      <c r="L338" s="70"/>
      <c r="M338" s="113"/>
      <c r="N338" s="403"/>
      <c r="O338" s="403"/>
      <c r="P338" s="70"/>
      <c r="Q338" s="404"/>
      <c r="R338" s="404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</row>
    <row r="339" spans="1:36" s="14" customFormat="1" hidden="1">
      <c r="A339" s="560" t="s">
        <v>373</v>
      </c>
      <c r="B339" s="111" t="s">
        <v>771</v>
      </c>
      <c r="C339" s="111"/>
      <c r="D339" s="119" t="s">
        <v>19</v>
      </c>
      <c r="E339" s="121">
        <v>250</v>
      </c>
      <c r="F339" s="351">
        <v>46290</v>
      </c>
      <c r="G339" s="125">
        <v>46290</v>
      </c>
      <c r="H339" s="125" t="s">
        <v>19</v>
      </c>
      <c r="I339" s="70"/>
      <c r="J339" s="563"/>
      <c r="K339" s="564"/>
      <c r="L339" s="70"/>
      <c r="M339" s="113"/>
      <c r="N339" s="403"/>
      <c r="O339" s="403"/>
      <c r="P339" s="70"/>
      <c r="Q339" s="404"/>
      <c r="R339" s="404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</row>
    <row r="340" spans="1:36" s="14" customFormat="1" hidden="1">
      <c r="A340" s="560" t="s">
        <v>373</v>
      </c>
      <c r="B340" s="111" t="s">
        <v>772</v>
      </c>
      <c r="C340" s="111"/>
      <c r="D340" s="119"/>
      <c r="E340" s="121">
        <v>150</v>
      </c>
      <c r="F340" s="351">
        <v>46290</v>
      </c>
      <c r="G340" s="125">
        <v>46293</v>
      </c>
      <c r="H340" s="125" t="s">
        <v>19</v>
      </c>
      <c r="I340" s="70"/>
      <c r="J340" s="563"/>
      <c r="K340" s="564"/>
      <c r="L340" s="70"/>
      <c r="M340" s="113"/>
      <c r="N340" s="403"/>
      <c r="O340" s="403"/>
      <c r="P340" s="70"/>
      <c r="Q340" s="404"/>
      <c r="R340" s="404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</row>
    <row r="341" spans="1:36" s="14" customFormat="1" hidden="1">
      <c r="A341" s="560" t="s">
        <v>373</v>
      </c>
      <c r="B341" s="111" t="s">
        <v>773</v>
      </c>
      <c r="C341" s="111"/>
      <c r="D341" s="119"/>
      <c r="E341" s="121">
        <v>35</v>
      </c>
      <c r="F341" s="351">
        <v>46293</v>
      </c>
      <c r="G341" s="125">
        <v>46293</v>
      </c>
      <c r="H341" s="125" t="s">
        <v>19</v>
      </c>
      <c r="I341" s="70"/>
      <c r="J341" s="563"/>
      <c r="K341" s="564"/>
      <c r="L341" s="70"/>
      <c r="M341" s="113"/>
      <c r="N341" s="403"/>
      <c r="O341" s="403"/>
      <c r="P341" s="70"/>
      <c r="Q341" s="404"/>
      <c r="R341" s="404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</row>
    <row r="342" spans="1:36" s="14" customFormat="1" hidden="1">
      <c r="A342" s="560" t="s">
        <v>373</v>
      </c>
      <c r="B342" s="111" t="s">
        <v>774</v>
      </c>
      <c r="C342" s="111"/>
      <c r="D342" s="119"/>
      <c r="E342" s="121">
        <v>250</v>
      </c>
      <c r="F342" s="351">
        <v>46293</v>
      </c>
      <c r="G342" s="125">
        <v>46293</v>
      </c>
      <c r="H342" s="125" t="s">
        <v>19</v>
      </c>
      <c r="I342" s="70"/>
      <c r="J342" s="563"/>
      <c r="K342" s="564"/>
      <c r="L342" s="70"/>
      <c r="M342" s="113"/>
      <c r="N342" s="403"/>
      <c r="O342" s="403"/>
      <c r="P342" s="70"/>
      <c r="Q342" s="404"/>
      <c r="R342" s="404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</row>
    <row r="343" spans="1:36" s="14" customFormat="1" hidden="1">
      <c r="A343" s="560" t="s">
        <v>373</v>
      </c>
      <c r="B343" s="111" t="s">
        <v>775</v>
      </c>
      <c r="C343" s="111"/>
      <c r="D343" s="119"/>
      <c r="E343" s="121">
        <v>245</v>
      </c>
      <c r="F343" s="351">
        <v>46293</v>
      </c>
      <c r="G343" s="125">
        <v>46293</v>
      </c>
      <c r="H343" s="125" t="s">
        <v>19</v>
      </c>
      <c r="I343" s="70"/>
      <c r="J343" s="563"/>
      <c r="K343" s="564"/>
      <c r="L343" s="70"/>
      <c r="M343" s="113"/>
      <c r="N343" s="403"/>
      <c r="O343" s="403"/>
      <c r="P343" s="70"/>
      <c r="Q343" s="404"/>
      <c r="R343" s="404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</row>
    <row r="344" spans="1:36" s="14" customFormat="1" hidden="1">
      <c r="A344" s="437" t="s">
        <v>373</v>
      </c>
      <c r="B344" s="437" t="s">
        <v>776</v>
      </c>
      <c r="C344" s="437"/>
      <c r="D344" s="119" t="s">
        <v>777</v>
      </c>
      <c r="E344" s="121">
        <v>1670</v>
      </c>
      <c r="F344" s="351">
        <v>46295</v>
      </c>
      <c r="G344" s="125">
        <v>46295</v>
      </c>
      <c r="H344" s="125" t="s">
        <v>19</v>
      </c>
      <c r="I344" s="70"/>
      <c r="J344" s="563"/>
      <c r="K344" s="564"/>
      <c r="L344" s="70"/>
      <c r="M344" s="113"/>
      <c r="N344" s="403"/>
      <c r="O344" s="403"/>
      <c r="P344" s="70"/>
      <c r="Q344" s="404"/>
      <c r="R344" s="404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</row>
    <row r="345" spans="1:36" s="14" customFormat="1" hidden="1">
      <c r="A345" s="560" t="s">
        <v>373</v>
      </c>
      <c r="B345" s="111" t="s">
        <v>778</v>
      </c>
      <c r="C345" s="111"/>
      <c r="D345" s="119"/>
      <c r="E345" s="121">
        <v>61.5</v>
      </c>
      <c r="F345" s="351">
        <v>46293</v>
      </c>
      <c r="G345" s="125">
        <v>46293</v>
      </c>
      <c r="H345" s="125" t="s">
        <v>19</v>
      </c>
      <c r="I345" s="70"/>
      <c r="J345" s="563"/>
      <c r="K345" s="564"/>
      <c r="L345" s="70"/>
      <c r="M345" s="113"/>
      <c r="N345" s="403"/>
      <c r="O345" s="403"/>
      <c r="P345" s="70"/>
      <c r="Q345" s="404"/>
      <c r="R345" s="404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</row>
    <row r="346" spans="1:36" s="14" customFormat="1" hidden="1">
      <c r="A346" s="560" t="s">
        <v>373</v>
      </c>
      <c r="B346" s="111" t="s">
        <v>779</v>
      </c>
      <c r="C346" s="111"/>
      <c r="D346" s="119"/>
      <c r="E346" s="121">
        <v>70</v>
      </c>
      <c r="F346" s="351">
        <v>46293</v>
      </c>
      <c r="G346" s="125">
        <v>46293</v>
      </c>
      <c r="H346" s="125" t="s">
        <v>19</v>
      </c>
      <c r="I346" s="70"/>
      <c r="J346" s="563"/>
      <c r="K346" s="564"/>
      <c r="L346" s="70"/>
      <c r="M346" s="113"/>
      <c r="N346" s="403"/>
      <c r="O346" s="403"/>
      <c r="P346" s="70"/>
      <c r="Q346" s="404"/>
      <c r="R346" s="404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</row>
    <row r="347" spans="1:36" s="14" customFormat="1" hidden="1">
      <c r="A347" s="560" t="s">
        <v>373</v>
      </c>
      <c r="B347" s="111" t="s">
        <v>780</v>
      </c>
      <c r="C347" s="111"/>
      <c r="D347" s="119"/>
      <c r="E347" s="121">
        <v>80</v>
      </c>
      <c r="F347" s="351">
        <v>46293</v>
      </c>
      <c r="G347" s="125">
        <v>46293</v>
      </c>
      <c r="H347" s="125" t="s">
        <v>19</v>
      </c>
      <c r="I347" s="70"/>
      <c r="J347" s="563"/>
      <c r="K347" s="564"/>
      <c r="L347" s="70"/>
      <c r="M347" s="113"/>
      <c r="N347" s="403"/>
      <c r="O347" s="403"/>
      <c r="P347" s="70"/>
      <c r="Q347" s="404"/>
      <c r="R347" s="404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</row>
    <row r="348" spans="1:36" s="14" customFormat="1" hidden="1">
      <c r="A348" s="560" t="s">
        <v>373</v>
      </c>
      <c r="B348" s="111" t="s">
        <v>781</v>
      </c>
      <c r="C348" s="111"/>
      <c r="D348" s="119"/>
      <c r="E348" s="121">
        <v>3234.2</v>
      </c>
      <c r="F348" s="351">
        <v>46293</v>
      </c>
      <c r="G348" s="125">
        <v>46293</v>
      </c>
      <c r="H348" s="125" t="s">
        <v>19</v>
      </c>
      <c r="I348" s="70"/>
      <c r="J348" s="563"/>
      <c r="K348" s="564"/>
      <c r="L348" s="70"/>
      <c r="M348" s="113"/>
      <c r="N348" s="403"/>
      <c r="O348" s="403"/>
      <c r="P348" s="70"/>
      <c r="Q348" s="404"/>
      <c r="R348" s="404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</row>
    <row r="349" spans="1:36" s="14" customFormat="1" hidden="1">
      <c r="A349" s="560" t="s">
        <v>373</v>
      </c>
      <c r="B349" s="111" t="s">
        <v>782</v>
      </c>
      <c r="C349" s="111"/>
      <c r="D349" s="119"/>
      <c r="E349" s="121">
        <v>210</v>
      </c>
      <c r="F349" s="351">
        <v>46293</v>
      </c>
      <c r="G349" s="125">
        <v>46294</v>
      </c>
      <c r="H349" s="125" t="s">
        <v>19</v>
      </c>
      <c r="I349" s="70"/>
      <c r="J349" s="532"/>
      <c r="K349" s="533"/>
      <c r="L349" s="70"/>
      <c r="M349" s="113"/>
      <c r="N349" s="403"/>
      <c r="O349" s="403"/>
      <c r="P349" s="70"/>
      <c r="Q349" s="404"/>
      <c r="R349" s="404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</row>
    <row r="350" spans="1:36" s="14" customFormat="1" hidden="1">
      <c r="A350" s="560" t="s">
        <v>373</v>
      </c>
      <c r="B350" s="111" t="s">
        <v>783</v>
      </c>
      <c r="C350" s="111"/>
      <c r="D350" s="119"/>
      <c r="E350" s="121">
        <v>145</v>
      </c>
      <c r="F350" s="351">
        <v>46293</v>
      </c>
      <c r="G350" s="125">
        <v>46294</v>
      </c>
      <c r="H350" s="125" t="s">
        <v>19</v>
      </c>
      <c r="I350" s="70"/>
      <c r="J350" s="563"/>
      <c r="K350" s="564"/>
      <c r="L350" s="70"/>
      <c r="M350" s="113"/>
      <c r="N350" s="403"/>
      <c r="O350" s="403"/>
      <c r="P350" s="70"/>
      <c r="Q350" s="404"/>
      <c r="R350" s="404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</row>
    <row r="351" spans="1:36" s="14" customFormat="1" hidden="1">
      <c r="A351" s="560" t="s">
        <v>373</v>
      </c>
      <c r="B351" s="111" t="s">
        <v>783</v>
      </c>
      <c r="C351" s="111"/>
      <c r="D351" s="119"/>
      <c r="E351" s="121">
        <v>20</v>
      </c>
      <c r="F351" s="351">
        <v>46293</v>
      </c>
      <c r="G351" s="125">
        <v>46294</v>
      </c>
      <c r="H351" s="125" t="s">
        <v>19</v>
      </c>
      <c r="I351" s="70"/>
      <c r="J351" s="563"/>
      <c r="K351" s="564"/>
      <c r="L351" s="70"/>
      <c r="M351" s="113"/>
      <c r="N351" s="403"/>
      <c r="O351" s="403"/>
      <c r="P351" s="70"/>
      <c r="Q351" s="404"/>
      <c r="R351" s="404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</row>
    <row r="352" spans="1:36" s="14" customFormat="1" hidden="1">
      <c r="A352" s="437" t="s">
        <v>373</v>
      </c>
      <c r="B352" s="437" t="s">
        <v>784</v>
      </c>
      <c r="C352" s="437"/>
      <c r="D352" s="119"/>
      <c r="E352" s="121">
        <v>1500</v>
      </c>
      <c r="F352" s="351">
        <v>46295</v>
      </c>
      <c r="G352" s="125">
        <v>46295</v>
      </c>
      <c r="H352" s="125" t="s">
        <v>19</v>
      </c>
      <c r="I352" s="70"/>
      <c r="J352" s="563"/>
      <c r="K352" s="564"/>
      <c r="L352" s="70"/>
      <c r="M352" s="113"/>
      <c r="N352" s="403"/>
      <c r="O352" s="403"/>
      <c r="P352" s="70"/>
      <c r="Q352" s="404"/>
      <c r="R352" s="404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</row>
    <row r="353" spans="1:36" s="14" customFormat="1" hidden="1">
      <c r="A353" s="560" t="s">
        <v>373</v>
      </c>
      <c r="B353" s="114" t="s">
        <v>785</v>
      </c>
      <c r="C353" s="114"/>
      <c r="D353" s="119"/>
      <c r="E353" s="121">
        <v>110</v>
      </c>
      <c r="F353" s="125">
        <v>46300</v>
      </c>
      <c r="G353" s="350">
        <v>46300</v>
      </c>
      <c r="H353" s="125" t="s">
        <v>19</v>
      </c>
      <c r="I353" s="70"/>
      <c r="J353" s="563"/>
      <c r="K353" s="564"/>
      <c r="L353" s="70"/>
      <c r="M353" s="113"/>
      <c r="N353" s="403"/>
      <c r="O353" s="403"/>
      <c r="P353" s="70"/>
      <c r="Q353" s="404"/>
      <c r="R353" s="404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</row>
    <row r="354" spans="1:36" s="14" customFormat="1" hidden="1">
      <c r="A354" s="437" t="s">
        <v>373</v>
      </c>
      <c r="B354" s="114" t="s">
        <v>786</v>
      </c>
      <c r="C354" s="114"/>
      <c r="D354" s="135"/>
      <c r="E354" s="121">
        <v>520</v>
      </c>
      <c r="F354" s="350">
        <v>46276</v>
      </c>
      <c r="G354" s="350">
        <v>46295</v>
      </c>
      <c r="H354" s="125" t="s">
        <v>19</v>
      </c>
      <c r="I354" s="70"/>
      <c r="J354" s="563"/>
      <c r="K354" s="564"/>
      <c r="L354" s="70"/>
      <c r="M354" s="113"/>
      <c r="N354" s="403"/>
      <c r="O354" s="403"/>
      <c r="P354" s="70"/>
      <c r="Q354" s="404"/>
      <c r="R354" s="404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</row>
    <row r="355" spans="1:36" s="14" customFormat="1" hidden="1">
      <c r="A355" s="437" t="s">
        <v>373</v>
      </c>
      <c r="B355" s="437" t="s">
        <v>787</v>
      </c>
      <c r="C355" s="437"/>
      <c r="D355" s="119"/>
      <c r="E355" s="121">
        <v>140</v>
      </c>
      <c r="F355" s="351">
        <v>46295</v>
      </c>
      <c r="G355" s="350">
        <v>46295</v>
      </c>
      <c r="H355" s="125" t="s">
        <v>19</v>
      </c>
      <c r="I355" s="70"/>
      <c r="J355" s="563"/>
      <c r="K355" s="564"/>
      <c r="L355" s="70"/>
      <c r="M355" s="113"/>
      <c r="N355" s="403"/>
      <c r="O355" s="403"/>
      <c r="P355" s="70"/>
      <c r="Q355" s="404"/>
      <c r="R355" s="404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</row>
    <row r="356" spans="1:36" s="14" customFormat="1" hidden="1">
      <c r="A356" s="560" t="s">
        <v>373</v>
      </c>
      <c r="B356" s="111" t="s">
        <v>788</v>
      </c>
      <c r="C356" s="111"/>
      <c r="D356" s="119"/>
      <c r="E356" s="121">
        <v>70</v>
      </c>
      <c r="F356" s="351">
        <v>46295</v>
      </c>
      <c r="G356" s="350">
        <v>46295</v>
      </c>
      <c r="H356" s="125" t="s">
        <v>19</v>
      </c>
      <c r="I356" s="70"/>
      <c r="J356" s="563"/>
      <c r="K356" s="564"/>
      <c r="L356" s="70"/>
      <c r="M356" s="113"/>
      <c r="N356" s="403"/>
      <c r="O356" s="403"/>
      <c r="P356" s="70"/>
      <c r="Q356" s="404"/>
      <c r="R356" s="404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</row>
    <row r="357" spans="1:36" s="14" customFormat="1" hidden="1">
      <c r="A357" s="560" t="s">
        <v>373</v>
      </c>
      <c r="B357" s="114" t="s">
        <v>789</v>
      </c>
      <c r="C357" s="114"/>
      <c r="D357" s="119"/>
      <c r="E357" s="121">
        <v>1200</v>
      </c>
      <c r="F357" s="125">
        <v>46300</v>
      </c>
      <c r="G357" s="350">
        <v>46300</v>
      </c>
      <c r="H357" s="125" t="s">
        <v>19</v>
      </c>
      <c r="I357" s="70"/>
      <c r="J357" s="563"/>
      <c r="K357" s="564"/>
      <c r="L357" s="70"/>
      <c r="M357" s="113"/>
      <c r="N357" s="403"/>
      <c r="O357" s="403"/>
      <c r="P357" s="70"/>
      <c r="Q357" s="404"/>
      <c r="R357" s="404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</row>
    <row r="358" spans="1:36" s="14" customFormat="1" hidden="1">
      <c r="A358" s="560" t="s">
        <v>373</v>
      </c>
      <c r="B358" s="114" t="s">
        <v>790</v>
      </c>
      <c r="C358" s="114"/>
      <c r="D358" s="119"/>
      <c r="E358" s="121">
        <v>245</v>
      </c>
      <c r="F358" s="125">
        <v>46300</v>
      </c>
      <c r="G358" s="350">
        <v>46300</v>
      </c>
      <c r="H358" s="125" t="s">
        <v>19</v>
      </c>
      <c r="I358" s="70"/>
      <c r="J358" s="563"/>
      <c r="K358" s="564"/>
      <c r="L358" s="70"/>
      <c r="M358" s="113"/>
      <c r="N358" s="403"/>
      <c r="O358" s="403"/>
      <c r="P358" s="70"/>
      <c r="Q358" s="404"/>
      <c r="R358" s="404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</row>
    <row r="359" spans="1:36" s="14" customFormat="1" hidden="1">
      <c r="A359" s="560" t="s">
        <v>373</v>
      </c>
      <c r="B359" s="114" t="s">
        <v>791</v>
      </c>
      <c r="C359" s="114"/>
      <c r="D359" s="119"/>
      <c r="E359" s="121">
        <v>100</v>
      </c>
      <c r="F359" s="125">
        <v>46300</v>
      </c>
      <c r="G359" s="350">
        <v>46300</v>
      </c>
      <c r="H359" s="125" t="s">
        <v>19</v>
      </c>
      <c r="I359" s="70"/>
      <c r="J359" s="563"/>
      <c r="K359" s="564"/>
      <c r="L359" s="70"/>
      <c r="M359" s="113"/>
      <c r="N359" s="403"/>
      <c r="O359" s="403"/>
      <c r="P359" s="70"/>
      <c r="Q359" s="404"/>
      <c r="R359" s="404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</row>
    <row r="360" spans="1:36" s="14" customFormat="1" hidden="1">
      <c r="A360" s="560" t="s">
        <v>373</v>
      </c>
      <c r="B360" s="114" t="s">
        <v>792</v>
      </c>
      <c r="C360" s="114"/>
      <c r="D360" s="119"/>
      <c r="E360" s="121">
        <v>1000</v>
      </c>
      <c r="F360" s="125">
        <v>46300</v>
      </c>
      <c r="G360" s="350">
        <v>46300</v>
      </c>
      <c r="H360" s="125" t="s">
        <v>19</v>
      </c>
      <c r="I360" s="70"/>
      <c r="J360" s="563"/>
      <c r="K360" s="564"/>
      <c r="L360" s="70"/>
      <c r="M360" s="113"/>
      <c r="N360" s="403"/>
      <c r="O360" s="403"/>
      <c r="P360" s="70"/>
      <c r="Q360" s="404"/>
      <c r="R360" s="404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</row>
    <row r="361" spans="1:36" s="14" customFormat="1" hidden="1">
      <c r="A361" s="560" t="s">
        <v>373</v>
      </c>
      <c r="B361" s="114" t="s">
        <v>793</v>
      </c>
      <c r="C361" s="114"/>
      <c r="D361" s="119"/>
      <c r="E361" s="121">
        <v>820</v>
      </c>
      <c r="F361" s="125">
        <v>46301</v>
      </c>
      <c r="G361" s="350">
        <v>46301</v>
      </c>
      <c r="H361" s="125" t="s">
        <v>19</v>
      </c>
      <c r="I361" s="70"/>
      <c r="J361" s="563"/>
      <c r="K361" s="564"/>
      <c r="L361" s="70"/>
      <c r="M361" s="113"/>
      <c r="N361" s="403"/>
      <c r="O361" s="403"/>
      <c r="P361" s="70"/>
      <c r="Q361" s="404"/>
      <c r="R361" s="404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</row>
    <row r="362" spans="1:36" s="14" customFormat="1" hidden="1">
      <c r="A362" s="560" t="s">
        <v>373</v>
      </c>
      <c r="B362" s="114" t="s">
        <v>794</v>
      </c>
      <c r="C362" s="114"/>
      <c r="D362" s="119"/>
      <c r="E362" s="121">
        <v>150</v>
      </c>
      <c r="F362" s="125">
        <v>46301</v>
      </c>
      <c r="G362" s="350">
        <v>46301</v>
      </c>
      <c r="H362" s="125" t="s">
        <v>19</v>
      </c>
      <c r="I362" s="70"/>
      <c r="J362" s="563"/>
      <c r="K362" s="564"/>
      <c r="L362" s="70"/>
      <c r="M362" s="113"/>
      <c r="N362" s="403"/>
      <c r="O362" s="403"/>
      <c r="P362" s="70"/>
      <c r="Q362" s="404"/>
      <c r="R362" s="404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</row>
    <row r="363" spans="1:36" s="14" customFormat="1" hidden="1">
      <c r="A363" s="560" t="s">
        <v>373</v>
      </c>
      <c r="B363" s="114" t="s">
        <v>795</v>
      </c>
      <c r="C363" s="114"/>
      <c r="D363" s="119"/>
      <c r="E363" s="121">
        <v>150</v>
      </c>
      <c r="F363" s="125">
        <v>46301</v>
      </c>
      <c r="G363" s="350">
        <v>46301</v>
      </c>
      <c r="H363" s="125" t="s">
        <v>19</v>
      </c>
      <c r="I363" s="70"/>
      <c r="J363" s="563"/>
      <c r="K363" s="564"/>
      <c r="L363" s="70"/>
      <c r="M363" s="113"/>
      <c r="N363" s="403"/>
      <c r="O363" s="403"/>
      <c r="P363" s="70"/>
      <c r="Q363" s="404"/>
      <c r="R363" s="404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</row>
    <row r="364" spans="1:36" s="14" customFormat="1" hidden="1">
      <c r="A364" s="560" t="s">
        <v>373</v>
      </c>
      <c r="B364" s="114" t="s">
        <v>796</v>
      </c>
      <c r="C364" s="114"/>
      <c r="D364" s="119"/>
      <c r="E364" s="121">
        <v>357.76</v>
      </c>
      <c r="F364" s="125">
        <v>46301</v>
      </c>
      <c r="G364" s="350">
        <v>46301</v>
      </c>
      <c r="H364" s="125" t="s">
        <v>19</v>
      </c>
      <c r="I364" s="70"/>
      <c r="J364" s="563"/>
      <c r="K364" s="564"/>
      <c r="L364" s="70"/>
      <c r="M364" s="113"/>
      <c r="N364" s="403"/>
      <c r="O364" s="403"/>
      <c r="P364" s="70"/>
      <c r="Q364" s="404"/>
      <c r="R364" s="404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</row>
    <row r="365" spans="1:36" s="14" customFormat="1" hidden="1">
      <c r="A365" s="560" t="s">
        <v>373</v>
      </c>
      <c r="B365" s="114" t="s">
        <v>797</v>
      </c>
      <c r="C365" s="114"/>
      <c r="D365" s="119"/>
      <c r="E365" s="121">
        <v>30</v>
      </c>
      <c r="F365" s="125">
        <v>46301</v>
      </c>
      <c r="G365" s="350">
        <v>46301</v>
      </c>
      <c r="H365" s="125" t="s">
        <v>19</v>
      </c>
      <c r="I365" s="70"/>
      <c r="J365" s="563"/>
      <c r="K365" s="564"/>
      <c r="L365" s="70"/>
      <c r="M365" s="113"/>
      <c r="N365" s="403"/>
      <c r="O365" s="403"/>
      <c r="P365" s="70"/>
      <c r="Q365" s="404"/>
      <c r="R365" s="404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</row>
    <row r="366" spans="1:36" s="14" customFormat="1" hidden="1">
      <c r="A366" s="560" t="s">
        <v>373</v>
      </c>
      <c r="B366" s="114" t="s">
        <v>798</v>
      </c>
      <c r="C366" s="114"/>
      <c r="D366" s="119" t="s">
        <v>799</v>
      </c>
      <c r="E366" s="121">
        <v>200</v>
      </c>
      <c r="F366" s="125">
        <v>46301</v>
      </c>
      <c r="G366" s="350">
        <v>46301</v>
      </c>
      <c r="H366" s="125" t="s">
        <v>19</v>
      </c>
      <c r="I366" s="70"/>
      <c r="J366" s="563"/>
      <c r="K366" s="564"/>
      <c r="L366" s="70"/>
      <c r="M366" s="113"/>
      <c r="N366" s="403"/>
      <c r="O366" s="403"/>
      <c r="P366" s="70"/>
      <c r="Q366" s="404"/>
      <c r="R366" s="404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</row>
    <row r="367" spans="1:36" s="14" customFormat="1" hidden="1">
      <c r="A367" s="560" t="s">
        <v>373</v>
      </c>
      <c r="B367" s="114" t="s">
        <v>800</v>
      </c>
      <c r="C367" s="114"/>
      <c r="D367" s="119"/>
      <c r="E367" s="121">
        <v>430</v>
      </c>
      <c r="F367" s="125">
        <v>46309</v>
      </c>
      <c r="G367" s="125">
        <v>46309</v>
      </c>
      <c r="H367" s="119" t="s">
        <v>19</v>
      </c>
      <c r="I367" s="70"/>
      <c r="J367" s="563"/>
      <c r="K367" s="564"/>
      <c r="L367" s="70"/>
      <c r="M367" s="113"/>
      <c r="N367" s="403"/>
      <c r="O367" s="403"/>
      <c r="P367" s="70"/>
      <c r="Q367" s="404"/>
      <c r="R367" s="404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</row>
    <row r="368" spans="1:36" s="14" customFormat="1" hidden="1">
      <c r="A368" s="560" t="s">
        <v>373</v>
      </c>
      <c r="B368" s="114" t="s">
        <v>801</v>
      </c>
      <c r="C368" s="114"/>
      <c r="D368" s="119"/>
      <c r="E368" s="121">
        <v>2100</v>
      </c>
      <c r="F368" s="125">
        <v>46309</v>
      </c>
      <c r="G368" s="125">
        <v>46309</v>
      </c>
      <c r="H368" s="119" t="s">
        <v>19</v>
      </c>
      <c r="I368" s="70"/>
      <c r="J368" s="563"/>
      <c r="K368" s="564"/>
      <c r="L368" s="70"/>
      <c r="M368" s="113"/>
      <c r="N368" s="403"/>
      <c r="O368" s="403"/>
      <c r="P368" s="70"/>
      <c r="Q368" s="404"/>
      <c r="R368" s="404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</row>
    <row r="369" spans="1:36" s="14" customFormat="1" hidden="1">
      <c r="A369" s="560" t="s">
        <v>373</v>
      </c>
      <c r="B369" s="114" t="s">
        <v>802</v>
      </c>
      <c r="C369" s="114"/>
      <c r="D369" s="119"/>
      <c r="E369" s="121">
        <v>210</v>
      </c>
      <c r="F369" s="125">
        <v>46309</v>
      </c>
      <c r="G369" s="125">
        <v>46309</v>
      </c>
      <c r="H369" s="119" t="s">
        <v>19</v>
      </c>
      <c r="I369" s="70"/>
      <c r="J369" s="563"/>
      <c r="K369" s="564"/>
      <c r="L369" s="70"/>
      <c r="M369" s="113"/>
      <c r="N369" s="403"/>
      <c r="O369" s="403"/>
      <c r="P369" s="70"/>
      <c r="Q369" s="404"/>
      <c r="R369" s="404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</row>
    <row r="370" spans="1:36" s="14" customFormat="1" hidden="1">
      <c r="A370" s="560" t="s">
        <v>373</v>
      </c>
      <c r="B370" s="114" t="s">
        <v>803</v>
      </c>
      <c r="C370" s="114"/>
      <c r="D370" s="119"/>
      <c r="E370" s="121">
        <v>170</v>
      </c>
      <c r="F370" s="350">
        <v>46310</v>
      </c>
      <c r="G370" s="350">
        <v>46310</v>
      </c>
      <c r="H370" s="125" t="s">
        <v>19</v>
      </c>
      <c r="I370" s="70"/>
      <c r="J370" s="563"/>
      <c r="K370" s="564"/>
      <c r="L370" s="70"/>
      <c r="M370" s="113"/>
      <c r="N370" s="403"/>
      <c r="O370" s="403"/>
      <c r="P370" s="70"/>
      <c r="Q370" s="404"/>
      <c r="R370" s="404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</row>
    <row r="371" spans="1:36" s="14" customFormat="1" hidden="1">
      <c r="A371" s="560" t="s">
        <v>373</v>
      </c>
      <c r="B371" s="114" t="s">
        <v>804</v>
      </c>
      <c r="C371" s="114"/>
      <c r="D371" s="119"/>
      <c r="E371" s="121">
        <v>450</v>
      </c>
      <c r="F371" s="350">
        <v>46310</v>
      </c>
      <c r="G371" s="350">
        <v>46310</v>
      </c>
      <c r="H371" s="125" t="s">
        <v>19</v>
      </c>
      <c r="I371" s="70"/>
      <c r="J371" s="563"/>
      <c r="K371" s="564"/>
      <c r="L371" s="70"/>
      <c r="M371" s="113"/>
      <c r="N371" s="403"/>
      <c r="O371" s="403"/>
      <c r="P371" s="70"/>
      <c r="Q371" s="404"/>
      <c r="R371" s="404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</row>
    <row r="372" spans="1:36" s="14" customFormat="1" hidden="1">
      <c r="A372" s="560" t="s">
        <v>373</v>
      </c>
      <c r="B372" s="114" t="s">
        <v>805</v>
      </c>
      <c r="C372" s="114"/>
      <c r="D372" s="119"/>
      <c r="E372" s="121">
        <v>850</v>
      </c>
      <c r="F372" s="350">
        <v>46310</v>
      </c>
      <c r="G372" s="350">
        <v>46310</v>
      </c>
      <c r="H372" s="125" t="s">
        <v>19</v>
      </c>
      <c r="I372" s="70"/>
      <c r="J372" s="563"/>
      <c r="K372" s="564"/>
      <c r="L372" s="70"/>
      <c r="M372" s="113"/>
      <c r="N372" s="403"/>
      <c r="O372" s="403"/>
      <c r="P372" s="70"/>
      <c r="Q372" s="404"/>
      <c r="R372" s="404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</row>
    <row r="373" spans="1:36" s="14" customFormat="1" hidden="1">
      <c r="A373" s="560" t="s">
        <v>373</v>
      </c>
      <c r="B373" s="114" t="s">
        <v>806</v>
      </c>
      <c r="C373" s="114"/>
      <c r="D373" s="119"/>
      <c r="E373" s="121">
        <v>2127</v>
      </c>
      <c r="F373" s="350">
        <v>46311</v>
      </c>
      <c r="G373" s="350">
        <v>46311</v>
      </c>
      <c r="H373" s="125" t="s">
        <v>19</v>
      </c>
      <c r="I373" s="70"/>
      <c r="J373" s="563"/>
      <c r="K373" s="564"/>
      <c r="L373" s="70"/>
      <c r="M373" s="113"/>
      <c r="N373" s="403"/>
      <c r="O373" s="403"/>
      <c r="P373" s="70"/>
      <c r="Q373" s="404"/>
      <c r="R373" s="404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</row>
    <row r="374" spans="1:36" s="14" customFormat="1" hidden="1">
      <c r="A374" s="560" t="s">
        <v>373</v>
      </c>
      <c r="B374" s="114" t="s">
        <v>807</v>
      </c>
      <c r="C374" s="114"/>
      <c r="D374" s="119"/>
      <c r="E374" s="121">
        <v>400</v>
      </c>
      <c r="F374" s="350">
        <v>46311</v>
      </c>
      <c r="G374" s="350">
        <v>46311</v>
      </c>
      <c r="H374" s="125" t="s">
        <v>19</v>
      </c>
      <c r="I374" s="70"/>
      <c r="J374" s="563"/>
      <c r="K374" s="564"/>
      <c r="L374" s="70"/>
      <c r="M374" s="113"/>
      <c r="N374" s="403"/>
      <c r="O374" s="403"/>
      <c r="P374" s="70"/>
      <c r="Q374" s="404"/>
      <c r="R374" s="404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</row>
    <row r="375" spans="1:36" s="14" customFormat="1" hidden="1">
      <c r="A375" s="560" t="s">
        <v>373</v>
      </c>
      <c r="B375" s="114" t="s">
        <v>808</v>
      </c>
      <c r="C375" s="114"/>
      <c r="D375" s="119"/>
      <c r="E375" s="121">
        <v>250</v>
      </c>
      <c r="F375" s="350">
        <v>46311</v>
      </c>
      <c r="G375" s="350">
        <v>46311</v>
      </c>
      <c r="H375" s="125" t="s">
        <v>19</v>
      </c>
      <c r="I375" s="70"/>
      <c r="J375" s="563"/>
      <c r="K375" s="564"/>
      <c r="L375" s="70"/>
      <c r="M375" s="113"/>
      <c r="N375" s="403"/>
      <c r="O375" s="403"/>
      <c r="P375" s="70"/>
      <c r="Q375" s="404"/>
      <c r="R375" s="404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</row>
    <row r="376" spans="1:36" s="14" customFormat="1" hidden="1">
      <c r="A376" s="560" t="s">
        <v>373</v>
      </c>
      <c r="B376" s="114" t="s">
        <v>809</v>
      </c>
      <c r="C376" s="114"/>
      <c r="D376" s="119"/>
      <c r="E376" s="121">
        <v>70</v>
      </c>
      <c r="F376" s="350">
        <v>46311</v>
      </c>
      <c r="G376" s="350">
        <v>46311</v>
      </c>
      <c r="H376" s="125" t="s">
        <v>19</v>
      </c>
      <c r="I376" s="70"/>
      <c r="J376" s="563"/>
      <c r="K376" s="564"/>
      <c r="L376" s="70"/>
      <c r="M376" s="113"/>
      <c r="N376" s="403"/>
      <c r="O376" s="403"/>
      <c r="P376" s="70"/>
      <c r="Q376" s="404"/>
      <c r="R376" s="404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</row>
    <row r="377" spans="1:36" s="14" customFormat="1" hidden="1">
      <c r="A377" s="560" t="s">
        <v>373</v>
      </c>
      <c r="B377" s="111" t="s">
        <v>810</v>
      </c>
      <c r="C377" s="111"/>
      <c r="D377" s="119"/>
      <c r="E377" s="121">
        <v>30</v>
      </c>
      <c r="F377" s="125">
        <v>46314</v>
      </c>
      <c r="G377" s="125">
        <v>46314</v>
      </c>
      <c r="H377" s="125" t="s">
        <v>19</v>
      </c>
      <c r="I377" s="70"/>
      <c r="J377" s="563"/>
      <c r="K377" s="564"/>
      <c r="L377" s="70"/>
      <c r="M377" s="113"/>
      <c r="N377" s="403"/>
      <c r="O377" s="403"/>
      <c r="P377" s="70"/>
      <c r="Q377" s="404"/>
      <c r="R377" s="404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</row>
    <row r="378" spans="1:36" s="14" customFormat="1" hidden="1">
      <c r="A378" s="560" t="s">
        <v>373</v>
      </c>
      <c r="B378" s="111" t="s">
        <v>811</v>
      </c>
      <c r="C378" s="111"/>
      <c r="D378" s="119"/>
      <c r="E378" s="121">
        <v>11.6</v>
      </c>
      <c r="F378" s="125">
        <v>46314</v>
      </c>
      <c r="G378" s="125">
        <v>46314</v>
      </c>
      <c r="H378" s="125" t="s">
        <v>19</v>
      </c>
      <c r="I378" s="70"/>
      <c r="J378" s="563"/>
      <c r="K378" s="564"/>
      <c r="L378" s="70"/>
      <c r="M378" s="113"/>
      <c r="N378" s="403"/>
      <c r="O378" s="403"/>
      <c r="P378" s="70"/>
      <c r="Q378" s="404"/>
      <c r="R378" s="404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</row>
    <row r="379" spans="1:36" s="14" customFormat="1" hidden="1">
      <c r="A379" s="560" t="s">
        <v>373</v>
      </c>
      <c r="B379" s="111" t="s">
        <v>812</v>
      </c>
      <c r="C379" s="111"/>
      <c r="D379" s="119"/>
      <c r="E379" s="121">
        <v>350</v>
      </c>
      <c r="F379" s="125">
        <v>46314</v>
      </c>
      <c r="G379" s="125">
        <v>46314</v>
      </c>
      <c r="H379" s="125" t="s">
        <v>19</v>
      </c>
      <c r="I379" s="70"/>
      <c r="J379" s="563"/>
      <c r="K379" s="564"/>
      <c r="L379" s="70"/>
      <c r="M379" s="113"/>
      <c r="N379" s="403"/>
      <c r="O379" s="403"/>
      <c r="P379" s="70"/>
      <c r="Q379" s="404"/>
      <c r="R379" s="404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</row>
    <row r="380" spans="1:36" s="14" customFormat="1" hidden="1">
      <c r="A380" s="560" t="s">
        <v>373</v>
      </c>
      <c r="B380" s="111" t="s">
        <v>813</v>
      </c>
      <c r="C380" s="111"/>
      <c r="D380" s="119"/>
      <c r="E380" s="121">
        <v>115</v>
      </c>
      <c r="F380" s="125">
        <v>46314</v>
      </c>
      <c r="G380" s="125">
        <v>46314</v>
      </c>
      <c r="H380" s="125" t="s">
        <v>19</v>
      </c>
      <c r="I380" s="70"/>
      <c r="J380" s="563"/>
      <c r="K380" s="564"/>
      <c r="L380" s="70"/>
      <c r="M380" s="113"/>
      <c r="N380" s="403"/>
      <c r="O380" s="403"/>
      <c r="P380" s="70"/>
      <c r="Q380" s="404"/>
      <c r="R380" s="404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</row>
    <row r="381" spans="1:36" s="14" customFormat="1" hidden="1">
      <c r="A381" s="560" t="s">
        <v>373</v>
      </c>
      <c r="B381" s="111" t="s">
        <v>814</v>
      </c>
      <c r="C381" s="111"/>
      <c r="D381" s="119"/>
      <c r="E381" s="121">
        <v>495</v>
      </c>
      <c r="F381" s="125">
        <v>46314</v>
      </c>
      <c r="G381" s="125">
        <v>46314</v>
      </c>
      <c r="H381" s="125" t="s">
        <v>19</v>
      </c>
      <c r="I381" s="70"/>
      <c r="J381" s="563"/>
      <c r="K381" s="564"/>
      <c r="L381" s="70"/>
      <c r="M381" s="113"/>
      <c r="N381" s="403"/>
      <c r="O381" s="403"/>
      <c r="P381" s="70"/>
      <c r="Q381" s="404"/>
      <c r="R381" s="404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</row>
    <row r="382" spans="1:36" s="14" customFormat="1" hidden="1">
      <c r="A382" s="560" t="s">
        <v>373</v>
      </c>
      <c r="B382" s="111" t="s">
        <v>815</v>
      </c>
      <c r="C382" s="111"/>
      <c r="D382" s="119"/>
      <c r="E382" s="121">
        <v>1700</v>
      </c>
      <c r="F382" s="125">
        <v>46314</v>
      </c>
      <c r="G382" s="125">
        <v>46314</v>
      </c>
      <c r="H382" s="125" t="s">
        <v>19</v>
      </c>
      <c r="I382" s="70"/>
      <c r="J382" s="563"/>
      <c r="K382" s="564"/>
      <c r="L382" s="70"/>
      <c r="M382" s="113"/>
      <c r="N382" s="403"/>
      <c r="O382" s="403"/>
      <c r="P382" s="70"/>
      <c r="Q382" s="404"/>
      <c r="R382" s="404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</row>
    <row r="383" spans="1:36" s="14" customFormat="1" ht="16.149999999999999" hidden="1" customHeight="1">
      <c r="A383" s="560" t="s">
        <v>373</v>
      </c>
      <c r="B383" s="111" t="s">
        <v>816</v>
      </c>
      <c r="C383" s="111"/>
      <c r="D383" s="119"/>
      <c r="E383" s="121">
        <v>120</v>
      </c>
      <c r="F383" s="125">
        <v>46315</v>
      </c>
      <c r="G383" s="125">
        <v>46315</v>
      </c>
      <c r="H383" s="125" t="s">
        <v>19</v>
      </c>
      <c r="I383" s="70"/>
      <c r="J383" s="563"/>
      <c r="K383" s="564"/>
      <c r="L383" s="70"/>
      <c r="M383" s="113"/>
      <c r="N383" s="403"/>
      <c r="O383" s="403"/>
      <c r="P383" s="70"/>
      <c r="Q383" s="404"/>
      <c r="R383" s="404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</row>
    <row r="384" spans="1:36" s="14" customFormat="1" hidden="1">
      <c r="A384" s="560" t="s">
        <v>373</v>
      </c>
      <c r="B384" s="114" t="s">
        <v>817</v>
      </c>
      <c r="C384" s="114"/>
      <c r="D384" s="119"/>
      <c r="E384" s="121">
        <v>100</v>
      </c>
      <c r="F384" s="125" t="s">
        <v>548</v>
      </c>
      <c r="G384" s="350" t="s">
        <v>548</v>
      </c>
      <c r="H384" s="125" t="s">
        <v>19</v>
      </c>
      <c r="I384" s="70"/>
      <c r="J384" s="563"/>
      <c r="K384" s="564"/>
      <c r="L384" s="70"/>
      <c r="M384" s="113"/>
      <c r="N384" s="403"/>
      <c r="O384" s="403"/>
      <c r="P384" s="70"/>
      <c r="Q384" s="404"/>
      <c r="R384" s="404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</row>
    <row r="385" spans="1:36" s="14" customFormat="1" ht="15" hidden="1" customHeight="1">
      <c r="A385" s="560" t="s">
        <v>373</v>
      </c>
      <c r="B385" s="114" t="s">
        <v>818</v>
      </c>
      <c r="C385" s="114"/>
      <c r="D385" s="119"/>
      <c r="E385" s="121">
        <v>1000</v>
      </c>
      <c r="F385" s="125" t="s">
        <v>548</v>
      </c>
      <c r="G385" s="350" t="s">
        <v>548</v>
      </c>
      <c r="H385" s="125" t="s">
        <v>19</v>
      </c>
      <c r="I385" s="70"/>
      <c r="J385" s="563"/>
      <c r="K385" s="564"/>
      <c r="L385" s="70"/>
      <c r="M385" s="113"/>
      <c r="N385" s="403"/>
      <c r="O385" s="403"/>
      <c r="P385" s="70"/>
      <c r="Q385" s="404"/>
      <c r="R385" s="404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</row>
    <row r="386" spans="1:36" s="14" customFormat="1" hidden="1">
      <c r="A386" s="560" t="s">
        <v>373</v>
      </c>
      <c r="B386" s="114" t="s">
        <v>819</v>
      </c>
      <c r="C386" s="114"/>
      <c r="D386" s="119"/>
      <c r="E386" s="121">
        <v>245</v>
      </c>
      <c r="F386" s="125" t="s">
        <v>548</v>
      </c>
      <c r="G386" s="350" t="s">
        <v>548</v>
      </c>
      <c r="H386" s="125" t="s">
        <v>19</v>
      </c>
      <c r="I386" s="70"/>
      <c r="J386" s="563"/>
      <c r="K386" s="564"/>
      <c r="L386" s="70"/>
      <c r="M386" s="113"/>
      <c r="N386" s="403"/>
      <c r="O386" s="403"/>
      <c r="P386" s="70"/>
      <c r="Q386" s="404"/>
      <c r="R386" s="404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</row>
    <row r="387" spans="1:36" s="14" customFormat="1" hidden="1">
      <c r="A387" s="560" t="s">
        <v>373</v>
      </c>
      <c r="B387" s="114" t="s">
        <v>820</v>
      </c>
      <c r="C387" s="114"/>
      <c r="D387" s="119"/>
      <c r="E387" s="121">
        <v>1200</v>
      </c>
      <c r="F387" s="125" t="s">
        <v>548</v>
      </c>
      <c r="G387" s="350" t="s">
        <v>548</v>
      </c>
      <c r="H387" s="125" t="s">
        <v>19</v>
      </c>
      <c r="I387" s="70"/>
      <c r="J387" s="563"/>
      <c r="K387" s="564"/>
      <c r="L387" s="70"/>
      <c r="M387" s="113"/>
      <c r="N387" s="403"/>
      <c r="O387" s="403"/>
      <c r="P387" s="70"/>
      <c r="Q387" s="404"/>
      <c r="R387" s="404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</row>
    <row r="388" spans="1:36" s="14" customFormat="1" hidden="1">
      <c r="A388" s="560" t="s">
        <v>373</v>
      </c>
      <c r="B388" s="114" t="s">
        <v>821</v>
      </c>
      <c r="C388" s="114"/>
      <c r="D388" s="119"/>
      <c r="E388" s="121">
        <v>110</v>
      </c>
      <c r="F388" s="125" t="s">
        <v>548</v>
      </c>
      <c r="G388" s="350" t="s">
        <v>548</v>
      </c>
      <c r="H388" s="125" t="s">
        <v>19</v>
      </c>
      <c r="I388" s="70"/>
      <c r="J388" s="563"/>
      <c r="K388" s="564"/>
      <c r="L388" s="70"/>
      <c r="M388" s="113"/>
      <c r="N388" s="403"/>
      <c r="O388" s="403"/>
      <c r="P388" s="70"/>
      <c r="Q388" s="404"/>
      <c r="R388" s="404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</row>
    <row r="389" spans="1:36" s="14" customFormat="1" hidden="1">
      <c r="A389" s="560" t="s">
        <v>373</v>
      </c>
      <c r="B389" s="114" t="s">
        <v>822</v>
      </c>
      <c r="C389" s="114"/>
      <c r="D389" s="119"/>
      <c r="E389" s="121">
        <v>350</v>
      </c>
      <c r="F389" s="125" t="s">
        <v>551</v>
      </c>
      <c r="G389" s="350" t="s">
        <v>551</v>
      </c>
      <c r="H389" s="119" t="s">
        <v>19</v>
      </c>
      <c r="I389" s="70"/>
      <c r="J389" s="563"/>
      <c r="K389" s="564"/>
      <c r="L389" s="70"/>
      <c r="M389" s="113"/>
      <c r="N389" s="403"/>
      <c r="O389" s="403"/>
      <c r="P389" s="70"/>
      <c r="Q389" s="404"/>
      <c r="R389" s="404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</row>
    <row r="390" spans="1:36" s="14" customFormat="1" hidden="1">
      <c r="A390" s="560" t="s">
        <v>373</v>
      </c>
      <c r="B390" s="114" t="s">
        <v>823</v>
      </c>
      <c r="C390" s="114"/>
      <c r="D390" s="119"/>
      <c r="E390" s="121">
        <v>270</v>
      </c>
      <c r="F390" s="125" t="s">
        <v>555</v>
      </c>
      <c r="G390" s="350" t="s">
        <v>555</v>
      </c>
      <c r="H390" s="119" t="s">
        <v>19</v>
      </c>
      <c r="I390" s="70"/>
      <c r="J390" s="532"/>
      <c r="K390" s="533"/>
      <c r="L390" s="70"/>
      <c r="M390" s="113"/>
      <c r="N390" s="403"/>
      <c r="O390" s="403"/>
      <c r="P390" s="70"/>
      <c r="Q390" s="404"/>
      <c r="R390" s="404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</row>
    <row r="391" spans="1:36" s="14" customFormat="1" hidden="1">
      <c r="A391" s="560" t="s">
        <v>373</v>
      </c>
      <c r="B391" s="114" t="s">
        <v>824</v>
      </c>
      <c r="C391" s="114"/>
      <c r="D391" s="119"/>
      <c r="E391" s="121">
        <v>440</v>
      </c>
      <c r="F391" s="125" t="s">
        <v>555</v>
      </c>
      <c r="G391" s="350" t="s">
        <v>555</v>
      </c>
      <c r="H391" s="119" t="s">
        <v>19</v>
      </c>
      <c r="I391" s="70"/>
      <c r="J391" s="563"/>
      <c r="K391" s="564"/>
      <c r="L391" s="70"/>
      <c r="M391" s="113"/>
      <c r="N391" s="403"/>
      <c r="O391" s="403"/>
      <c r="P391" s="70"/>
      <c r="Q391" s="404"/>
      <c r="R391" s="404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</row>
    <row r="392" spans="1:36" s="14" customFormat="1" hidden="1">
      <c r="A392" s="560" t="s">
        <v>373</v>
      </c>
      <c r="B392" s="114" t="s">
        <v>825</v>
      </c>
      <c r="C392" s="114"/>
      <c r="D392" s="119"/>
      <c r="E392" s="121">
        <v>75</v>
      </c>
      <c r="F392" s="125" t="s">
        <v>556</v>
      </c>
      <c r="G392" s="350" t="s">
        <v>556</v>
      </c>
      <c r="H392" s="119" t="s">
        <v>19</v>
      </c>
      <c r="I392" s="70"/>
      <c r="J392" s="563"/>
      <c r="K392" s="564"/>
      <c r="L392" s="70"/>
      <c r="M392" s="113"/>
      <c r="N392" s="403"/>
      <c r="O392" s="403"/>
      <c r="P392" s="70"/>
      <c r="Q392" s="404"/>
      <c r="R392" s="404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</row>
    <row r="393" spans="1:36" s="14" customFormat="1" hidden="1">
      <c r="A393" s="560" t="s">
        <v>373</v>
      </c>
      <c r="B393" s="114" t="s">
        <v>826</v>
      </c>
      <c r="C393" s="114"/>
      <c r="D393" s="119"/>
      <c r="E393" s="121">
        <v>200</v>
      </c>
      <c r="F393" s="125" t="s">
        <v>556</v>
      </c>
      <c r="G393" s="350" t="s">
        <v>556</v>
      </c>
      <c r="H393" s="119" t="s">
        <v>19</v>
      </c>
      <c r="I393" s="70"/>
      <c r="J393" s="563"/>
      <c r="K393" s="564"/>
      <c r="L393" s="70"/>
      <c r="M393" s="113"/>
      <c r="N393" s="403"/>
      <c r="O393" s="403"/>
      <c r="P393" s="70"/>
      <c r="Q393" s="404"/>
      <c r="R393" s="404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</row>
    <row r="394" spans="1:36" s="14" customFormat="1" hidden="1">
      <c r="A394" s="560" t="s">
        <v>373</v>
      </c>
      <c r="B394" s="114" t="s">
        <v>827</v>
      </c>
      <c r="C394" s="114"/>
      <c r="D394" s="119"/>
      <c r="E394" s="121">
        <v>135</v>
      </c>
      <c r="F394" s="125" t="s">
        <v>556</v>
      </c>
      <c r="G394" s="350" t="s">
        <v>556</v>
      </c>
      <c r="H394" s="119" t="s">
        <v>19</v>
      </c>
      <c r="I394" s="70"/>
      <c r="J394" s="563"/>
      <c r="K394" s="564"/>
      <c r="L394" s="70"/>
      <c r="M394" s="113"/>
      <c r="N394" s="403"/>
      <c r="O394" s="403"/>
      <c r="P394" s="70"/>
      <c r="Q394" s="404"/>
      <c r="R394" s="404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</row>
    <row r="395" spans="1:36" s="14" customFormat="1" hidden="1">
      <c r="A395" s="560" t="s">
        <v>373</v>
      </c>
      <c r="B395" s="114" t="s">
        <v>828</v>
      </c>
      <c r="C395" s="114"/>
      <c r="D395" s="119"/>
      <c r="E395" s="121">
        <v>96</v>
      </c>
      <c r="F395" s="125" t="s">
        <v>556</v>
      </c>
      <c r="G395" s="350" t="s">
        <v>556</v>
      </c>
      <c r="H395" s="119" t="s">
        <v>19</v>
      </c>
      <c r="I395" s="70"/>
      <c r="J395" s="563"/>
      <c r="K395" s="564"/>
      <c r="L395" s="70"/>
      <c r="M395" s="113"/>
      <c r="N395" s="403"/>
      <c r="O395" s="403"/>
      <c r="P395" s="70"/>
      <c r="Q395" s="404"/>
      <c r="R395" s="404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</row>
    <row r="396" spans="1:36" s="14" customFormat="1" hidden="1">
      <c r="A396" s="560" t="s">
        <v>373</v>
      </c>
      <c r="B396" s="114" t="s">
        <v>829</v>
      </c>
      <c r="C396" s="114"/>
      <c r="D396" s="119"/>
      <c r="E396" s="121">
        <v>20</v>
      </c>
      <c r="F396" s="125" t="s">
        <v>556</v>
      </c>
      <c r="G396" s="350" t="s">
        <v>556</v>
      </c>
      <c r="H396" s="119" t="s">
        <v>19</v>
      </c>
      <c r="I396" s="70"/>
      <c r="J396" s="563"/>
      <c r="K396" s="564"/>
      <c r="L396" s="70"/>
      <c r="M396" s="113"/>
      <c r="N396" s="403"/>
      <c r="O396" s="403"/>
      <c r="P396" s="70"/>
      <c r="Q396" s="404"/>
      <c r="R396" s="404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</row>
    <row r="397" spans="1:36" s="14" customFormat="1" hidden="1">
      <c r="A397" s="560" t="s">
        <v>373</v>
      </c>
      <c r="B397" s="114" t="s">
        <v>830</v>
      </c>
      <c r="C397" s="114"/>
      <c r="D397" s="119"/>
      <c r="E397" s="121">
        <v>38</v>
      </c>
      <c r="F397" s="125" t="s">
        <v>556</v>
      </c>
      <c r="G397" s="350" t="s">
        <v>556</v>
      </c>
      <c r="H397" s="119" t="s">
        <v>19</v>
      </c>
      <c r="I397" s="70"/>
      <c r="J397" s="563"/>
      <c r="K397" s="564"/>
      <c r="L397" s="70"/>
      <c r="M397" s="113"/>
      <c r="N397" s="403"/>
      <c r="O397" s="403"/>
      <c r="P397" s="70"/>
      <c r="Q397" s="404"/>
      <c r="R397" s="404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</row>
    <row r="398" spans="1:36" s="14" customFormat="1" hidden="1">
      <c r="A398" s="560" t="s">
        <v>373</v>
      </c>
      <c r="B398" s="114" t="s">
        <v>831</v>
      </c>
      <c r="C398" s="114"/>
      <c r="D398" s="119"/>
      <c r="E398" s="121">
        <v>30</v>
      </c>
      <c r="F398" s="125" t="s">
        <v>556</v>
      </c>
      <c r="G398" s="350" t="s">
        <v>556</v>
      </c>
      <c r="H398" s="119" t="s">
        <v>19</v>
      </c>
      <c r="I398" s="70"/>
      <c r="J398" s="563"/>
      <c r="K398" s="564"/>
      <c r="L398" s="70"/>
      <c r="M398" s="113"/>
      <c r="N398" s="403"/>
      <c r="O398" s="403"/>
      <c r="P398" s="70"/>
      <c r="Q398" s="404"/>
      <c r="R398" s="404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</row>
    <row r="399" spans="1:36" s="14" customFormat="1" hidden="1">
      <c r="A399" s="560" t="s">
        <v>373</v>
      </c>
      <c r="B399" s="114" t="s">
        <v>832</v>
      </c>
      <c r="C399" s="114"/>
      <c r="D399" s="119"/>
      <c r="E399" s="121">
        <v>180</v>
      </c>
      <c r="F399" s="125" t="s">
        <v>556</v>
      </c>
      <c r="G399" s="350" t="s">
        <v>556</v>
      </c>
      <c r="H399" s="119" t="s">
        <v>19</v>
      </c>
      <c r="I399" s="70"/>
      <c r="J399" s="563"/>
      <c r="K399" s="564"/>
      <c r="L399" s="70"/>
      <c r="M399" s="113"/>
      <c r="N399" s="403"/>
      <c r="O399" s="403"/>
      <c r="P399" s="70"/>
      <c r="Q399" s="404"/>
      <c r="R399" s="404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</row>
    <row r="400" spans="1:36" s="14" customFormat="1" hidden="1">
      <c r="A400" s="560" t="s">
        <v>373</v>
      </c>
      <c r="B400" s="114" t="s">
        <v>833</v>
      </c>
      <c r="C400" s="114"/>
      <c r="D400" s="119"/>
      <c r="E400" s="121">
        <v>30</v>
      </c>
      <c r="F400" s="125" t="s">
        <v>556</v>
      </c>
      <c r="G400" s="350" t="s">
        <v>556</v>
      </c>
      <c r="H400" s="119" t="s">
        <v>19</v>
      </c>
      <c r="I400" s="70"/>
      <c r="J400" s="563"/>
      <c r="K400" s="564"/>
      <c r="L400" s="70"/>
      <c r="M400" s="113"/>
      <c r="N400" s="403"/>
      <c r="O400" s="403"/>
      <c r="P400" s="70"/>
      <c r="Q400" s="404"/>
      <c r="R400" s="404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</row>
    <row r="401" spans="1:36" s="14" customFormat="1" hidden="1">
      <c r="A401" s="560" t="s">
        <v>380</v>
      </c>
      <c r="B401" s="111" t="s">
        <v>834</v>
      </c>
      <c r="C401" s="111"/>
      <c r="D401" s="119" t="s">
        <v>383</v>
      </c>
      <c r="E401" s="121">
        <v>2882.12</v>
      </c>
      <c r="F401" s="125">
        <v>46235</v>
      </c>
      <c r="G401" s="351">
        <v>46238</v>
      </c>
      <c r="H401" s="119" t="s">
        <v>19</v>
      </c>
      <c r="I401" s="70"/>
      <c r="J401" s="563"/>
      <c r="K401" s="564"/>
      <c r="L401" s="70"/>
      <c r="M401" s="113"/>
      <c r="N401" s="403"/>
      <c r="O401" s="403"/>
      <c r="P401" s="70"/>
      <c r="Q401" s="404"/>
      <c r="R401" s="404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</row>
    <row r="402" spans="1:36" s="14" customFormat="1" hidden="1">
      <c r="A402" s="560" t="s">
        <v>380</v>
      </c>
      <c r="B402" s="111" t="s">
        <v>835</v>
      </c>
      <c r="C402" s="111"/>
      <c r="D402" s="119" t="s">
        <v>383</v>
      </c>
      <c r="E402" s="121">
        <v>2276.7399999999998</v>
      </c>
      <c r="F402" s="125">
        <v>46244</v>
      </c>
      <c r="G402" s="351">
        <v>46248</v>
      </c>
      <c r="H402" s="119" t="s">
        <v>19</v>
      </c>
      <c r="I402" s="70"/>
      <c r="J402" s="563"/>
      <c r="K402" s="564"/>
      <c r="L402" s="70"/>
      <c r="M402" s="113"/>
      <c r="N402" s="403"/>
      <c r="O402" s="403"/>
      <c r="P402" s="70"/>
      <c r="Q402" s="404"/>
      <c r="R402" s="404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</row>
    <row r="403" spans="1:36" s="14" customFormat="1" hidden="1">
      <c r="A403" s="560" t="s">
        <v>380</v>
      </c>
      <c r="B403" s="111" t="s">
        <v>385</v>
      </c>
      <c r="C403" s="111"/>
      <c r="D403" s="119" t="s">
        <v>372</v>
      </c>
      <c r="E403" s="121">
        <v>14385.84</v>
      </c>
      <c r="F403" s="125">
        <v>46249</v>
      </c>
      <c r="G403" s="351">
        <v>46251</v>
      </c>
      <c r="H403" s="119" t="s">
        <v>19</v>
      </c>
      <c r="I403" s="70"/>
      <c r="J403" s="563"/>
      <c r="K403" s="564"/>
      <c r="L403" s="70"/>
      <c r="M403" s="113"/>
      <c r="N403" s="403"/>
      <c r="O403" s="403"/>
      <c r="P403" s="70"/>
      <c r="Q403" s="404"/>
      <c r="R403" s="404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</row>
    <row r="404" spans="1:36" s="14" customFormat="1" hidden="1">
      <c r="A404" s="560" t="s">
        <v>380</v>
      </c>
      <c r="B404" s="111" t="s">
        <v>385</v>
      </c>
      <c r="C404" s="111"/>
      <c r="D404" s="119" t="s">
        <v>372</v>
      </c>
      <c r="E404" s="121">
        <v>14664.4</v>
      </c>
      <c r="F404" s="125">
        <v>46280</v>
      </c>
      <c r="G404" s="125">
        <v>46287</v>
      </c>
      <c r="H404" s="119" t="s">
        <v>19</v>
      </c>
      <c r="I404" s="70"/>
      <c r="J404" s="563"/>
      <c r="K404" s="564"/>
      <c r="L404" s="70"/>
      <c r="M404" s="113"/>
      <c r="N404" s="403"/>
      <c r="O404" s="403"/>
      <c r="P404" s="70"/>
      <c r="Q404" s="404"/>
      <c r="R404" s="404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</row>
    <row r="405" spans="1:36" s="14" customFormat="1" hidden="1">
      <c r="A405" s="560" t="s">
        <v>380</v>
      </c>
      <c r="B405" s="111" t="s">
        <v>836</v>
      </c>
      <c r="C405" s="111"/>
      <c r="D405" s="119" t="s">
        <v>639</v>
      </c>
      <c r="E405" s="121">
        <v>8638.98</v>
      </c>
      <c r="F405" s="125">
        <v>46290</v>
      </c>
      <c r="G405" s="125">
        <v>46287</v>
      </c>
      <c r="H405" s="119" t="s">
        <v>19</v>
      </c>
      <c r="I405" s="70"/>
      <c r="J405" s="563"/>
      <c r="K405" s="564"/>
      <c r="L405" s="70"/>
      <c r="M405" s="113"/>
      <c r="N405" s="403"/>
      <c r="O405" s="403"/>
      <c r="P405" s="70"/>
      <c r="Q405" s="404"/>
      <c r="R405" s="404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</row>
    <row r="406" spans="1:36" s="14" customFormat="1" hidden="1">
      <c r="A406" s="560" t="s">
        <v>380</v>
      </c>
      <c r="B406" s="114" t="s">
        <v>836</v>
      </c>
      <c r="C406" s="439"/>
      <c r="D406" s="119" t="s">
        <v>639</v>
      </c>
      <c r="E406" s="121" t="s">
        <v>541</v>
      </c>
      <c r="F406" s="125">
        <v>46320</v>
      </c>
      <c r="G406" s="350"/>
      <c r="H406" s="125"/>
      <c r="I406" s="70"/>
      <c r="J406" s="563"/>
      <c r="K406" s="564"/>
      <c r="L406" s="70"/>
      <c r="M406" s="113"/>
      <c r="N406" s="403"/>
      <c r="O406" s="403"/>
      <c r="P406" s="70"/>
      <c r="Q406" s="404"/>
      <c r="R406" s="404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</row>
    <row r="407" spans="1:36" s="14" customFormat="1" hidden="1">
      <c r="A407" s="437" t="s">
        <v>380</v>
      </c>
      <c r="B407" s="114" t="s">
        <v>837</v>
      </c>
      <c r="C407" s="114"/>
      <c r="D407" s="119" t="s">
        <v>383</v>
      </c>
      <c r="E407" s="121">
        <v>6666.09</v>
      </c>
      <c r="F407" s="125">
        <v>46296</v>
      </c>
      <c r="G407" s="125">
        <v>46303</v>
      </c>
      <c r="H407" s="119" t="s">
        <v>19</v>
      </c>
      <c r="I407" s="70"/>
      <c r="J407" s="563"/>
      <c r="K407" s="564"/>
      <c r="L407" s="70"/>
      <c r="M407" s="113"/>
      <c r="N407" s="403"/>
      <c r="O407" s="403"/>
      <c r="P407" s="70"/>
      <c r="Q407" s="404"/>
      <c r="R407" s="404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</row>
    <row r="408" spans="1:36" s="14" customFormat="1" hidden="1">
      <c r="A408" s="560" t="s">
        <v>838</v>
      </c>
      <c r="B408" s="111" t="s">
        <v>839</v>
      </c>
      <c r="C408" s="111"/>
      <c r="D408" s="119">
        <v>1636.8</v>
      </c>
      <c r="E408" s="121">
        <v>3600</v>
      </c>
      <c r="F408" s="125">
        <v>46260</v>
      </c>
      <c r="G408" s="351">
        <v>46260</v>
      </c>
      <c r="H408" s="119" t="s">
        <v>19</v>
      </c>
      <c r="I408" s="70"/>
      <c r="J408" s="563"/>
      <c r="K408" s="564"/>
      <c r="L408" s="70"/>
      <c r="M408" s="113"/>
      <c r="N408" s="403"/>
      <c r="O408" s="403"/>
      <c r="P408" s="70"/>
      <c r="Q408" s="404"/>
      <c r="R408" s="404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</row>
    <row r="409" spans="1:36" s="14" customFormat="1" hidden="1">
      <c r="A409" s="560" t="s">
        <v>389</v>
      </c>
      <c r="B409" s="111" t="s">
        <v>840</v>
      </c>
      <c r="C409" s="111"/>
      <c r="D409" s="119" t="s">
        <v>841</v>
      </c>
      <c r="E409" s="121">
        <v>7356.83</v>
      </c>
      <c r="F409" s="125">
        <v>46240</v>
      </c>
      <c r="G409" s="351">
        <v>46240</v>
      </c>
      <c r="H409" s="119" t="s">
        <v>19</v>
      </c>
      <c r="I409" s="70"/>
      <c r="J409" s="563"/>
      <c r="K409" s="564"/>
      <c r="L409" s="70"/>
      <c r="M409" s="113"/>
      <c r="N409" s="403"/>
      <c r="O409" s="403"/>
      <c r="P409" s="70"/>
      <c r="Q409" s="404"/>
      <c r="R409" s="404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</row>
    <row r="410" spans="1:36" s="14" customFormat="1" hidden="1">
      <c r="A410" s="560" t="s">
        <v>389</v>
      </c>
      <c r="B410" s="111" t="s">
        <v>842</v>
      </c>
      <c r="C410" s="111"/>
      <c r="D410" s="119">
        <v>2385</v>
      </c>
      <c r="E410" s="121">
        <v>630</v>
      </c>
      <c r="F410" s="125">
        <v>46240</v>
      </c>
      <c r="G410" s="351">
        <v>46240</v>
      </c>
      <c r="H410" s="119" t="s">
        <v>19</v>
      </c>
      <c r="I410" s="70"/>
      <c r="J410" s="563"/>
      <c r="K410" s="564"/>
      <c r="L410" s="70"/>
      <c r="M410" s="113"/>
      <c r="N410" s="403"/>
      <c r="O410" s="403"/>
      <c r="P410" s="70"/>
      <c r="Q410" s="404"/>
      <c r="R410" s="404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</row>
    <row r="411" spans="1:36" s="14" customFormat="1" hidden="1">
      <c r="A411" s="560" t="s">
        <v>389</v>
      </c>
      <c r="B411" s="111" t="s">
        <v>843</v>
      </c>
      <c r="C411" s="111"/>
      <c r="D411" s="119" t="s">
        <v>841</v>
      </c>
      <c r="E411" s="121">
        <v>3733.74</v>
      </c>
      <c r="F411" s="125">
        <v>46240</v>
      </c>
      <c r="G411" s="351">
        <v>46240</v>
      </c>
      <c r="H411" s="119" t="s">
        <v>19</v>
      </c>
      <c r="I411" s="70"/>
      <c r="J411" s="563"/>
      <c r="K411" s="564"/>
      <c r="L411" s="70"/>
      <c r="M411" s="113"/>
      <c r="N411" s="403"/>
      <c r="O411" s="403"/>
      <c r="P411" s="70"/>
      <c r="Q411" s="404"/>
      <c r="R411" s="404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</row>
    <row r="412" spans="1:36" s="14" customFormat="1" hidden="1">
      <c r="A412" s="560" t="s">
        <v>389</v>
      </c>
      <c r="B412" s="111" t="s">
        <v>844</v>
      </c>
      <c r="C412" s="111"/>
      <c r="D412" s="119"/>
      <c r="E412" s="121">
        <v>945</v>
      </c>
      <c r="F412" s="125">
        <v>46254</v>
      </c>
      <c r="G412" s="351">
        <v>46254</v>
      </c>
      <c r="H412" s="119" t="s">
        <v>19</v>
      </c>
      <c r="I412" s="70"/>
      <c r="J412" s="563"/>
      <c r="K412" s="564"/>
      <c r="L412" s="70"/>
      <c r="M412" s="113"/>
      <c r="N412" s="403"/>
      <c r="O412" s="403"/>
      <c r="P412" s="70"/>
      <c r="Q412" s="404"/>
      <c r="R412" s="404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</row>
    <row r="413" spans="1:36" s="14" customFormat="1" hidden="1">
      <c r="A413" s="560" t="s">
        <v>389</v>
      </c>
      <c r="B413" s="111" t="s">
        <v>845</v>
      </c>
      <c r="C413" s="111"/>
      <c r="D413" s="119"/>
      <c r="E413" s="121">
        <v>1500</v>
      </c>
      <c r="F413" s="125">
        <v>46254</v>
      </c>
      <c r="G413" s="351">
        <v>46254</v>
      </c>
      <c r="H413" s="119" t="s">
        <v>19</v>
      </c>
      <c r="I413" s="70"/>
      <c r="J413" s="563"/>
      <c r="K413" s="564"/>
      <c r="L413" s="70"/>
      <c r="M413" s="113"/>
      <c r="N413" s="403"/>
      <c r="O413" s="403"/>
      <c r="P413" s="70"/>
      <c r="Q413" s="404"/>
      <c r="R413" s="404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</row>
    <row r="414" spans="1:36" s="14" customFormat="1" hidden="1">
      <c r="A414" s="560" t="s">
        <v>389</v>
      </c>
      <c r="B414" s="111" t="s">
        <v>846</v>
      </c>
      <c r="C414" s="111"/>
      <c r="D414" s="119"/>
      <c r="E414" s="121">
        <v>1000</v>
      </c>
      <c r="F414" s="125">
        <v>46261</v>
      </c>
      <c r="G414" s="351">
        <v>46261</v>
      </c>
      <c r="H414" s="119" t="s">
        <v>19</v>
      </c>
      <c r="I414" s="70"/>
      <c r="J414" s="532"/>
      <c r="K414" s="533"/>
      <c r="L414" s="70"/>
      <c r="M414" s="113"/>
      <c r="N414" s="403"/>
      <c r="O414" s="403"/>
      <c r="P414" s="70"/>
      <c r="Q414" s="404"/>
      <c r="R414" s="404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</row>
    <row r="415" spans="1:36" s="14" customFormat="1" hidden="1">
      <c r="A415" s="560" t="s">
        <v>389</v>
      </c>
      <c r="B415" s="111" t="s">
        <v>847</v>
      </c>
      <c r="C415" s="111"/>
      <c r="D415" s="119" t="s">
        <v>848</v>
      </c>
      <c r="E415" s="121">
        <v>1395</v>
      </c>
      <c r="F415" s="125">
        <v>46269</v>
      </c>
      <c r="G415" s="125">
        <v>46269</v>
      </c>
      <c r="H415" s="119" t="s">
        <v>445</v>
      </c>
      <c r="I415" s="70"/>
      <c r="J415" s="563"/>
      <c r="K415" s="564"/>
      <c r="L415" s="70"/>
      <c r="M415" s="113"/>
      <c r="N415" s="403"/>
      <c r="O415" s="403"/>
      <c r="P415" s="70"/>
      <c r="Q415" s="404"/>
      <c r="R415" s="404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</row>
    <row r="416" spans="1:36" s="14" customFormat="1" hidden="1">
      <c r="A416" s="560" t="s">
        <v>389</v>
      </c>
      <c r="B416" s="111" t="s">
        <v>849</v>
      </c>
      <c r="C416" s="111"/>
      <c r="D416" s="119" t="s">
        <v>841</v>
      </c>
      <c r="E416" s="121">
        <f>284727.21*1.5%</f>
        <v>4270.9081500000002</v>
      </c>
      <c r="F416" s="125">
        <v>46269</v>
      </c>
      <c r="G416" s="125">
        <v>46269</v>
      </c>
      <c r="H416" s="119" t="s">
        <v>445</v>
      </c>
      <c r="I416" s="70"/>
      <c r="J416" s="532"/>
      <c r="K416" s="533"/>
      <c r="L416" s="70"/>
      <c r="M416" s="113"/>
      <c r="N416" s="403"/>
      <c r="O416" s="403"/>
      <c r="P416" s="70"/>
      <c r="Q416" s="404"/>
      <c r="R416" s="404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</row>
    <row r="417" spans="1:36" s="14" customFormat="1" hidden="1">
      <c r="A417" s="560" t="s">
        <v>389</v>
      </c>
      <c r="B417" s="111" t="s">
        <v>850</v>
      </c>
      <c r="C417" s="111"/>
      <c r="D417" s="119"/>
      <c r="E417" s="121">
        <v>2000</v>
      </c>
      <c r="F417" s="125">
        <v>46276</v>
      </c>
      <c r="G417" s="125">
        <v>46276</v>
      </c>
      <c r="H417" s="119" t="s">
        <v>457</v>
      </c>
      <c r="I417" s="70"/>
      <c r="J417" s="532"/>
      <c r="K417" s="533"/>
      <c r="L417" s="70"/>
      <c r="M417" s="113"/>
      <c r="N417" s="403"/>
      <c r="O417" s="403"/>
      <c r="P417" s="70"/>
      <c r="Q417" s="404"/>
      <c r="R417" s="404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</row>
    <row r="418" spans="1:36" s="14" customFormat="1" hidden="1">
      <c r="A418" s="560" t="s">
        <v>389</v>
      </c>
      <c r="B418" s="111" t="s">
        <v>851</v>
      </c>
      <c r="C418" s="111"/>
      <c r="D418" s="119" t="s">
        <v>841</v>
      </c>
      <c r="E418" s="121">
        <v>2046</v>
      </c>
      <c r="F418" s="125">
        <v>46277</v>
      </c>
      <c r="G418" s="125">
        <v>46280</v>
      </c>
      <c r="H418" s="119" t="s">
        <v>445</v>
      </c>
      <c r="I418" s="70"/>
      <c r="J418" s="563"/>
      <c r="K418" s="564"/>
      <c r="L418" s="70"/>
      <c r="M418" s="113"/>
      <c r="N418" s="403"/>
      <c r="O418" s="403"/>
      <c r="P418" s="70"/>
      <c r="Q418" s="404"/>
      <c r="R418" s="404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</row>
    <row r="419" spans="1:36" s="14" customFormat="1" hidden="1">
      <c r="A419" s="560" t="s">
        <v>389</v>
      </c>
      <c r="B419" s="111" t="s">
        <v>852</v>
      </c>
      <c r="C419" s="111"/>
      <c r="D419" s="119"/>
      <c r="E419" s="121">
        <v>690</v>
      </c>
      <c r="F419" s="125">
        <v>46288</v>
      </c>
      <c r="G419" s="125">
        <v>46280</v>
      </c>
      <c r="H419" s="119" t="s">
        <v>445</v>
      </c>
      <c r="I419" s="70"/>
      <c r="J419" s="563"/>
      <c r="K419" s="564"/>
      <c r="L419" s="70"/>
      <c r="M419" s="113"/>
      <c r="N419" s="403"/>
      <c r="O419" s="403"/>
      <c r="P419" s="70"/>
      <c r="Q419" s="404"/>
      <c r="R419" s="404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</row>
    <row r="420" spans="1:36" s="14" customFormat="1" hidden="1">
      <c r="A420" s="560" t="s">
        <v>389</v>
      </c>
      <c r="B420" s="111" t="s">
        <v>853</v>
      </c>
      <c r="C420" s="111"/>
      <c r="D420" s="119"/>
      <c r="E420" s="121">
        <v>690</v>
      </c>
      <c r="F420" s="125">
        <v>46287</v>
      </c>
      <c r="G420" s="125">
        <v>46288</v>
      </c>
      <c r="H420" s="119" t="s">
        <v>19</v>
      </c>
      <c r="I420" s="70"/>
      <c r="J420" s="563"/>
      <c r="K420" s="564"/>
      <c r="L420" s="70"/>
      <c r="M420" s="113"/>
      <c r="N420" s="403"/>
      <c r="O420" s="403"/>
      <c r="P420" s="70"/>
      <c r="Q420" s="404"/>
      <c r="R420" s="404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</row>
    <row r="421" spans="1:36" s="14" customFormat="1" hidden="1">
      <c r="A421" s="560" t="s">
        <v>389</v>
      </c>
      <c r="B421" s="111" t="s">
        <v>854</v>
      </c>
      <c r="C421" s="111"/>
      <c r="D421" s="119"/>
      <c r="E421" s="121">
        <v>2000</v>
      </c>
      <c r="F421" s="125">
        <v>46288</v>
      </c>
      <c r="G421" s="125">
        <v>46288</v>
      </c>
      <c r="H421" s="119" t="s">
        <v>19</v>
      </c>
      <c r="I421" s="70"/>
      <c r="J421" s="563"/>
      <c r="K421" s="564"/>
      <c r="L421" s="70"/>
      <c r="M421" s="113"/>
      <c r="N421" s="403"/>
      <c r="O421" s="403"/>
      <c r="P421" s="70"/>
      <c r="Q421" s="404"/>
      <c r="R421" s="404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</row>
    <row r="422" spans="1:36" s="14" customFormat="1" hidden="1">
      <c r="A422" s="560" t="s">
        <v>389</v>
      </c>
      <c r="B422" s="111" t="s">
        <v>855</v>
      </c>
      <c r="C422" s="111"/>
      <c r="D422" s="119" t="s">
        <v>19</v>
      </c>
      <c r="E422" s="121">
        <f>5200*1.6%</f>
        <v>83.2</v>
      </c>
      <c r="F422" s="125">
        <v>46288</v>
      </c>
      <c r="G422" s="351">
        <v>46290</v>
      </c>
      <c r="H422" s="119" t="s">
        <v>19</v>
      </c>
      <c r="I422" s="70"/>
      <c r="J422" s="563"/>
      <c r="K422" s="564"/>
      <c r="L422" s="70"/>
      <c r="M422" s="113"/>
      <c r="N422" s="403"/>
      <c r="O422" s="403"/>
      <c r="P422" s="70"/>
      <c r="Q422" s="404"/>
      <c r="R422" s="404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</row>
    <row r="423" spans="1:36" s="14" customFormat="1" hidden="1">
      <c r="A423" s="560" t="s">
        <v>389</v>
      </c>
      <c r="B423" s="111" t="s">
        <v>856</v>
      </c>
      <c r="C423" s="111"/>
      <c r="D423" s="119" t="s">
        <v>19</v>
      </c>
      <c r="E423" s="121">
        <f>5800*1.6%</f>
        <v>92.8</v>
      </c>
      <c r="F423" s="125">
        <v>46288</v>
      </c>
      <c r="G423" s="351">
        <v>46290</v>
      </c>
      <c r="H423" s="119" t="s">
        <v>19</v>
      </c>
      <c r="I423" s="70"/>
      <c r="J423" s="532"/>
      <c r="K423" s="533"/>
      <c r="L423" s="70"/>
      <c r="M423" s="113"/>
      <c r="N423" s="403"/>
      <c r="O423" s="403"/>
      <c r="P423" s="70"/>
      <c r="Q423" s="404"/>
      <c r="R423" s="404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</row>
    <row r="424" spans="1:36" s="14" customFormat="1" hidden="1">
      <c r="A424" s="560" t="s">
        <v>389</v>
      </c>
      <c r="B424" s="111" t="s">
        <v>857</v>
      </c>
      <c r="C424" s="111"/>
      <c r="D424" s="119" t="s">
        <v>19</v>
      </c>
      <c r="E424" s="121">
        <v>2000</v>
      </c>
      <c r="F424" s="125">
        <v>46298</v>
      </c>
      <c r="G424" s="351">
        <v>46290</v>
      </c>
      <c r="H424" s="119" t="s">
        <v>19</v>
      </c>
      <c r="I424" s="70"/>
      <c r="J424" s="563"/>
      <c r="K424" s="564"/>
      <c r="L424" s="70"/>
      <c r="M424" s="113"/>
      <c r="N424" s="403"/>
      <c r="O424" s="403"/>
      <c r="P424" s="70"/>
      <c r="Q424" s="404"/>
      <c r="R424" s="404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</row>
    <row r="425" spans="1:36" s="14" customFormat="1" hidden="1">
      <c r="A425" s="560" t="s">
        <v>389</v>
      </c>
      <c r="B425" s="111" t="s">
        <v>858</v>
      </c>
      <c r="C425" s="111"/>
      <c r="D425" s="119" t="s">
        <v>19</v>
      </c>
      <c r="E425" s="121">
        <v>2000</v>
      </c>
      <c r="F425" s="125">
        <v>46298</v>
      </c>
      <c r="G425" s="351">
        <v>46290</v>
      </c>
      <c r="H425" s="119" t="s">
        <v>19</v>
      </c>
      <c r="I425" s="70"/>
      <c r="J425" s="563"/>
      <c r="K425" s="564"/>
      <c r="L425" s="70"/>
      <c r="M425" s="113"/>
      <c r="N425" s="403"/>
      <c r="O425" s="403"/>
      <c r="P425" s="70"/>
      <c r="Q425" s="404"/>
      <c r="R425" s="404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</row>
    <row r="426" spans="1:36" s="14" customFormat="1" hidden="1">
      <c r="A426" s="560" t="s">
        <v>389</v>
      </c>
      <c r="B426" s="111" t="s">
        <v>859</v>
      </c>
      <c r="C426" s="111"/>
      <c r="D426" s="119" t="s">
        <v>19</v>
      </c>
      <c r="E426" s="121">
        <f>25000*1.6%</f>
        <v>400</v>
      </c>
      <c r="F426" s="125">
        <v>46298</v>
      </c>
      <c r="G426" s="351">
        <v>46290</v>
      </c>
      <c r="H426" s="119" t="s">
        <v>19</v>
      </c>
      <c r="I426" s="70"/>
      <c r="J426" s="563"/>
      <c r="K426" s="564"/>
      <c r="L426" s="70"/>
      <c r="M426" s="113"/>
      <c r="N426" s="403"/>
      <c r="O426" s="403"/>
      <c r="P426" s="70"/>
      <c r="Q426" s="404"/>
      <c r="R426" s="404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</row>
    <row r="427" spans="1:36" s="14" customFormat="1" hidden="1">
      <c r="A427" s="560" t="s">
        <v>389</v>
      </c>
      <c r="B427" s="111" t="s">
        <v>860</v>
      </c>
      <c r="C427" s="111"/>
      <c r="D427" s="119" t="s">
        <v>19</v>
      </c>
      <c r="E427" s="121">
        <f>25000*1.6%</f>
        <v>400</v>
      </c>
      <c r="F427" s="125">
        <v>46298</v>
      </c>
      <c r="G427" s="351">
        <v>46290</v>
      </c>
      <c r="H427" s="119" t="s">
        <v>19</v>
      </c>
      <c r="I427" s="70"/>
      <c r="J427" s="563"/>
      <c r="K427" s="564"/>
      <c r="L427" s="70"/>
      <c r="M427" s="113"/>
      <c r="N427" s="403"/>
      <c r="O427" s="403"/>
      <c r="P427" s="70"/>
      <c r="Q427" s="404"/>
      <c r="R427" s="404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</row>
    <row r="428" spans="1:36" s="14" customFormat="1" hidden="1">
      <c r="A428" s="560" t="s">
        <v>389</v>
      </c>
      <c r="B428" s="111" t="s">
        <v>861</v>
      </c>
      <c r="C428" s="111"/>
      <c r="D428" s="119" t="s">
        <v>19</v>
      </c>
      <c r="E428" s="121">
        <v>24</v>
      </c>
      <c r="F428" s="351">
        <v>46290</v>
      </c>
      <c r="G428" s="125">
        <v>46290</v>
      </c>
      <c r="H428" s="125" t="s">
        <v>19</v>
      </c>
      <c r="I428" s="70"/>
      <c r="J428" s="563"/>
      <c r="K428" s="564"/>
      <c r="L428" s="70"/>
      <c r="M428" s="113"/>
      <c r="N428" s="403"/>
      <c r="O428" s="403"/>
      <c r="P428" s="70"/>
      <c r="Q428" s="404"/>
      <c r="R428" s="404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</row>
    <row r="429" spans="1:36" s="14" customFormat="1" hidden="1">
      <c r="A429" s="560" t="s">
        <v>389</v>
      </c>
      <c r="B429" s="111" t="s">
        <v>862</v>
      </c>
      <c r="C429" s="440"/>
      <c r="D429" s="119">
        <v>0</v>
      </c>
      <c r="E429" s="121">
        <v>2000</v>
      </c>
      <c r="F429" s="351">
        <v>46302</v>
      </c>
      <c r="G429" s="351">
        <v>46302</v>
      </c>
      <c r="H429" s="125" t="s">
        <v>592</v>
      </c>
      <c r="I429" s="70"/>
      <c r="J429" s="563"/>
      <c r="K429" s="564"/>
      <c r="L429" s="70"/>
      <c r="M429" s="113"/>
      <c r="N429" s="403"/>
      <c r="O429" s="403"/>
      <c r="P429" s="70"/>
      <c r="Q429" s="404"/>
      <c r="R429" s="404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</row>
    <row r="430" spans="1:36" s="14" customFormat="1" hidden="1">
      <c r="A430" s="560" t="s">
        <v>389</v>
      </c>
      <c r="B430" s="111" t="s">
        <v>863</v>
      </c>
      <c r="C430" s="440"/>
      <c r="D430" s="119">
        <v>0</v>
      </c>
      <c r="E430" s="121">
        <v>690</v>
      </c>
      <c r="F430" s="351">
        <v>46302</v>
      </c>
      <c r="G430" s="351">
        <v>46302</v>
      </c>
      <c r="H430" s="125" t="s">
        <v>592</v>
      </c>
      <c r="I430" s="70"/>
      <c r="J430" s="563"/>
      <c r="K430" s="564"/>
      <c r="L430" s="70"/>
      <c r="M430" s="113"/>
      <c r="N430" s="403"/>
      <c r="O430" s="403"/>
      <c r="P430" s="70"/>
      <c r="Q430" s="404"/>
      <c r="R430" s="404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</row>
    <row r="431" spans="1:36" s="14" customFormat="1">
      <c r="A431" s="560" t="s">
        <v>389</v>
      </c>
      <c r="B431" s="114" t="s">
        <v>864</v>
      </c>
      <c r="C431" s="439"/>
      <c r="D431" s="119"/>
      <c r="E431" s="121">
        <v>2000</v>
      </c>
      <c r="F431" s="125">
        <v>46318</v>
      </c>
      <c r="G431" s="350"/>
      <c r="H431" s="125" t="s">
        <v>592</v>
      </c>
      <c r="I431" s="70"/>
      <c r="J431" s="563"/>
      <c r="K431" s="564"/>
      <c r="L431" s="70"/>
      <c r="M431" s="113"/>
      <c r="N431" s="403"/>
      <c r="O431" s="403"/>
      <c r="P431" s="70"/>
      <c r="Q431" s="404"/>
      <c r="R431" s="404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</row>
    <row r="432" spans="1:36" s="14" customFormat="1">
      <c r="A432" s="560" t="s">
        <v>389</v>
      </c>
      <c r="B432" s="114" t="s">
        <v>865</v>
      </c>
      <c r="C432" s="439"/>
      <c r="D432" s="119"/>
      <c r="E432" s="121">
        <v>690</v>
      </c>
      <c r="F432" s="125">
        <v>46318</v>
      </c>
      <c r="G432" s="350"/>
      <c r="H432" s="125" t="s">
        <v>592</v>
      </c>
      <c r="I432" s="70"/>
      <c r="J432" s="563"/>
      <c r="K432" s="564"/>
      <c r="L432" s="70"/>
      <c r="M432" s="113"/>
      <c r="N432" s="403"/>
      <c r="O432" s="403"/>
      <c r="P432" s="70"/>
      <c r="Q432" s="404"/>
      <c r="R432" s="404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</row>
    <row r="433" spans="1:36" s="14" customFormat="1" hidden="1">
      <c r="A433" s="437" t="s">
        <v>389</v>
      </c>
      <c r="B433" s="114" t="s">
        <v>866</v>
      </c>
      <c r="C433" s="114"/>
      <c r="D433" s="119" t="s">
        <v>841</v>
      </c>
      <c r="E433" s="121">
        <f>3036-2046</f>
        <v>990</v>
      </c>
      <c r="F433" s="478">
        <v>46301</v>
      </c>
      <c r="G433" s="350">
        <v>46310</v>
      </c>
      <c r="H433" s="125" t="s">
        <v>19</v>
      </c>
      <c r="I433" s="70"/>
      <c r="J433" s="532"/>
      <c r="K433" s="533"/>
      <c r="L433" s="70"/>
      <c r="M433" s="113"/>
      <c r="N433" s="403"/>
      <c r="O433" s="403"/>
      <c r="P433" s="70"/>
      <c r="Q433" s="404"/>
      <c r="R433" s="404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</row>
    <row r="434" spans="1:36" s="14" customFormat="1" hidden="1">
      <c r="A434" s="437" t="s">
        <v>389</v>
      </c>
      <c r="B434" s="114" t="s">
        <v>867</v>
      </c>
      <c r="C434" s="114"/>
      <c r="D434" s="119" t="s">
        <v>868</v>
      </c>
      <c r="E434" s="121">
        <f>2700/2</f>
        <v>1350</v>
      </c>
      <c r="F434" s="478">
        <v>46301</v>
      </c>
      <c r="G434" s="350">
        <v>46310</v>
      </c>
      <c r="H434" s="125" t="s">
        <v>19</v>
      </c>
      <c r="I434" s="70"/>
      <c r="J434" s="563"/>
      <c r="K434" s="564"/>
      <c r="L434" s="70"/>
      <c r="M434" s="113"/>
      <c r="N434" s="403"/>
      <c r="O434" s="403"/>
      <c r="P434" s="70"/>
      <c r="Q434" s="404"/>
      <c r="R434" s="404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</row>
    <row r="435" spans="1:36" s="14" customFormat="1" hidden="1">
      <c r="A435" s="437" t="s">
        <v>389</v>
      </c>
      <c r="B435" s="114" t="s">
        <v>869</v>
      </c>
      <c r="C435" s="114"/>
      <c r="D435" s="119" t="s">
        <v>841</v>
      </c>
      <c r="E435" s="121">
        <v>2289.7399999999998</v>
      </c>
      <c r="F435" s="478">
        <v>46301</v>
      </c>
      <c r="G435" s="350">
        <v>46310</v>
      </c>
      <c r="H435" s="125" t="s">
        <v>19</v>
      </c>
      <c r="I435" s="70"/>
      <c r="J435" s="563"/>
      <c r="K435" s="564"/>
      <c r="L435" s="70"/>
      <c r="M435" s="113"/>
      <c r="N435" s="403"/>
      <c r="O435" s="403"/>
      <c r="P435" s="70"/>
      <c r="Q435" s="404"/>
      <c r="R435" s="404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</row>
    <row r="436" spans="1:36" s="14" customFormat="1" hidden="1">
      <c r="A436" s="437" t="s">
        <v>389</v>
      </c>
      <c r="B436" s="114" t="s">
        <v>870</v>
      </c>
      <c r="C436" s="114"/>
      <c r="D436" s="119">
        <v>2428.8000000000002</v>
      </c>
      <c r="E436" s="121">
        <v>465.6</v>
      </c>
      <c r="F436" s="125">
        <v>46305</v>
      </c>
      <c r="G436" s="350">
        <v>46310</v>
      </c>
      <c r="H436" s="125" t="s">
        <v>19</v>
      </c>
      <c r="I436" s="70"/>
      <c r="J436" s="563"/>
      <c r="K436" s="564"/>
      <c r="L436" s="70"/>
      <c r="M436" s="113"/>
      <c r="N436" s="403"/>
      <c r="O436" s="403"/>
      <c r="P436" s="70"/>
      <c r="Q436" s="404"/>
      <c r="R436" s="404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</row>
    <row r="437" spans="1:36" s="14" customFormat="1" hidden="1">
      <c r="A437" s="560" t="s">
        <v>871</v>
      </c>
      <c r="B437" s="111" t="s">
        <v>872</v>
      </c>
      <c r="C437" s="111"/>
      <c r="D437" s="119" t="s">
        <v>841</v>
      </c>
      <c r="E437" s="121">
        <v>1200</v>
      </c>
      <c r="F437" s="125">
        <v>46240</v>
      </c>
      <c r="G437" s="351">
        <v>46240</v>
      </c>
      <c r="H437" s="119" t="s">
        <v>19</v>
      </c>
      <c r="I437" s="70"/>
      <c r="J437" s="563"/>
      <c r="K437" s="564"/>
      <c r="L437" s="70"/>
      <c r="M437" s="113"/>
      <c r="N437" s="403"/>
      <c r="O437" s="403"/>
      <c r="P437" s="70"/>
      <c r="Q437" s="404"/>
      <c r="R437" s="404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</row>
    <row r="438" spans="1:36" s="14" customFormat="1" hidden="1">
      <c r="A438" s="560" t="s">
        <v>871</v>
      </c>
      <c r="B438" s="111" t="s">
        <v>873</v>
      </c>
      <c r="C438" s="111"/>
      <c r="D438" s="119" t="s">
        <v>841</v>
      </c>
      <c r="E438" s="121">
        <v>6000</v>
      </c>
      <c r="F438" s="125">
        <v>46275</v>
      </c>
      <c r="G438" s="125">
        <v>46276</v>
      </c>
      <c r="H438" s="119" t="s">
        <v>19</v>
      </c>
      <c r="I438" s="70"/>
      <c r="J438" s="563"/>
      <c r="K438" s="564"/>
      <c r="L438" s="70"/>
      <c r="M438" s="113"/>
      <c r="N438" s="403"/>
      <c r="O438" s="403"/>
      <c r="P438" s="70"/>
      <c r="Q438" s="404"/>
      <c r="R438" s="404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</row>
    <row r="439" spans="1:36" s="14" customFormat="1" hidden="1">
      <c r="A439" s="437" t="s">
        <v>871</v>
      </c>
      <c r="B439" s="114" t="s">
        <v>874</v>
      </c>
      <c r="C439" s="114"/>
      <c r="D439" s="119" t="s">
        <v>841</v>
      </c>
      <c r="E439" s="121">
        <v>6000</v>
      </c>
      <c r="F439" s="350">
        <v>46305</v>
      </c>
      <c r="G439" s="350">
        <v>46308</v>
      </c>
      <c r="H439" s="119" t="s">
        <v>19</v>
      </c>
      <c r="I439" s="70"/>
      <c r="J439" s="563"/>
      <c r="K439" s="564"/>
      <c r="L439" s="70"/>
      <c r="M439" s="113"/>
      <c r="N439" s="403"/>
      <c r="O439" s="403"/>
      <c r="P439" s="70"/>
      <c r="Q439" s="404"/>
      <c r="R439" s="404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</row>
    <row r="440" spans="1:36" s="14" customFormat="1" hidden="1">
      <c r="A440" s="560" t="s">
        <v>875</v>
      </c>
      <c r="B440" s="111" t="s">
        <v>876</v>
      </c>
      <c r="C440" s="111"/>
      <c r="D440" s="119"/>
      <c r="E440" s="121">
        <v>600</v>
      </c>
      <c r="F440" s="125">
        <v>46261</v>
      </c>
      <c r="G440" s="351">
        <v>46261</v>
      </c>
      <c r="H440" s="119" t="s">
        <v>19</v>
      </c>
      <c r="I440" s="70"/>
      <c r="J440" s="563"/>
      <c r="K440" s="564"/>
      <c r="L440" s="70"/>
      <c r="M440" s="113"/>
      <c r="N440" s="403"/>
      <c r="O440" s="403"/>
      <c r="P440" s="70"/>
      <c r="Q440" s="404"/>
      <c r="R440" s="404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</row>
    <row r="441" spans="1:36" s="14" customFormat="1" hidden="1">
      <c r="A441" s="560" t="s">
        <v>875</v>
      </c>
      <c r="B441" s="111" t="s">
        <v>877</v>
      </c>
      <c r="C441" s="111"/>
      <c r="D441" s="119"/>
      <c r="E441" s="121">
        <v>695</v>
      </c>
      <c r="F441" s="125">
        <v>46285</v>
      </c>
      <c r="G441" s="125">
        <v>46286</v>
      </c>
      <c r="H441" s="119" t="s">
        <v>19</v>
      </c>
      <c r="I441" s="70"/>
      <c r="J441" s="563"/>
      <c r="K441" s="564"/>
      <c r="L441" s="70"/>
      <c r="M441" s="113"/>
      <c r="N441" s="403"/>
      <c r="O441" s="403"/>
      <c r="P441" s="70"/>
      <c r="Q441" s="404"/>
      <c r="R441" s="404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</row>
    <row r="442" spans="1:36" s="14" customFormat="1" hidden="1">
      <c r="A442" s="560" t="s">
        <v>875</v>
      </c>
      <c r="B442" s="114" t="s">
        <v>878</v>
      </c>
      <c r="C442" s="114"/>
      <c r="D442" s="119"/>
      <c r="E442" s="121">
        <v>545</v>
      </c>
      <c r="F442" s="125">
        <v>46301</v>
      </c>
      <c r="G442" s="350">
        <v>46301</v>
      </c>
      <c r="H442" s="125" t="s">
        <v>19</v>
      </c>
      <c r="I442" s="70"/>
      <c r="J442" s="563"/>
      <c r="K442" s="564"/>
      <c r="L442" s="70"/>
      <c r="M442" s="113"/>
      <c r="N442" s="403"/>
      <c r="O442" s="403"/>
      <c r="P442" s="70"/>
      <c r="Q442" s="404"/>
      <c r="R442" s="404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</row>
    <row r="443" spans="1:36" s="14" customFormat="1" hidden="1">
      <c r="A443" s="560" t="s">
        <v>879</v>
      </c>
      <c r="B443" s="111" t="s">
        <v>880</v>
      </c>
      <c r="C443" s="111"/>
      <c r="D443" s="119"/>
      <c r="E443" s="121">
        <v>9000</v>
      </c>
      <c r="F443" s="125">
        <v>46261</v>
      </c>
      <c r="G443" s="351">
        <v>46261</v>
      </c>
      <c r="H443" s="119" t="s">
        <v>19</v>
      </c>
      <c r="I443" s="70"/>
      <c r="J443" s="563"/>
      <c r="K443" s="564"/>
      <c r="L443" s="70"/>
      <c r="M443" s="113"/>
      <c r="N443" s="403"/>
      <c r="O443" s="403"/>
      <c r="P443" s="70"/>
      <c r="Q443" s="404"/>
      <c r="R443" s="404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</row>
    <row r="444" spans="1:36" s="14" customFormat="1" hidden="1">
      <c r="A444" s="560" t="s">
        <v>879</v>
      </c>
      <c r="B444" s="111" t="s">
        <v>881</v>
      </c>
      <c r="C444" s="111"/>
      <c r="D444" s="119"/>
      <c r="E444" s="121">
        <v>4500</v>
      </c>
      <c r="F444" s="125">
        <v>46275</v>
      </c>
      <c r="G444" s="125">
        <v>46275</v>
      </c>
      <c r="H444" s="119" t="s">
        <v>445</v>
      </c>
      <c r="I444" s="70"/>
      <c r="J444" s="563"/>
      <c r="K444" s="564"/>
      <c r="L444" s="70"/>
      <c r="M444" s="113"/>
      <c r="N444" s="403"/>
      <c r="O444" s="403"/>
      <c r="P444" s="70"/>
      <c r="Q444" s="404"/>
      <c r="R444" s="404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</row>
    <row r="445" spans="1:36" s="14" customFormat="1" hidden="1">
      <c r="A445" s="560" t="s">
        <v>879</v>
      </c>
      <c r="B445" s="111" t="s">
        <v>882</v>
      </c>
      <c r="C445" s="111"/>
      <c r="D445" s="119"/>
      <c r="E445" s="121">
        <v>13400</v>
      </c>
      <c r="F445" s="125">
        <v>46275</v>
      </c>
      <c r="G445" s="125">
        <v>46275</v>
      </c>
      <c r="H445" s="119" t="s">
        <v>445</v>
      </c>
      <c r="I445" s="70"/>
      <c r="J445" s="563"/>
      <c r="K445" s="564"/>
      <c r="L445" s="70"/>
      <c r="M445" s="113"/>
      <c r="N445" s="403"/>
      <c r="O445" s="403"/>
      <c r="P445" s="70"/>
      <c r="Q445" s="404"/>
      <c r="R445" s="404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</row>
    <row r="446" spans="1:36" s="14" customFormat="1" hidden="1">
      <c r="A446" s="560" t="s">
        <v>879</v>
      </c>
      <c r="B446" s="111" t="s">
        <v>883</v>
      </c>
      <c r="C446" s="111"/>
      <c r="D446" s="119"/>
      <c r="E446" s="121">
        <v>6800</v>
      </c>
      <c r="F446" s="125">
        <v>46275</v>
      </c>
      <c r="G446" s="125">
        <v>46275</v>
      </c>
      <c r="H446" s="119" t="s">
        <v>445</v>
      </c>
      <c r="I446" s="70"/>
      <c r="J446" s="563"/>
      <c r="K446" s="564"/>
      <c r="L446" s="70"/>
      <c r="M446" s="113"/>
      <c r="N446" s="403"/>
      <c r="O446" s="403"/>
      <c r="P446" s="70"/>
      <c r="Q446" s="404"/>
      <c r="R446" s="404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</row>
    <row r="447" spans="1:36" s="14" customFormat="1" hidden="1">
      <c r="A447" s="560" t="s">
        <v>879</v>
      </c>
      <c r="B447" s="111" t="s">
        <v>884</v>
      </c>
      <c r="C447" s="111"/>
      <c r="D447" s="119"/>
      <c r="E447" s="121">
        <v>1500</v>
      </c>
      <c r="F447" s="125">
        <v>46275</v>
      </c>
      <c r="G447" s="125">
        <v>46275</v>
      </c>
      <c r="H447" s="119" t="s">
        <v>445</v>
      </c>
      <c r="I447" s="70"/>
      <c r="J447" s="563"/>
      <c r="K447" s="564"/>
      <c r="L447" s="70"/>
      <c r="M447" s="113"/>
      <c r="N447" s="403"/>
      <c r="O447" s="403"/>
      <c r="P447" s="70"/>
      <c r="Q447" s="404"/>
      <c r="R447" s="404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</row>
    <row r="448" spans="1:36" s="14" customFormat="1" hidden="1">
      <c r="A448" s="560" t="s">
        <v>879</v>
      </c>
      <c r="B448" s="111" t="s">
        <v>885</v>
      </c>
      <c r="C448" s="111"/>
      <c r="D448" s="119"/>
      <c r="E448" s="121">
        <v>12000</v>
      </c>
      <c r="F448" s="125">
        <v>46287</v>
      </c>
      <c r="G448" s="125">
        <v>46287</v>
      </c>
      <c r="H448" s="119" t="s">
        <v>19</v>
      </c>
      <c r="I448" s="70"/>
      <c r="J448" s="563"/>
      <c r="K448" s="564"/>
      <c r="L448" s="70"/>
      <c r="M448" s="113"/>
      <c r="N448" s="403"/>
      <c r="O448" s="403"/>
      <c r="P448" s="70"/>
      <c r="Q448" s="404"/>
      <c r="R448" s="404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</row>
    <row r="449" spans="1:36" s="14" customFormat="1" hidden="1">
      <c r="A449" s="560" t="s">
        <v>879</v>
      </c>
      <c r="B449" s="111" t="s">
        <v>886</v>
      </c>
      <c r="C449" s="111"/>
      <c r="D449" s="119"/>
      <c r="E449" s="121">
        <v>5000</v>
      </c>
      <c r="F449" s="125">
        <v>46288</v>
      </c>
      <c r="G449" s="125">
        <v>46288</v>
      </c>
      <c r="H449" s="119" t="s">
        <v>19</v>
      </c>
      <c r="I449" s="70"/>
      <c r="J449" s="563"/>
      <c r="K449" s="564"/>
      <c r="L449" s="70"/>
      <c r="M449" s="113"/>
      <c r="N449" s="403"/>
      <c r="O449" s="403"/>
      <c r="P449" s="70"/>
      <c r="Q449" s="404"/>
      <c r="R449" s="404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</row>
    <row r="450" spans="1:36" s="14" customFormat="1" hidden="1">
      <c r="A450" s="560" t="s">
        <v>879</v>
      </c>
      <c r="B450" s="111" t="s">
        <v>887</v>
      </c>
      <c r="C450" s="111"/>
      <c r="D450" s="119"/>
      <c r="E450" s="121">
        <v>34000</v>
      </c>
      <c r="F450" s="351">
        <v>46295</v>
      </c>
      <c r="G450" s="351">
        <v>46295</v>
      </c>
      <c r="H450" s="125" t="s">
        <v>19</v>
      </c>
      <c r="I450" s="70"/>
      <c r="J450" s="563"/>
      <c r="K450" s="564"/>
      <c r="L450" s="70"/>
      <c r="M450" s="113"/>
      <c r="N450" s="403"/>
      <c r="O450" s="403"/>
      <c r="P450" s="70"/>
      <c r="Q450" s="404"/>
      <c r="R450" s="404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</row>
    <row r="451" spans="1:36" s="14" customFormat="1" hidden="1">
      <c r="A451" s="560" t="s">
        <v>879</v>
      </c>
      <c r="B451" s="111" t="s">
        <v>888</v>
      </c>
      <c r="C451" s="111"/>
      <c r="D451" s="119"/>
      <c r="E451" s="121">
        <v>27317.84</v>
      </c>
      <c r="F451" s="351">
        <v>46295</v>
      </c>
      <c r="G451" s="351">
        <v>46295</v>
      </c>
      <c r="H451" s="125" t="s">
        <v>19</v>
      </c>
      <c r="I451" s="70"/>
      <c r="J451" s="563"/>
      <c r="K451" s="564"/>
      <c r="L451" s="70"/>
      <c r="M451" s="113"/>
      <c r="N451" s="403"/>
      <c r="O451" s="403"/>
      <c r="P451" s="70"/>
      <c r="Q451" s="404"/>
      <c r="R451" s="404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</row>
    <row r="452" spans="1:36" s="14" customFormat="1" hidden="1">
      <c r="A452" s="560" t="s">
        <v>879</v>
      </c>
      <c r="B452" s="111" t="s">
        <v>889</v>
      </c>
      <c r="C452" s="111"/>
      <c r="D452" s="119"/>
      <c r="E452" s="121">
        <v>25541.26</v>
      </c>
      <c r="F452" s="351">
        <v>46302</v>
      </c>
      <c r="G452" s="351">
        <v>46295</v>
      </c>
      <c r="H452" s="125" t="s">
        <v>19</v>
      </c>
      <c r="I452" s="70"/>
      <c r="J452" s="565"/>
      <c r="K452" s="566"/>
      <c r="L452" s="427"/>
      <c r="M452" s="113"/>
      <c r="N452" s="403"/>
      <c r="O452" s="403"/>
      <c r="P452" s="70"/>
      <c r="Q452" s="404"/>
      <c r="R452" s="404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</row>
    <row r="453" spans="1:36" s="14" customFormat="1" hidden="1">
      <c r="A453" s="560" t="s">
        <v>879</v>
      </c>
      <c r="B453" s="111" t="s">
        <v>890</v>
      </c>
      <c r="C453" s="111"/>
      <c r="D453" s="119"/>
      <c r="E453" s="121">
        <v>4931.8500000000004</v>
      </c>
      <c r="F453" s="351">
        <v>46295</v>
      </c>
      <c r="G453" s="351">
        <v>46295</v>
      </c>
      <c r="H453" s="125" t="s">
        <v>19</v>
      </c>
      <c r="I453" s="70"/>
      <c r="J453" s="565"/>
      <c r="K453" s="566"/>
      <c r="L453" s="70"/>
      <c r="M453" s="113"/>
      <c r="N453" s="403"/>
      <c r="O453" s="403"/>
      <c r="P453" s="70"/>
      <c r="Q453" s="404"/>
      <c r="R453" s="404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</row>
    <row r="454" spans="1:36" s="14" customFormat="1" hidden="1">
      <c r="A454" s="560" t="s">
        <v>879</v>
      </c>
      <c r="B454" s="111" t="s">
        <v>891</v>
      </c>
      <c r="C454" s="111"/>
      <c r="D454" s="119" t="s">
        <v>19</v>
      </c>
      <c r="E454" s="121">
        <v>10000</v>
      </c>
      <c r="F454" s="351">
        <v>46290</v>
      </c>
      <c r="G454" s="125">
        <v>46290</v>
      </c>
      <c r="H454" s="125" t="s">
        <v>19</v>
      </c>
      <c r="I454" s="70"/>
      <c r="J454" s="565"/>
      <c r="K454" s="566"/>
      <c r="L454" s="70"/>
      <c r="M454" s="113"/>
      <c r="N454" s="403"/>
      <c r="O454" s="403"/>
      <c r="P454" s="70"/>
      <c r="Q454" s="404"/>
      <c r="R454" s="404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</row>
    <row r="455" spans="1:36" s="14" customFormat="1" hidden="1">
      <c r="A455" s="560" t="s">
        <v>879</v>
      </c>
      <c r="B455" s="111" t="s">
        <v>891</v>
      </c>
      <c r="C455" s="111"/>
      <c r="D455" s="119" t="s">
        <v>19</v>
      </c>
      <c r="E455" s="121">
        <v>7000</v>
      </c>
      <c r="F455" s="351">
        <v>46290</v>
      </c>
      <c r="G455" s="125">
        <v>46290</v>
      </c>
      <c r="H455" s="125" t="s">
        <v>19</v>
      </c>
      <c r="I455" s="70"/>
      <c r="J455" s="565"/>
      <c r="K455" s="566"/>
      <c r="L455" s="70"/>
      <c r="M455" s="113"/>
      <c r="N455" s="403"/>
      <c r="O455" s="403"/>
      <c r="P455" s="70"/>
      <c r="Q455" s="404"/>
      <c r="R455" s="404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</row>
    <row r="456" spans="1:36" s="14" customFormat="1" hidden="1">
      <c r="A456" s="560" t="s">
        <v>879</v>
      </c>
      <c r="B456" s="114" t="s">
        <v>892</v>
      </c>
      <c r="C456" s="114"/>
      <c r="D456" s="119"/>
      <c r="E456" s="121">
        <v>1100</v>
      </c>
      <c r="F456" s="125">
        <v>46302</v>
      </c>
      <c r="G456" s="350">
        <v>46302</v>
      </c>
      <c r="H456" s="119" t="s">
        <v>19</v>
      </c>
      <c r="I456" s="70"/>
      <c r="J456" s="565"/>
      <c r="K456" s="566"/>
      <c r="L456" s="70"/>
      <c r="M456" s="113"/>
      <c r="N456" s="403"/>
      <c r="O456" s="403"/>
      <c r="P456" s="70"/>
      <c r="Q456" s="404"/>
      <c r="R456" s="404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</row>
    <row r="457" spans="1:36" s="14" customFormat="1" hidden="1">
      <c r="A457" s="560" t="s">
        <v>879</v>
      </c>
      <c r="B457" s="114" t="s">
        <v>893</v>
      </c>
      <c r="C457" s="114"/>
      <c r="D457" s="119"/>
      <c r="E457" s="121">
        <v>27500</v>
      </c>
      <c r="F457" s="125">
        <v>46309</v>
      </c>
      <c r="G457" s="125">
        <v>46309</v>
      </c>
      <c r="H457" s="119" t="s">
        <v>19</v>
      </c>
      <c r="I457" s="70"/>
      <c r="J457" s="565"/>
      <c r="K457" s="566"/>
      <c r="L457" s="70"/>
      <c r="M457" s="113"/>
      <c r="N457" s="403"/>
      <c r="O457" s="403"/>
      <c r="P457" s="70"/>
      <c r="Q457" s="404"/>
      <c r="R457" s="404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</row>
    <row r="458" spans="1:36" s="14" customFormat="1" hidden="1">
      <c r="A458" s="560" t="s">
        <v>894</v>
      </c>
      <c r="B458" s="111" t="s">
        <v>895</v>
      </c>
      <c r="C458" s="111"/>
      <c r="D458" s="119" t="s">
        <v>896</v>
      </c>
      <c r="E458" s="121">
        <v>20000</v>
      </c>
      <c r="F458" s="125">
        <v>46237</v>
      </c>
      <c r="G458" s="351">
        <v>46237</v>
      </c>
      <c r="H458" s="119" t="s">
        <v>19</v>
      </c>
      <c r="I458" s="70"/>
      <c r="J458" s="565"/>
      <c r="K458" s="566"/>
      <c r="L458" s="70"/>
      <c r="M458" s="113"/>
      <c r="N458" s="403"/>
      <c r="O458" s="403"/>
      <c r="P458" s="70"/>
      <c r="Q458" s="404"/>
      <c r="R458" s="404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</row>
    <row r="459" spans="1:36" s="14" customFormat="1" hidden="1">
      <c r="A459" s="560" t="s">
        <v>897</v>
      </c>
      <c r="B459" s="114" t="s">
        <v>898</v>
      </c>
      <c r="C459" s="114"/>
      <c r="D459" s="119"/>
      <c r="E459" s="121">
        <v>10500</v>
      </c>
      <c r="F459" s="125">
        <v>46302</v>
      </c>
      <c r="G459" s="350">
        <v>46302</v>
      </c>
      <c r="H459" s="119" t="s">
        <v>19</v>
      </c>
      <c r="I459" s="70"/>
      <c r="J459" s="565"/>
      <c r="K459" s="566"/>
      <c r="L459" s="70"/>
      <c r="M459" s="113"/>
      <c r="N459" s="403"/>
      <c r="O459" s="403"/>
      <c r="P459" s="70"/>
      <c r="Q459" s="404"/>
      <c r="R459" s="404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</row>
    <row r="460" spans="1:36" s="14" customFormat="1" hidden="1">
      <c r="A460" s="560" t="s">
        <v>897</v>
      </c>
      <c r="B460" s="114" t="s">
        <v>899</v>
      </c>
      <c r="C460" s="114"/>
      <c r="D460" s="119"/>
      <c r="E460" s="121">
        <v>395</v>
      </c>
      <c r="F460" s="125">
        <v>46302</v>
      </c>
      <c r="G460" s="350">
        <v>46302</v>
      </c>
      <c r="H460" s="119" t="s">
        <v>19</v>
      </c>
      <c r="I460" s="70"/>
      <c r="J460" s="563"/>
      <c r="K460" s="564"/>
      <c r="L460" s="70"/>
      <c r="M460" s="113"/>
      <c r="N460" s="403"/>
      <c r="O460" s="403"/>
      <c r="P460" s="70"/>
      <c r="Q460" s="404"/>
      <c r="R460" s="404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</row>
    <row r="461" spans="1:36" s="14" customFormat="1" hidden="1">
      <c r="A461" s="560" t="s">
        <v>897</v>
      </c>
      <c r="B461" s="114" t="s">
        <v>900</v>
      </c>
      <c r="C461" s="114"/>
      <c r="D461" s="119"/>
      <c r="E461" s="121">
        <v>4200</v>
      </c>
      <c r="F461" s="125" t="s">
        <v>551</v>
      </c>
      <c r="G461" s="350" t="s">
        <v>551</v>
      </c>
      <c r="H461" s="119" t="s">
        <v>19</v>
      </c>
      <c r="I461" s="70"/>
      <c r="J461" s="563"/>
      <c r="K461" s="564"/>
      <c r="L461" s="70"/>
      <c r="M461" s="113"/>
      <c r="N461" s="403"/>
      <c r="O461" s="403"/>
      <c r="P461" s="70"/>
      <c r="Q461" s="404"/>
      <c r="R461" s="404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</row>
    <row r="462" spans="1:36" s="14" customFormat="1" hidden="1">
      <c r="A462" s="560" t="s">
        <v>897</v>
      </c>
      <c r="B462" s="114" t="s">
        <v>901</v>
      </c>
      <c r="C462" s="114"/>
      <c r="D462" s="119"/>
      <c r="E462" s="121">
        <v>8800</v>
      </c>
      <c r="F462" s="125" t="s">
        <v>555</v>
      </c>
      <c r="G462" s="350" t="s">
        <v>555</v>
      </c>
      <c r="H462" s="119" t="s">
        <v>19</v>
      </c>
      <c r="I462" s="70"/>
      <c r="J462" s="563"/>
      <c r="K462" s="564"/>
      <c r="L462" s="70"/>
      <c r="M462" s="113"/>
      <c r="N462" s="403"/>
      <c r="O462" s="403"/>
      <c r="P462" s="70"/>
      <c r="Q462" s="404"/>
      <c r="R462" s="404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</row>
    <row r="463" spans="1:36" s="14" customFormat="1" hidden="1">
      <c r="A463" s="560" t="s">
        <v>902</v>
      </c>
      <c r="B463" s="111" t="s">
        <v>903</v>
      </c>
      <c r="C463" s="111"/>
      <c r="D463" s="119" t="s">
        <v>19</v>
      </c>
      <c r="E463" s="121">
        <v>102000</v>
      </c>
      <c r="F463" s="125">
        <v>46242</v>
      </c>
      <c r="G463" s="351">
        <v>46244</v>
      </c>
      <c r="H463" s="119" t="s">
        <v>19</v>
      </c>
      <c r="I463" s="70"/>
      <c r="J463" s="563"/>
      <c r="K463" s="564"/>
      <c r="L463" s="70"/>
      <c r="M463" s="113"/>
      <c r="N463" s="403"/>
      <c r="O463" s="403"/>
      <c r="P463" s="70"/>
      <c r="Q463" s="404"/>
      <c r="R463" s="404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</row>
    <row r="464" spans="1:36" s="14" customFormat="1" hidden="1">
      <c r="A464" s="560" t="s">
        <v>902</v>
      </c>
      <c r="B464" s="111" t="s">
        <v>904</v>
      </c>
      <c r="C464" s="111"/>
      <c r="D464" s="119"/>
      <c r="E464" s="121">
        <v>2</v>
      </c>
      <c r="F464" s="125">
        <v>46246</v>
      </c>
      <c r="G464" s="351">
        <v>46246</v>
      </c>
      <c r="H464" s="119" t="s">
        <v>19</v>
      </c>
      <c r="I464" s="70"/>
      <c r="J464" s="563"/>
      <c r="K464" s="564"/>
      <c r="L464" s="70"/>
      <c r="M464" s="113"/>
      <c r="N464" s="403"/>
      <c r="O464" s="403"/>
      <c r="P464" s="70"/>
      <c r="Q464" s="404"/>
      <c r="R464" s="404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</row>
    <row r="465" spans="1:36" s="14" customFormat="1" hidden="1">
      <c r="A465" s="560" t="s">
        <v>902</v>
      </c>
      <c r="B465" s="111" t="s">
        <v>904</v>
      </c>
      <c r="C465" s="111"/>
      <c r="D465" s="119"/>
      <c r="E465" s="121">
        <v>1</v>
      </c>
      <c r="F465" s="125">
        <v>46246</v>
      </c>
      <c r="G465" s="351">
        <v>46246</v>
      </c>
      <c r="H465" s="119" t="s">
        <v>19</v>
      </c>
      <c r="I465" s="70"/>
      <c r="J465" s="563"/>
      <c r="K465" s="564"/>
      <c r="L465" s="70"/>
      <c r="M465" s="113"/>
      <c r="N465" s="403"/>
      <c r="O465" s="403"/>
      <c r="P465" s="70"/>
      <c r="Q465" s="404"/>
      <c r="R465" s="404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</row>
    <row r="466" spans="1:36" s="14" customFormat="1" hidden="1">
      <c r="A466" s="560" t="s">
        <v>902</v>
      </c>
      <c r="B466" s="111" t="s">
        <v>905</v>
      </c>
      <c r="C466" s="111"/>
      <c r="D466" s="119"/>
      <c r="E466" s="121">
        <v>4500</v>
      </c>
      <c r="F466" s="125">
        <v>46245</v>
      </c>
      <c r="G466" s="351">
        <v>46255</v>
      </c>
      <c r="H466" s="119" t="s">
        <v>19</v>
      </c>
      <c r="I466" s="70"/>
      <c r="J466" s="563"/>
      <c r="K466" s="564"/>
      <c r="L466" s="70"/>
      <c r="M466" s="113"/>
      <c r="N466" s="403"/>
      <c r="O466" s="403"/>
      <c r="P466" s="70"/>
      <c r="Q466" s="404"/>
      <c r="R466" s="404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</row>
    <row r="467" spans="1:36" s="14" customFormat="1">
      <c r="A467" s="437" t="s">
        <v>902</v>
      </c>
      <c r="B467" s="114" t="s">
        <v>905</v>
      </c>
      <c r="C467" s="439"/>
      <c r="D467" s="119"/>
      <c r="E467" s="121">
        <v>4500</v>
      </c>
      <c r="F467" s="125">
        <v>46276</v>
      </c>
      <c r="G467" s="351" t="s">
        <v>366</v>
      </c>
      <c r="H467" s="119"/>
      <c r="I467" s="70"/>
      <c r="J467" s="563"/>
      <c r="K467" s="564"/>
      <c r="L467" s="70"/>
      <c r="M467" s="113"/>
      <c r="N467" s="403"/>
      <c r="O467" s="403"/>
      <c r="P467" s="70"/>
      <c r="Q467" s="404"/>
      <c r="R467" s="404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</row>
    <row r="468" spans="1:36" s="14" customFormat="1" hidden="1">
      <c r="A468" s="560" t="s">
        <v>902</v>
      </c>
      <c r="B468" s="111" t="s">
        <v>906</v>
      </c>
      <c r="C468" s="111"/>
      <c r="D468" s="119"/>
      <c r="E468" s="121">
        <v>33000</v>
      </c>
      <c r="F468" s="351">
        <v>46293</v>
      </c>
      <c r="G468" s="125">
        <v>46293</v>
      </c>
      <c r="H468" s="125" t="s">
        <v>19</v>
      </c>
      <c r="I468" s="70"/>
      <c r="J468" s="563"/>
      <c r="K468" s="564"/>
      <c r="L468" s="70"/>
      <c r="M468" s="113"/>
      <c r="N468" s="403"/>
      <c r="O468" s="403"/>
      <c r="P468" s="70"/>
      <c r="Q468" s="404"/>
      <c r="R468" s="404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</row>
    <row r="469" spans="1:36" s="14" customFormat="1">
      <c r="A469" s="437" t="s">
        <v>902</v>
      </c>
      <c r="B469" s="114" t="s">
        <v>905</v>
      </c>
      <c r="C469" s="439"/>
      <c r="D469" s="119"/>
      <c r="E469" s="121">
        <v>4500</v>
      </c>
      <c r="F469" s="125">
        <v>46306</v>
      </c>
      <c r="G469" s="125" t="s">
        <v>366</v>
      </c>
      <c r="H469" s="119"/>
      <c r="I469" s="70"/>
      <c r="J469" s="563"/>
      <c r="K469" s="564"/>
      <c r="L469" s="70"/>
      <c r="M469" s="113"/>
      <c r="N469" s="403"/>
      <c r="O469" s="403"/>
      <c r="P469" s="70"/>
      <c r="Q469" s="404"/>
      <c r="R469" s="404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</row>
    <row r="470" spans="1:36" s="14" customFormat="1" hidden="1">
      <c r="A470" s="560" t="s">
        <v>907</v>
      </c>
      <c r="B470" s="111" t="s">
        <v>908</v>
      </c>
      <c r="C470" s="111"/>
      <c r="D470" s="119"/>
      <c r="E470" s="121">
        <v>380</v>
      </c>
      <c r="F470" s="125">
        <v>46280</v>
      </c>
      <c r="G470" s="125">
        <v>46280</v>
      </c>
      <c r="H470" s="119" t="s">
        <v>19</v>
      </c>
      <c r="I470" s="70"/>
      <c r="J470" s="563"/>
      <c r="K470" s="564"/>
      <c r="L470" s="70"/>
      <c r="M470" s="113"/>
      <c r="N470" s="403"/>
      <c r="O470" s="403"/>
      <c r="P470" s="70"/>
      <c r="Q470" s="404"/>
      <c r="R470" s="404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</row>
    <row r="471" spans="1:36" s="14" customFormat="1" hidden="1">
      <c r="A471" s="560" t="s">
        <v>907</v>
      </c>
      <c r="B471" s="111" t="s">
        <v>909</v>
      </c>
      <c r="C471" s="111"/>
      <c r="D471" s="119"/>
      <c r="E471" s="121">
        <v>50</v>
      </c>
      <c r="F471" s="125">
        <v>46285</v>
      </c>
      <c r="G471" s="125">
        <v>46286</v>
      </c>
      <c r="H471" s="119" t="s">
        <v>19</v>
      </c>
      <c r="I471" s="70"/>
      <c r="J471" s="563"/>
      <c r="K471" s="564"/>
      <c r="L471" s="70"/>
      <c r="M471" s="113"/>
      <c r="N471" s="403"/>
      <c r="O471" s="403"/>
      <c r="P471" s="70"/>
      <c r="Q471" s="404"/>
      <c r="R471" s="404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</row>
    <row r="472" spans="1:36" s="14" customFormat="1" hidden="1">
      <c r="A472" s="437" t="s">
        <v>910</v>
      </c>
      <c r="B472" s="437" t="s">
        <v>911</v>
      </c>
      <c r="C472" s="437"/>
      <c r="D472" s="119"/>
      <c r="E472" s="121">
        <v>120</v>
      </c>
      <c r="F472" s="351">
        <v>46295</v>
      </c>
      <c r="G472" s="350">
        <v>46295</v>
      </c>
      <c r="H472" s="125" t="s">
        <v>19</v>
      </c>
      <c r="I472" s="70"/>
      <c r="J472" s="563"/>
      <c r="K472" s="564"/>
      <c r="L472" s="70"/>
      <c r="M472" s="113"/>
      <c r="N472" s="403"/>
      <c r="O472" s="403"/>
      <c r="P472" s="70"/>
      <c r="Q472" s="404"/>
      <c r="R472" s="404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</row>
    <row r="473" spans="1:36" s="14" customFormat="1" hidden="1">
      <c r="A473" s="560" t="s">
        <v>398</v>
      </c>
      <c r="B473" s="111" t="s">
        <v>912</v>
      </c>
      <c r="C473" s="111"/>
      <c r="D473" s="119" t="s">
        <v>439</v>
      </c>
      <c r="E473" s="121">
        <v>629.08000000000004</v>
      </c>
      <c r="F473" s="125">
        <v>46237</v>
      </c>
      <c r="G473" s="351">
        <v>46238</v>
      </c>
      <c r="H473" s="119" t="s">
        <v>19</v>
      </c>
      <c r="I473" s="70"/>
      <c r="J473" s="563"/>
      <c r="K473" s="564"/>
      <c r="L473" s="70"/>
      <c r="M473" s="113"/>
      <c r="N473" s="403"/>
      <c r="O473" s="403"/>
      <c r="P473" s="70"/>
      <c r="Q473" s="404"/>
      <c r="R473" s="404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</row>
    <row r="474" spans="1:36" s="14" customFormat="1" hidden="1">
      <c r="A474" s="560" t="s">
        <v>398</v>
      </c>
      <c r="B474" s="111" t="s">
        <v>913</v>
      </c>
      <c r="C474" s="111"/>
      <c r="D474" s="119" t="s">
        <v>355</v>
      </c>
      <c r="E474" s="121">
        <v>250</v>
      </c>
      <c r="F474" s="125">
        <v>46240</v>
      </c>
      <c r="G474" s="351">
        <v>46240</v>
      </c>
      <c r="H474" s="119" t="s">
        <v>19</v>
      </c>
      <c r="I474" s="70"/>
      <c r="J474" s="563"/>
      <c r="K474" s="564"/>
      <c r="L474" s="70"/>
      <c r="M474" s="113"/>
      <c r="N474" s="403"/>
      <c r="O474" s="403"/>
      <c r="P474" s="70"/>
      <c r="Q474" s="404"/>
      <c r="R474" s="404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</row>
    <row r="475" spans="1:36" s="14" customFormat="1" hidden="1">
      <c r="A475" s="560" t="s">
        <v>398</v>
      </c>
      <c r="B475" s="111" t="s">
        <v>914</v>
      </c>
      <c r="C475" s="111"/>
      <c r="D475" s="119" t="s">
        <v>19</v>
      </c>
      <c r="E475" s="121">
        <v>25000</v>
      </c>
      <c r="F475" s="125">
        <v>46241</v>
      </c>
      <c r="G475" s="351">
        <v>46241</v>
      </c>
      <c r="H475" s="119" t="s">
        <v>19</v>
      </c>
      <c r="I475" s="70"/>
      <c r="J475" s="563"/>
      <c r="K475" s="564"/>
      <c r="L475" s="70"/>
      <c r="M475" s="113"/>
      <c r="N475" s="403"/>
      <c r="O475" s="403"/>
      <c r="P475" s="70"/>
      <c r="Q475" s="404"/>
      <c r="R475" s="404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</row>
    <row r="476" spans="1:36" s="14" customFormat="1" hidden="1">
      <c r="A476" s="560" t="s">
        <v>398</v>
      </c>
      <c r="B476" s="111" t="s">
        <v>915</v>
      </c>
      <c r="C476" s="111"/>
      <c r="D476" s="119" t="s">
        <v>916</v>
      </c>
      <c r="E476" s="121">
        <v>6663.4</v>
      </c>
      <c r="F476" s="125">
        <v>46241</v>
      </c>
      <c r="G476" s="351">
        <v>46241</v>
      </c>
      <c r="H476" s="119" t="s">
        <v>574</v>
      </c>
      <c r="I476" s="70"/>
      <c r="J476" s="563"/>
      <c r="K476" s="564"/>
      <c r="L476" s="70"/>
      <c r="M476" s="113"/>
      <c r="N476" s="403"/>
      <c r="O476" s="403"/>
      <c r="P476" s="70"/>
      <c r="Q476" s="404"/>
      <c r="R476" s="404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</row>
    <row r="477" spans="1:36" s="14" customFormat="1" hidden="1">
      <c r="A477" s="560" t="s">
        <v>398</v>
      </c>
      <c r="B477" s="111" t="s">
        <v>917</v>
      </c>
      <c r="C477" s="111"/>
      <c r="D477" s="119" t="s">
        <v>355</v>
      </c>
      <c r="E477" s="121">
        <v>1831.25</v>
      </c>
      <c r="F477" s="125">
        <v>46241</v>
      </c>
      <c r="G477" s="351">
        <v>46241</v>
      </c>
      <c r="H477" s="119" t="s">
        <v>19</v>
      </c>
      <c r="I477" s="70"/>
      <c r="J477" s="563"/>
      <c r="K477" s="564"/>
      <c r="L477" s="70"/>
      <c r="M477" s="113"/>
      <c r="N477" s="403"/>
      <c r="O477" s="403"/>
      <c r="P477" s="70"/>
      <c r="Q477" s="404"/>
      <c r="R477" s="404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</row>
    <row r="478" spans="1:36" s="14" customFormat="1" hidden="1">
      <c r="A478" s="560" t="s">
        <v>398</v>
      </c>
      <c r="B478" s="111" t="s">
        <v>205</v>
      </c>
      <c r="C478" s="111"/>
      <c r="D478" s="119" t="s">
        <v>918</v>
      </c>
      <c r="E478" s="121">
        <v>12711.84</v>
      </c>
      <c r="F478" s="125">
        <v>46242</v>
      </c>
      <c r="G478" s="351">
        <v>46244</v>
      </c>
      <c r="H478" s="119" t="s">
        <v>19</v>
      </c>
      <c r="I478" s="70"/>
      <c r="J478" s="563"/>
      <c r="K478" s="564"/>
      <c r="L478" s="70"/>
      <c r="M478" s="113"/>
      <c r="N478" s="403"/>
      <c r="O478" s="403"/>
      <c r="P478" s="70"/>
      <c r="Q478" s="404"/>
      <c r="R478" s="404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</row>
    <row r="479" spans="1:36" s="14" customFormat="1" hidden="1">
      <c r="A479" s="560" t="s">
        <v>398</v>
      </c>
      <c r="B479" s="111" t="s">
        <v>919</v>
      </c>
      <c r="C479" s="111"/>
      <c r="D479" s="119" t="s">
        <v>920</v>
      </c>
      <c r="E479" s="121">
        <v>3065.87</v>
      </c>
      <c r="F479" s="125">
        <v>46244</v>
      </c>
      <c r="G479" s="351">
        <v>46246</v>
      </c>
      <c r="H479" s="119" t="s">
        <v>19</v>
      </c>
      <c r="I479" s="70"/>
      <c r="J479" s="563"/>
      <c r="K479" s="564"/>
      <c r="L479" s="70"/>
      <c r="M479" s="113"/>
      <c r="N479" s="403"/>
      <c r="O479" s="403"/>
      <c r="P479" s="70"/>
      <c r="Q479" s="404"/>
      <c r="R479" s="404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</row>
    <row r="480" spans="1:36" s="14" customFormat="1" hidden="1">
      <c r="A480" s="560" t="s">
        <v>398</v>
      </c>
      <c r="B480" s="111" t="s">
        <v>921</v>
      </c>
      <c r="C480" s="111"/>
      <c r="D480" s="119" t="s">
        <v>922</v>
      </c>
      <c r="E480" s="121">
        <v>1950</v>
      </c>
      <c r="F480" s="125">
        <v>46246</v>
      </c>
      <c r="G480" s="351">
        <v>46246</v>
      </c>
      <c r="H480" s="119" t="s">
        <v>19</v>
      </c>
      <c r="I480" s="70"/>
      <c r="J480" s="563"/>
      <c r="K480" s="564"/>
      <c r="L480" s="70"/>
      <c r="M480" s="113"/>
      <c r="N480" s="403"/>
      <c r="O480" s="403"/>
      <c r="P480" s="70"/>
      <c r="Q480" s="404"/>
      <c r="R480" s="404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</row>
    <row r="481" spans="1:36" s="14" customFormat="1" hidden="1">
      <c r="A481" s="560" t="s">
        <v>398</v>
      </c>
      <c r="B481" s="111" t="s">
        <v>923</v>
      </c>
      <c r="C481" s="111"/>
      <c r="D481" s="119"/>
      <c r="E481" s="121">
        <v>3359.29</v>
      </c>
      <c r="F481" s="125">
        <v>46248</v>
      </c>
      <c r="G481" s="351">
        <v>46248</v>
      </c>
      <c r="H481" s="119" t="s">
        <v>19</v>
      </c>
      <c r="I481" s="70"/>
      <c r="J481" s="563"/>
      <c r="K481" s="564"/>
      <c r="L481" s="70"/>
      <c r="M481" s="113"/>
      <c r="N481" s="403"/>
      <c r="O481" s="403"/>
      <c r="P481" s="70"/>
      <c r="Q481" s="404"/>
      <c r="R481" s="404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</row>
    <row r="482" spans="1:36" s="14" customFormat="1" hidden="1">
      <c r="A482" s="560" t="s">
        <v>398</v>
      </c>
      <c r="B482" s="111" t="s">
        <v>924</v>
      </c>
      <c r="C482" s="111"/>
      <c r="D482" s="119"/>
      <c r="E482" s="121">
        <v>676.5</v>
      </c>
      <c r="F482" s="125">
        <v>46248</v>
      </c>
      <c r="G482" s="351">
        <v>46251</v>
      </c>
      <c r="H482" s="119" t="s">
        <v>19</v>
      </c>
      <c r="I482" s="70"/>
      <c r="J482" s="532"/>
      <c r="K482" s="533"/>
      <c r="L482" s="70"/>
      <c r="M482" s="113"/>
      <c r="N482" s="403"/>
      <c r="O482" s="403"/>
      <c r="P482" s="70"/>
      <c r="Q482" s="404"/>
      <c r="R482" s="404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</row>
    <row r="483" spans="1:36" s="14" customFormat="1" hidden="1">
      <c r="A483" s="560" t="s">
        <v>398</v>
      </c>
      <c r="B483" s="111" t="s">
        <v>925</v>
      </c>
      <c r="C483" s="111"/>
      <c r="D483" s="119" t="s">
        <v>926</v>
      </c>
      <c r="E483" s="121">
        <v>14640</v>
      </c>
      <c r="F483" s="125">
        <v>46248</v>
      </c>
      <c r="G483" s="351">
        <v>46252</v>
      </c>
      <c r="H483" s="119" t="s">
        <v>445</v>
      </c>
      <c r="I483" s="70"/>
      <c r="J483" s="532"/>
      <c r="K483" s="533"/>
      <c r="L483" s="70"/>
      <c r="M483" s="113"/>
      <c r="N483" s="403"/>
      <c r="O483" s="403"/>
      <c r="P483" s="70"/>
      <c r="Q483" s="404"/>
      <c r="R483" s="404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</row>
    <row r="484" spans="1:36" s="14" customFormat="1" hidden="1">
      <c r="A484" s="560" t="s">
        <v>398</v>
      </c>
      <c r="B484" s="111" t="s">
        <v>927</v>
      </c>
      <c r="C484" s="111"/>
      <c r="D484" s="119" t="s">
        <v>928</v>
      </c>
      <c r="E484" s="121">
        <v>346</v>
      </c>
      <c r="F484" s="125">
        <v>46249</v>
      </c>
      <c r="G484" s="351">
        <v>46251</v>
      </c>
      <c r="H484" s="119" t="s">
        <v>19</v>
      </c>
      <c r="I484" s="70"/>
      <c r="J484" s="532"/>
      <c r="K484" s="533"/>
      <c r="L484" s="70"/>
      <c r="M484" s="113"/>
      <c r="N484" s="403"/>
      <c r="O484" s="403"/>
      <c r="P484" s="70"/>
      <c r="Q484" s="404"/>
      <c r="R484" s="404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</row>
    <row r="485" spans="1:36" s="14" customFormat="1" hidden="1">
      <c r="A485" s="560" t="s">
        <v>398</v>
      </c>
      <c r="B485" s="111" t="s">
        <v>929</v>
      </c>
      <c r="C485" s="111"/>
      <c r="D485" s="119"/>
      <c r="E485" s="121">
        <v>1037.5</v>
      </c>
      <c r="F485" s="125">
        <v>46249</v>
      </c>
      <c r="G485" s="351">
        <v>46251</v>
      </c>
      <c r="H485" s="119" t="s">
        <v>19</v>
      </c>
      <c r="I485" s="70"/>
      <c r="J485" s="532"/>
      <c r="K485" s="533"/>
      <c r="L485" s="70"/>
      <c r="M485" s="113"/>
      <c r="N485" s="403"/>
      <c r="O485" s="403"/>
      <c r="P485" s="70"/>
      <c r="Q485" s="404"/>
      <c r="R485" s="404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</row>
    <row r="486" spans="1:36" s="14" customFormat="1" hidden="1">
      <c r="A486" s="560" t="s">
        <v>398</v>
      </c>
      <c r="B486" s="111" t="s">
        <v>930</v>
      </c>
      <c r="C486" s="111"/>
      <c r="D486" s="119" t="s">
        <v>931</v>
      </c>
      <c r="E486" s="121">
        <v>524</v>
      </c>
      <c r="F486" s="125">
        <v>46250</v>
      </c>
      <c r="G486" s="351">
        <v>46251</v>
      </c>
      <c r="H486" s="119" t="s">
        <v>19</v>
      </c>
      <c r="I486" s="70"/>
      <c r="J486" s="532"/>
      <c r="K486" s="533"/>
      <c r="L486" s="70"/>
      <c r="M486" s="113"/>
      <c r="N486" s="403"/>
      <c r="O486" s="403"/>
      <c r="P486" s="70"/>
      <c r="Q486" s="404"/>
      <c r="R486" s="404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</row>
    <row r="487" spans="1:36" s="14" customFormat="1" hidden="1">
      <c r="A487" s="560" t="s">
        <v>398</v>
      </c>
      <c r="B487" s="111" t="s">
        <v>932</v>
      </c>
      <c r="C487" s="111"/>
      <c r="D487" s="119"/>
      <c r="E487" s="121">
        <v>90.9</v>
      </c>
      <c r="F487" s="125">
        <v>46250</v>
      </c>
      <c r="G487" s="351">
        <v>46254</v>
      </c>
      <c r="H487" s="119" t="s">
        <v>19</v>
      </c>
      <c r="I487" s="70"/>
      <c r="J487" s="532"/>
      <c r="K487" s="533"/>
      <c r="L487" s="70"/>
      <c r="M487" s="113"/>
      <c r="N487" s="403"/>
      <c r="O487" s="403"/>
      <c r="P487" s="70"/>
      <c r="Q487" s="404"/>
      <c r="R487" s="404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</row>
    <row r="488" spans="1:36" s="14" customFormat="1" hidden="1">
      <c r="A488" s="560" t="s">
        <v>398</v>
      </c>
      <c r="B488" s="111" t="s">
        <v>933</v>
      </c>
      <c r="C488" s="111"/>
      <c r="D488" s="119"/>
      <c r="E488" s="121">
        <v>492.87</v>
      </c>
      <c r="F488" s="125">
        <v>46250</v>
      </c>
      <c r="G488" s="351">
        <v>46254</v>
      </c>
      <c r="H488" s="119" t="s">
        <v>19</v>
      </c>
      <c r="I488" s="70"/>
      <c r="J488" s="532"/>
      <c r="K488" s="533"/>
      <c r="L488" s="70"/>
      <c r="M488" s="113"/>
      <c r="N488" s="403"/>
      <c r="O488" s="403"/>
      <c r="P488" s="70"/>
      <c r="Q488" s="404"/>
      <c r="R488" s="404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</row>
    <row r="489" spans="1:36" s="14" customFormat="1" hidden="1">
      <c r="A489" s="560" t="s">
        <v>398</v>
      </c>
      <c r="B489" s="111" t="s">
        <v>934</v>
      </c>
      <c r="C489" s="111"/>
      <c r="D489" s="119"/>
      <c r="E489" s="121">
        <v>492.87</v>
      </c>
      <c r="F489" s="125">
        <v>46250</v>
      </c>
      <c r="G489" s="351">
        <v>46254</v>
      </c>
      <c r="H489" s="119" t="s">
        <v>19</v>
      </c>
      <c r="I489" s="70"/>
      <c r="J489" s="532"/>
      <c r="K489" s="533"/>
      <c r="L489" s="70"/>
      <c r="M489" s="113"/>
      <c r="N489" s="403"/>
      <c r="O489" s="403"/>
      <c r="P489" s="70"/>
      <c r="Q489" s="404"/>
      <c r="R489" s="404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</row>
    <row r="490" spans="1:36" s="14" customFormat="1" hidden="1">
      <c r="A490" s="560" t="s">
        <v>398</v>
      </c>
      <c r="B490" s="111" t="s">
        <v>935</v>
      </c>
      <c r="C490" s="111"/>
      <c r="D490" s="119"/>
      <c r="E490" s="121">
        <v>358</v>
      </c>
      <c r="F490" s="125">
        <v>46251</v>
      </c>
      <c r="G490" s="351">
        <v>46251</v>
      </c>
      <c r="H490" s="119" t="s">
        <v>19</v>
      </c>
      <c r="I490" s="70"/>
      <c r="J490" s="532"/>
      <c r="K490" s="533"/>
      <c r="L490" s="70"/>
      <c r="M490" s="113"/>
      <c r="N490" s="403"/>
      <c r="O490" s="403"/>
      <c r="P490" s="70"/>
      <c r="Q490" s="404"/>
      <c r="R490" s="404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</row>
    <row r="491" spans="1:36" s="14" customFormat="1" hidden="1">
      <c r="A491" s="560" t="s">
        <v>398</v>
      </c>
      <c r="B491" s="111" t="s">
        <v>936</v>
      </c>
      <c r="C491" s="111"/>
      <c r="D491" s="119"/>
      <c r="E491" s="121">
        <v>381.16</v>
      </c>
      <c r="F491" s="125">
        <v>46251</v>
      </c>
      <c r="G491" s="351">
        <v>46254</v>
      </c>
      <c r="H491" s="119" t="s">
        <v>19</v>
      </c>
      <c r="I491" s="70"/>
      <c r="J491" s="532"/>
      <c r="K491" s="533"/>
      <c r="L491" s="70"/>
      <c r="M491" s="113"/>
      <c r="N491" s="403"/>
      <c r="O491" s="403"/>
      <c r="P491" s="70"/>
      <c r="Q491" s="404"/>
      <c r="R491" s="404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</row>
    <row r="492" spans="1:36" s="14" customFormat="1" hidden="1">
      <c r="A492" s="560" t="s">
        <v>398</v>
      </c>
      <c r="B492" s="111" t="s">
        <v>937</v>
      </c>
      <c r="C492" s="111"/>
      <c r="D492" s="119" t="s">
        <v>938</v>
      </c>
      <c r="E492" s="121">
        <v>599.5</v>
      </c>
      <c r="F492" s="125">
        <v>46251</v>
      </c>
      <c r="G492" s="351">
        <v>46251</v>
      </c>
      <c r="H492" s="119" t="s">
        <v>19</v>
      </c>
      <c r="I492" s="70"/>
      <c r="J492" s="563"/>
      <c r="K492" s="564"/>
      <c r="L492" s="70"/>
      <c r="M492" s="113"/>
      <c r="N492" s="403"/>
      <c r="O492" s="403"/>
      <c r="P492" s="70"/>
      <c r="Q492" s="404"/>
      <c r="R492" s="404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</row>
    <row r="493" spans="1:36" s="14" customFormat="1" hidden="1">
      <c r="A493" s="560" t="s">
        <v>398</v>
      </c>
      <c r="B493" s="111" t="s">
        <v>939</v>
      </c>
      <c r="C493" s="111"/>
      <c r="D493" s="119"/>
      <c r="E493" s="121">
        <v>20000</v>
      </c>
      <c r="F493" s="125">
        <v>46254</v>
      </c>
      <c r="G493" s="351">
        <v>46254</v>
      </c>
      <c r="H493" s="119" t="s">
        <v>19</v>
      </c>
      <c r="I493" s="70"/>
      <c r="J493" s="563"/>
      <c r="K493" s="564"/>
      <c r="L493" s="70"/>
      <c r="M493" s="113"/>
      <c r="N493" s="403"/>
      <c r="O493" s="403"/>
      <c r="P493" s="70"/>
      <c r="Q493" s="404"/>
      <c r="R493" s="404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</row>
    <row r="494" spans="1:36" s="14" customFormat="1" hidden="1">
      <c r="A494" s="560" t="s">
        <v>398</v>
      </c>
      <c r="B494" s="111" t="s">
        <v>940</v>
      </c>
      <c r="C494" s="111"/>
      <c r="D494" s="119"/>
      <c r="E494" s="121">
        <v>10000</v>
      </c>
      <c r="F494" s="125">
        <v>46255</v>
      </c>
      <c r="G494" s="351">
        <v>46255</v>
      </c>
      <c r="H494" s="119" t="s">
        <v>19</v>
      </c>
      <c r="I494" s="70"/>
      <c r="J494" s="563"/>
      <c r="K494" s="564"/>
      <c r="L494" s="70"/>
      <c r="M494" s="113"/>
      <c r="N494" s="403"/>
      <c r="O494" s="403"/>
      <c r="P494" s="70"/>
      <c r="Q494" s="404"/>
      <c r="R494" s="404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</row>
    <row r="495" spans="1:36" s="14" customFormat="1" hidden="1">
      <c r="A495" s="560" t="s">
        <v>398</v>
      </c>
      <c r="B495" s="111" t="s">
        <v>941</v>
      </c>
      <c r="C495" s="111"/>
      <c r="D495" s="119"/>
      <c r="E495" s="121">
        <v>94.27</v>
      </c>
      <c r="F495" s="125">
        <v>46255</v>
      </c>
      <c r="G495" s="351">
        <v>46258</v>
      </c>
      <c r="H495" s="119" t="s">
        <v>445</v>
      </c>
      <c r="I495" s="70"/>
      <c r="J495" s="563"/>
      <c r="K495" s="564"/>
      <c r="L495" s="70"/>
      <c r="M495" s="113"/>
      <c r="N495" s="403"/>
      <c r="O495" s="403"/>
      <c r="P495" s="70"/>
      <c r="Q495" s="404"/>
      <c r="R495" s="404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</row>
    <row r="496" spans="1:36" s="14" customFormat="1" hidden="1">
      <c r="A496" s="560" t="s">
        <v>398</v>
      </c>
      <c r="B496" s="111" t="s">
        <v>942</v>
      </c>
      <c r="C496" s="111"/>
      <c r="D496" s="119" t="s">
        <v>943</v>
      </c>
      <c r="E496" s="121">
        <v>1438.33</v>
      </c>
      <c r="F496" s="125">
        <v>46255</v>
      </c>
      <c r="G496" s="125">
        <v>46258</v>
      </c>
      <c r="H496" s="119" t="s">
        <v>445</v>
      </c>
      <c r="I496" s="70"/>
      <c r="J496" s="563"/>
      <c r="K496" s="564"/>
      <c r="L496" s="70"/>
      <c r="M496" s="113"/>
      <c r="N496" s="403"/>
      <c r="O496" s="403"/>
      <c r="P496" s="70"/>
      <c r="Q496" s="404"/>
      <c r="R496" s="404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</row>
    <row r="497" spans="1:36" s="14" customFormat="1" hidden="1">
      <c r="A497" s="560" t="s">
        <v>398</v>
      </c>
      <c r="B497" s="111" t="s">
        <v>207</v>
      </c>
      <c r="C497" s="111"/>
      <c r="D497" s="119" t="s">
        <v>918</v>
      </c>
      <c r="E497" s="121">
        <v>12711.84</v>
      </c>
      <c r="F497" s="125">
        <v>46257</v>
      </c>
      <c r="G497" s="351">
        <v>46258</v>
      </c>
      <c r="H497" s="119" t="s">
        <v>445</v>
      </c>
      <c r="I497" s="70"/>
      <c r="J497" s="563"/>
      <c r="K497" s="564"/>
      <c r="L497" s="70"/>
      <c r="M497" s="113"/>
      <c r="N497" s="403"/>
      <c r="O497" s="403"/>
      <c r="P497" s="70"/>
      <c r="Q497" s="404"/>
      <c r="R497" s="404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</row>
    <row r="498" spans="1:36" s="14" customFormat="1" hidden="1">
      <c r="A498" s="560" t="s">
        <v>398</v>
      </c>
      <c r="B498" s="111" t="s">
        <v>944</v>
      </c>
      <c r="C498" s="111"/>
      <c r="D498" s="119"/>
      <c r="E498" s="121">
        <v>350</v>
      </c>
      <c r="F498" s="125">
        <v>46258</v>
      </c>
      <c r="G498" s="351">
        <v>46258</v>
      </c>
      <c r="H498" s="119" t="s">
        <v>19</v>
      </c>
      <c r="I498" s="70"/>
      <c r="J498" s="563"/>
      <c r="K498" s="564"/>
      <c r="L498" s="70"/>
      <c r="M498" s="113"/>
      <c r="N498" s="403"/>
      <c r="O498" s="403"/>
      <c r="P498" s="70"/>
      <c r="Q498" s="404"/>
      <c r="R498" s="404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</row>
    <row r="499" spans="1:36" s="58" customFormat="1" ht="15" hidden="1" customHeight="1">
      <c r="A499" s="560" t="s">
        <v>398</v>
      </c>
      <c r="B499" s="111" t="s">
        <v>945</v>
      </c>
      <c r="C499" s="111"/>
      <c r="D499" s="119" t="s">
        <v>946</v>
      </c>
      <c r="E499" s="121">
        <v>560</v>
      </c>
      <c r="F499" s="125">
        <v>46259</v>
      </c>
      <c r="G499" s="351">
        <v>46262</v>
      </c>
      <c r="H499" s="119" t="s">
        <v>19</v>
      </c>
      <c r="I499" s="70"/>
      <c r="J499" s="565"/>
      <c r="K499" s="566"/>
      <c r="L499" s="427"/>
      <c r="M499" s="113"/>
      <c r="N499" s="403"/>
      <c r="O499" s="403"/>
      <c r="P499" s="70"/>
      <c r="Q499" s="404"/>
      <c r="R499" s="404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</row>
    <row r="500" spans="1:36" s="58" customFormat="1" ht="15" hidden="1" customHeight="1">
      <c r="A500" s="560" t="s">
        <v>398</v>
      </c>
      <c r="B500" s="111" t="s">
        <v>947</v>
      </c>
      <c r="C500" s="111"/>
      <c r="D500" s="119" t="s">
        <v>948</v>
      </c>
      <c r="E500" s="121">
        <v>3001.66</v>
      </c>
      <c r="F500" s="125">
        <v>46259</v>
      </c>
      <c r="G500" s="351">
        <v>46262</v>
      </c>
      <c r="H500" s="119" t="s">
        <v>19</v>
      </c>
      <c r="I500" s="70"/>
      <c r="J500" s="563"/>
      <c r="K500" s="564"/>
      <c r="L500" s="70"/>
      <c r="M500" s="113"/>
      <c r="N500" s="403"/>
      <c r="O500" s="403"/>
      <c r="P500" s="70"/>
      <c r="Q500" s="404"/>
      <c r="R500" s="404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</row>
    <row r="501" spans="1:36" s="14" customFormat="1" hidden="1">
      <c r="A501" s="560" t="s">
        <v>398</v>
      </c>
      <c r="B501" s="111" t="s">
        <v>949</v>
      </c>
      <c r="C501" s="111"/>
      <c r="D501" s="119" t="s">
        <v>916</v>
      </c>
      <c r="E501" s="121">
        <v>6663.4</v>
      </c>
      <c r="F501" s="125">
        <v>46260</v>
      </c>
      <c r="G501" s="351">
        <v>46260</v>
      </c>
      <c r="H501" s="119" t="s">
        <v>19</v>
      </c>
      <c r="I501" s="70"/>
      <c r="J501" s="563"/>
      <c r="K501" s="564"/>
      <c r="L501" s="70"/>
      <c r="M501" s="113"/>
      <c r="N501" s="403"/>
      <c r="O501" s="403"/>
      <c r="P501" s="70"/>
      <c r="Q501" s="404"/>
      <c r="R501" s="404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</row>
    <row r="502" spans="1:36" s="14" customFormat="1" hidden="1">
      <c r="A502" s="560" t="s">
        <v>398</v>
      </c>
      <c r="B502" s="111" t="s">
        <v>950</v>
      </c>
      <c r="C502" s="111"/>
      <c r="D502" s="119"/>
      <c r="E502" s="121">
        <v>10</v>
      </c>
      <c r="F502" s="125">
        <v>46260</v>
      </c>
      <c r="G502" s="351">
        <v>46260</v>
      </c>
      <c r="H502" s="119" t="s">
        <v>19</v>
      </c>
      <c r="I502" s="70"/>
      <c r="J502" s="565"/>
      <c r="K502" s="566"/>
      <c r="L502" s="427"/>
      <c r="M502" s="113"/>
      <c r="N502" s="403"/>
      <c r="O502" s="403"/>
      <c r="P502" s="70"/>
      <c r="Q502" s="404"/>
      <c r="R502" s="404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</row>
    <row r="503" spans="1:36" s="14" customFormat="1" hidden="1">
      <c r="A503" s="560" t="s">
        <v>398</v>
      </c>
      <c r="B503" s="111" t="s">
        <v>950</v>
      </c>
      <c r="C503" s="111"/>
      <c r="D503" s="119"/>
      <c r="E503" s="121">
        <v>42</v>
      </c>
      <c r="F503" s="125">
        <v>46260</v>
      </c>
      <c r="G503" s="351">
        <v>46260</v>
      </c>
      <c r="H503" s="119" t="s">
        <v>19</v>
      </c>
      <c r="I503" s="70"/>
      <c r="J503" s="565"/>
      <c r="K503" s="566"/>
      <c r="L503" s="427"/>
      <c r="M503" s="113"/>
      <c r="N503" s="403"/>
      <c r="O503" s="403"/>
      <c r="P503" s="70"/>
      <c r="Q503" s="404"/>
      <c r="R503" s="404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</row>
    <row r="504" spans="1:36" s="14" customFormat="1" hidden="1">
      <c r="A504" s="560" t="s">
        <v>398</v>
      </c>
      <c r="B504" s="111" t="s">
        <v>951</v>
      </c>
      <c r="C504" s="111"/>
      <c r="D504" s="119"/>
      <c r="E504" s="121">
        <v>16</v>
      </c>
      <c r="F504" s="125">
        <v>46261</v>
      </c>
      <c r="G504" s="351">
        <v>46261</v>
      </c>
      <c r="H504" s="119" t="s">
        <v>19</v>
      </c>
      <c r="I504" s="70"/>
      <c r="J504" s="565"/>
      <c r="K504" s="566"/>
      <c r="L504" s="427"/>
      <c r="M504" s="113"/>
      <c r="N504" s="403"/>
      <c r="O504" s="403"/>
      <c r="P504" s="70"/>
      <c r="Q504" s="404"/>
      <c r="R504" s="404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</row>
    <row r="505" spans="1:36" s="14" customFormat="1" hidden="1">
      <c r="A505" s="560" t="s">
        <v>398</v>
      </c>
      <c r="B505" s="111" t="s">
        <v>952</v>
      </c>
      <c r="C505" s="111"/>
      <c r="D505" s="119"/>
      <c r="E505" s="121">
        <v>30</v>
      </c>
      <c r="F505" s="125">
        <v>46261</v>
      </c>
      <c r="G505" s="351">
        <v>46261</v>
      </c>
      <c r="H505" s="119" t="s">
        <v>19</v>
      </c>
      <c r="I505" s="70"/>
      <c r="J505" s="563"/>
      <c r="K505" s="564"/>
      <c r="L505" s="70"/>
      <c r="M505" s="113"/>
      <c r="N505" s="403"/>
      <c r="O505" s="403"/>
      <c r="P505" s="70"/>
      <c r="Q505" s="404"/>
      <c r="R505" s="404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</row>
    <row r="506" spans="1:36" s="14" customFormat="1" hidden="1">
      <c r="A506" s="560" t="s">
        <v>398</v>
      </c>
      <c r="B506" s="111" t="s">
        <v>953</v>
      </c>
      <c r="C506" s="111"/>
      <c r="D506" s="119" t="s">
        <v>926</v>
      </c>
      <c r="E506" s="121">
        <v>14640</v>
      </c>
      <c r="F506" s="125">
        <v>46263</v>
      </c>
      <c r="G506" s="351">
        <v>46265</v>
      </c>
      <c r="H506" s="119" t="s">
        <v>19</v>
      </c>
      <c r="I506" s="70"/>
      <c r="J506" s="563"/>
      <c r="K506" s="564"/>
      <c r="L506" s="70"/>
      <c r="M506" s="113"/>
      <c r="N506" s="403"/>
      <c r="O506" s="403"/>
      <c r="P506" s="70"/>
      <c r="Q506" s="404"/>
      <c r="R506" s="404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</row>
    <row r="507" spans="1:36" s="14" customFormat="1" hidden="1">
      <c r="A507" s="560" t="s">
        <v>398</v>
      </c>
      <c r="B507" s="114" t="s">
        <v>954</v>
      </c>
      <c r="C507" s="114"/>
      <c r="D507" s="135"/>
      <c r="E507" s="121">
        <v>3359.29</v>
      </c>
      <c r="F507" s="350">
        <v>46263</v>
      </c>
      <c r="G507" s="351">
        <v>46295</v>
      </c>
      <c r="H507" s="125" t="s">
        <v>19</v>
      </c>
      <c r="I507" s="70"/>
      <c r="J507" s="565"/>
      <c r="K507" s="566"/>
      <c r="L507" s="427"/>
      <c r="M507" s="113"/>
      <c r="N507" s="403"/>
      <c r="O507" s="403"/>
      <c r="P507" s="70"/>
      <c r="Q507" s="404"/>
      <c r="R507" s="404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</row>
    <row r="508" spans="1:36" s="14" customFormat="1" hidden="1">
      <c r="A508" s="560" t="s">
        <v>398</v>
      </c>
      <c r="B508" s="111" t="s">
        <v>955</v>
      </c>
      <c r="C508" s="111"/>
      <c r="D508" s="119"/>
      <c r="E508" s="121">
        <v>100</v>
      </c>
      <c r="F508" s="125">
        <v>46265</v>
      </c>
      <c r="G508" s="351">
        <v>46265</v>
      </c>
      <c r="H508" s="119" t="s">
        <v>19</v>
      </c>
      <c r="I508" s="70"/>
      <c r="J508" s="565"/>
      <c r="K508" s="566"/>
      <c r="L508" s="427"/>
      <c r="M508" s="113"/>
      <c r="N508" s="403"/>
      <c r="O508" s="403"/>
      <c r="P508" s="70"/>
      <c r="Q508" s="404"/>
      <c r="R508" s="404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</row>
    <row r="509" spans="1:36" s="14" customFormat="1" hidden="1">
      <c r="A509" s="560" t="s">
        <v>398</v>
      </c>
      <c r="B509" s="111" t="s">
        <v>956</v>
      </c>
      <c r="C509" s="111"/>
      <c r="D509" s="119"/>
      <c r="E509" s="121">
        <v>4394</v>
      </c>
      <c r="F509" s="125">
        <v>46265</v>
      </c>
      <c r="G509" s="125">
        <v>46274</v>
      </c>
      <c r="H509" s="119" t="s">
        <v>19</v>
      </c>
      <c r="I509" s="70"/>
      <c r="J509" s="565"/>
      <c r="K509" s="566"/>
      <c r="L509" s="427"/>
      <c r="M509" s="113"/>
      <c r="N509" s="403"/>
      <c r="O509" s="403"/>
      <c r="P509" s="70"/>
      <c r="Q509" s="404"/>
      <c r="R509" s="404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</row>
    <row r="510" spans="1:36" s="14" customFormat="1" hidden="1">
      <c r="A510" s="560" t="s">
        <v>398</v>
      </c>
      <c r="B510" s="111" t="s">
        <v>957</v>
      </c>
      <c r="C510" s="111"/>
      <c r="D510" s="119"/>
      <c r="E510" s="121">
        <v>4473.5</v>
      </c>
      <c r="F510" s="125">
        <v>46266</v>
      </c>
      <c r="G510" s="125">
        <v>46268</v>
      </c>
      <c r="H510" s="119" t="s">
        <v>19</v>
      </c>
      <c r="I510" s="70"/>
      <c r="J510" s="565"/>
      <c r="K510" s="566"/>
      <c r="L510" s="427"/>
      <c r="M510" s="113"/>
      <c r="N510" s="403"/>
      <c r="O510" s="403"/>
      <c r="P510" s="70"/>
      <c r="Q510" s="404"/>
      <c r="R510" s="404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</row>
    <row r="511" spans="1:36" s="14" customFormat="1" hidden="1">
      <c r="A511" s="560" t="s">
        <v>398</v>
      </c>
      <c r="B511" s="111" t="s">
        <v>958</v>
      </c>
      <c r="C511" s="111"/>
      <c r="D511" s="119" t="s">
        <v>959</v>
      </c>
      <c r="E511" s="121">
        <v>320</v>
      </c>
      <c r="F511" s="125">
        <v>46266</v>
      </c>
      <c r="G511" s="125">
        <v>46288</v>
      </c>
      <c r="H511" s="119" t="s">
        <v>19</v>
      </c>
      <c r="I511" s="70"/>
      <c r="J511" s="565"/>
      <c r="K511" s="566"/>
      <c r="L511" s="427"/>
      <c r="M511" s="113"/>
      <c r="N511" s="403"/>
      <c r="O511" s="403"/>
      <c r="P511" s="70"/>
      <c r="Q511" s="404"/>
      <c r="R511" s="404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</row>
    <row r="512" spans="1:36" s="14" customFormat="1" hidden="1">
      <c r="A512" s="560" t="s">
        <v>398</v>
      </c>
      <c r="B512" s="111" t="s">
        <v>406</v>
      </c>
      <c r="C512" s="111"/>
      <c r="D512" s="119"/>
      <c r="E512" s="121">
        <v>4473.33</v>
      </c>
      <c r="F512" s="125">
        <v>46266</v>
      </c>
      <c r="G512" s="125">
        <v>46266</v>
      </c>
      <c r="H512" s="119" t="s">
        <v>481</v>
      </c>
      <c r="I512" s="70"/>
      <c r="J512" s="565"/>
      <c r="K512" s="566"/>
      <c r="L512" s="427"/>
      <c r="M512" s="113"/>
      <c r="N512" s="403"/>
      <c r="O512" s="403"/>
      <c r="P512" s="70"/>
      <c r="Q512" s="404"/>
      <c r="R512" s="404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</row>
    <row r="513" spans="1:36" s="14" customFormat="1" hidden="1">
      <c r="A513" s="560" t="s">
        <v>398</v>
      </c>
      <c r="B513" s="114" t="s">
        <v>960</v>
      </c>
      <c r="C513" s="114"/>
      <c r="D513" s="135"/>
      <c r="E513" s="121">
        <v>3359.29</v>
      </c>
      <c r="F513" s="350">
        <v>46266</v>
      </c>
      <c r="G513" s="351">
        <v>46295</v>
      </c>
      <c r="H513" s="125" t="s">
        <v>19</v>
      </c>
      <c r="I513" s="70"/>
      <c r="J513" s="565"/>
      <c r="K513" s="566"/>
      <c r="L513" s="427"/>
      <c r="M513" s="113"/>
      <c r="N513" s="403"/>
      <c r="O513" s="403"/>
      <c r="P513" s="70"/>
      <c r="Q513" s="404"/>
      <c r="R513" s="404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</row>
    <row r="514" spans="1:36" s="14" customFormat="1" hidden="1">
      <c r="A514" s="560" t="s">
        <v>398</v>
      </c>
      <c r="B514" s="114" t="s">
        <v>961</v>
      </c>
      <c r="C514" s="114"/>
      <c r="D514" s="135" t="s">
        <v>962</v>
      </c>
      <c r="E514" s="121">
        <v>1833.33</v>
      </c>
      <c r="F514" s="350">
        <v>46267</v>
      </c>
      <c r="G514" s="125">
        <v>46295</v>
      </c>
      <c r="H514" s="125" t="s">
        <v>19</v>
      </c>
      <c r="I514" s="70"/>
      <c r="J514" s="565"/>
      <c r="K514" s="566"/>
      <c r="L514" s="427"/>
      <c r="M514" s="113"/>
      <c r="N514" s="403"/>
      <c r="O514" s="403"/>
      <c r="P514" s="70"/>
      <c r="Q514" s="404"/>
      <c r="R514" s="404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</row>
    <row r="515" spans="1:36" s="14" customFormat="1" hidden="1">
      <c r="A515" s="560" t="s">
        <v>398</v>
      </c>
      <c r="B515" s="111" t="s">
        <v>963</v>
      </c>
      <c r="C515" s="111"/>
      <c r="D515" s="119" t="s">
        <v>964</v>
      </c>
      <c r="E515" s="121">
        <v>447</v>
      </c>
      <c r="F515" s="125">
        <v>46269</v>
      </c>
      <c r="G515" s="125">
        <v>46288</v>
      </c>
      <c r="H515" s="119" t="s">
        <v>19</v>
      </c>
      <c r="I515" s="70"/>
      <c r="J515" s="565"/>
      <c r="K515" s="566"/>
      <c r="L515" s="427"/>
      <c r="M515" s="113"/>
      <c r="N515" s="403"/>
      <c r="O515" s="403"/>
      <c r="P515" s="70"/>
      <c r="Q515" s="404"/>
      <c r="R515" s="404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</row>
    <row r="516" spans="1:36" s="14" customFormat="1">
      <c r="A516" s="437" t="s">
        <v>398</v>
      </c>
      <c r="B516" s="114" t="s">
        <v>965</v>
      </c>
      <c r="C516" s="439"/>
      <c r="D516" s="119" t="s">
        <v>439</v>
      </c>
      <c r="E516" s="121">
        <v>629.08000000000004</v>
      </c>
      <c r="F516" s="125">
        <v>46268</v>
      </c>
      <c r="G516" s="351" t="s">
        <v>366</v>
      </c>
      <c r="H516" s="119"/>
      <c r="I516" s="70"/>
      <c r="J516" s="565"/>
      <c r="K516" s="566"/>
      <c r="L516" s="427"/>
      <c r="M516" s="113"/>
      <c r="N516" s="403"/>
      <c r="O516" s="403"/>
      <c r="P516" s="70"/>
      <c r="Q516" s="404"/>
      <c r="R516" s="404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</row>
    <row r="517" spans="1:36" s="14" customFormat="1" hidden="1">
      <c r="A517" s="560" t="s">
        <v>398</v>
      </c>
      <c r="B517" s="111" t="s">
        <v>208</v>
      </c>
      <c r="C517" s="111"/>
      <c r="D517" s="119" t="s">
        <v>918</v>
      </c>
      <c r="E517" s="121">
        <v>12711.84</v>
      </c>
      <c r="F517" s="125">
        <v>46272</v>
      </c>
      <c r="G517" s="125">
        <v>46274</v>
      </c>
      <c r="H517" s="119" t="s">
        <v>19</v>
      </c>
      <c r="I517" s="70"/>
      <c r="J517" s="558"/>
      <c r="K517" s="559"/>
      <c r="L517" s="427"/>
      <c r="M517" s="113"/>
      <c r="N517" s="403"/>
      <c r="O517" s="403"/>
      <c r="P517" s="70"/>
      <c r="Q517" s="404"/>
      <c r="R517" s="404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</row>
    <row r="518" spans="1:36" s="14" customFormat="1" hidden="1">
      <c r="A518" s="560" t="s">
        <v>398</v>
      </c>
      <c r="B518" s="111" t="s">
        <v>966</v>
      </c>
      <c r="C518" s="111"/>
      <c r="D518" s="119" t="s">
        <v>967</v>
      </c>
      <c r="E518" s="121">
        <v>333</v>
      </c>
      <c r="F518" s="125">
        <v>46272</v>
      </c>
      <c r="G518" s="125">
        <v>46288</v>
      </c>
      <c r="H518" s="119" t="s">
        <v>19</v>
      </c>
      <c r="I518" s="70"/>
      <c r="J518" s="565"/>
      <c r="K518" s="566"/>
      <c r="L518" s="427"/>
      <c r="M518" s="113"/>
      <c r="N518" s="403"/>
      <c r="O518" s="403"/>
      <c r="P518" s="70"/>
      <c r="Q518" s="404"/>
      <c r="R518" s="404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</row>
    <row r="519" spans="1:36" s="14" customFormat="1" hidden="1">
      <c r="A519" s="560" t="s">
        <v>398</v>
      </c>
      <c r="B519" s="111" t="s">
        <v>968</v>
      </c>
      <c r="C519" s="111"/>
      <c r="D519" s="119" t="s">
        <v>969</v>
      </c>
      <c r="E519" s="121">
        <v>465</v>
      </c>
      <c r="F519" s="125">
        <v>46272</v>
      </c>
      <c r="G519" s="125">
        <v>46288</v>
      </c>
      <c r="H519" s="119" t="s">
        <v>19</v>
      </c>
      <c r="I519" s="70"/>
      <c r="J519" s="565"/>
      <c r="K519" s="566"/>
      <c r="L519" s="427"/>
      <c r="M519" s="113"/>
      <c r="N519" s="403"/>
      <c r="O519" s="403"/>
      <c r="P519" s="70"/>
      <c r="Q519" s="404"/>
      <c r="R519" s="404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</row>
    <row r="520" spans="1:36" s="14" customFormat="1" hidden="1">
      <c r="A520" s="560" t="s">
        <v>398</v>
      </c>
      <c r="B520" s="111" t="s">
        <v>970</v>
      </c>
      <c r="C520" s="111"/>
      <c r="D520" s="119" t="s">
        <v>408</v>
      </c>
      <c r="E520" s="121">
        <v>1020</v>
      </c>
      <c r="F520" s="125">
        <v>46272</v>
      </c>
      <c r="G520" s="125">
        <v>46288</v>
      </c>
      <c r="H520" s="119" t="s">
        <v>19</v>
      </c>
      <c r="I520" s="70"/>
      <c r="J520" s="563"/>
      <c r="K520" s="564"/>
      <c r="L520" s="70"/>
      <c r="M520" s="113"/>
      <c r="N520" s="403"/>
      <c r="O520" s="403"/>
      <c r="P520" s="70"/>
      <c r="Q520" s="404"/>
      <c r="R520" s="404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</row>
    <row r="521" spans="1:36" s="14" customFormat="1" hidden="1">
      <c r="A521" s="560" t="s">
        <v>398</v>
      </c>
      <c r="B521" s="114" t="s">
        <v>971</v>
      </c>
      <c r="C521" s="114"/>
      <c r="D521" s="135" t="s">
        <v>426</v>
      </c>
      <c r="E521" s="121">
        <v>1438.33</v>
      </c>
      <c r="F521" s="125">
        <v>46272</v>
      </c>
      <c r="G521" s="125">
        <v>46293</v>
      </c>
      <c r="H521" s="125" t="s">
        <v>19</v>
      </c>
      <c r="I521" s="70"/>
      <c r="J521" s="563"/>
      <c r="K521" s="564"/>
      <c r="L521" s="70"/>
      <c r="M521" s="113"/>
      <c r="N521" s="403"/>
      <c r="O521" s="403"/>
      <c r="P521" s="70"/>
      <c r="Q521" s="404"/>
      <c r="R521" s="404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</row>
    <row r="522" spans="1:36" s="14" customFormat="1" hidden="1">
      <c r="A522" s="560" t="s">
        <v>398</v>
      </c>
      <c r="B522" s="111" t="s">
        <v>972</v>
      </c>
      <c r="C522" s="111"/>
      <c r="D522" s="119" t="s">
        <v>973</v>
      </c>
      <c r="E522" s="121">
        <v>1762.09</v>
      </c>
      <c r="F522" s="125">
        <v>46275</v>
      </c>
      <c r="G522" s="351">
        <v>46289</v>
      </c>
      <c r="H522" s="119" t="s">
        <v>19</v>
      </c>
      <c r="I522" s="70"/>
      <c r="J522" s="563"/>
      <c r="K522" s="564"/>
      <c r="L522" s="70"/>
      <c r="M522" s="113"/>
      <c r="N522" s="403"/>
      <c r="O522" s="403"/>
      <c r="P522" s="70"/>
      <c r="Q522" s="404"/>
      <c r="R522" s="404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</row>
    <row r="523" spans="1:36" s="14" customFormat="1" hidden="1">
      <c r="A523" s="560" t="s">
        <v>398</v>
      </c>
      <c r="B523" s="114" t="s">
        <v>974</v>
      </c>
      <c r="C523" s="114"/>
      <c r="D523" s="135" t="s">
        <v>410</v>
      </c>
      <c r="E523" s="121">
        <v>1134.75</v>
      </c>
      <c r="F523" s="350">
        <v>46272</v>
      </c>
      <c r="G523" s="125">
        <v>46295</v>
      </c>
      <c r="H523" s="125" t="s">
        <v>19</v>
      </c>
      <c r="I523" s="70"/>
      <c r="J523" s="563"/>
      <c r="K523" s="564"/>
      <c r="L523" s="70"/>
      <c r="M523" s="113"/>
      <c r="N523" s="403"/>
      <c r="O523" s="403"/>
      <c r="P523" s="70"/>
      <c r="Q523" s="404"/>
      <c r="R523" s="404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</row>
    <row r="524" spans="1:36" s="14" customFormat="1" hidden="1">
      <c r="A524" s="560" t="s">
        <v>398</v>
      </c>
      <c r="B524" s="111" t="s">
        <v>975</v>
      </c>
      <c r="C524" s="111"/>
      <c r="D524" s="119"/>
      <c r="E524" s="121">
        <v>1600</v>
      </c>
      <c r="F524" s="125">
        <v>46276</v>
      </c>
      <c r="G524" s="125">
        <v>46276</v>
      </c>
      <c r="H524" s="119" t="s">
        <v>457</v>
      </c>
      <c r="I524" s="70"/>
      <c r="J524" s="563"/>
      <c r="K524" s="564"/>
      <c r="L524" s="70"/>
      <c r="M524" s="113"/>
      <c r="N524" s="403"/>
      <c r="O524" s="403"/>
      <c r="P524" s="70"/>
      <c r="Q524" s="404"/>
      <c r="R524" s="404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</row>
    <row r="525" spans="1:36" s="14" customFormat="1">
      <c r="A525" s="437" t="s">
        <v>398</v>
      </c>
      <c r="B525" s="114" t="s">
        <v>976</v>
      </c>
      <c r="C525" s="439"/>
      <c r="D525" s="119" t="s">
        <v>922</v>
      </c>
      <c r="E525" s="121">
        <v>1950</v>
      </c>
      <c r="F525" s="125">
        <v>46276</v>
      </c>
      <c r="G525" s="351" t="s">
        <v>366</v>
      </c>
      <c r="H525" s="119"/>
      <c r="I525" s="70"/>
      <c r="J525" s="563"/>
      <c r="K525" s="564"/>
      <c r="L525" s="70"/>
      <c r="M525" s="113"/>
      <c r="N525" s="403"/>
      <c r="O525" s="403"/>
      <c r="P525" s="70"/>
      <c r="Q525" s="404"/>
      <c r="R525" s="404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</row>
    <row r="526" spans="1:36" s="14" customFormat="1">
      <c r="A526" s="437" t="s">
        <v>398</v>
      </c>
      <c r="B526" s="114" t="s">
        <v>977</v>
      </c>
      <c r="C526" s="439"/>
      <c r="D526" s="119" t="s">
        <v>922</v>
      </c>
      <c r="E526" s="121">
        <v>1950</v>
      </c>
      <c r="F526" s="125">
        <v>46278</v>
      </c>
      <c r="G526" s="351" t="s">
        <v>366</v>
      </c>
      <c r="H526" s="119"/>
      <c r="I526" s="70"/>
      <c r="J526" s="563"/>
      <c r="K526" s="564"/>
      <c r="L526" s="70"/>
      <c r="M526" s="113"/>
      <c r="N526" s="403"/>
      <c r="O526" s="403"/>
      <c r="P526" s="70"/>
      <c r="Q526" s="404"/>
      <c r="R526" s="404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</row>
    <row r="527" spans="1:36" s="14" customFormat="1" hidden="1">
      <c r="A527" s="560" t="s">
        <v>398</v>
      </c>
      <c r="B527" s="111" t="s">
        <v>978</v>
      </c>
      <c r="C527" s="111"/>
      <c r="D527" s="119" t="s">
        <v>973</v>
      </c>
      <c r="E527" s="121">
        <v>708.98</v>
      </c>
      <c r="F527" s="125">
        <v>46277</v>
      </c>
      <c r="G527" s="125">
        <v>46288</v>
      </c>
      <c r="H527" s="119" t="s">
        <v>19</v>
      </c>
      <c r="I527" s="70"/>
      <c r="J527" s="563"/>
      <c r="K527" s="564"/>
      <c r="L527" s="70"/>
      <c r="M527" s="113"/>
      <c r="N527" s="403"/>
      <c r="O527" s="403"/>
      <c r="P527" s="70"/>
      <c r="Q527" s="404"/>
      <c r="R527" s="404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</row>
    <row r="528" spans="1:36" s="14" customFormat="1" hidden="1">
      <c r="A528" s="560" t="s">
        <v>398</v>
      </c>
      <c r="B528" s="111" t="s">
        <v>979</v>
      </c>
      <c r="C528" s="111"/>
      <c r="D528" s="119" t="s">
        <v>926</v>
      </c>
      <c r="E528" s="121">
        <v>14640</v>
      </c>
      <c r="F528" s="125">
        <v>46278</v>
      </c>
      <c r="G528" s="125">
        <v>46283</v>
      </c>
      <c r="H528" s="119" t="s">
        <v>481</v>
      </c>
      <c r="I528" s="70"/>
      <c r="J528" s="532"/>
      <c r="K528" s="533"/>
      <c r="L528" s="70"/>
      <c r="M528" s="113"/>
      <c r="N528" s="403"/>
      <c r="O528" s="403"/>
      <c r="P528" s="70"/>
      <c r="Q528" s="404"/>
      <c r="R528" s="404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</row>
    <row r="529" spans="1:36" s="14" customFormat="1" hidden="1">
      <c r="A529" s="560" t="s">
        <v>398</v>
      </c>
      <c r="B529" s="114" t="s">
        <v>980</v>
      </c>
      <c r="C529" s="114"/>
      <c r="D529" s="135"/>
      <c r="E529" s="121">
        <v>3613.59</v>
      </c>
      <c r="F529" s="350">
        <v>46279</v>
      </c>
      <c r="G529" s="351">
        <v>46295</v>
      </c>
      <c r="H529" s="125" t="s">
        <v>19</v>
      </c>
      <c r="I529" s="70"/>
      <c r="J529" s="563"/>
      <c r="K529" s="564"/>
      <c r="L529" s="70"/>
      <c r="M529" s="113"/>
      <c r="N529" s="403"/>
      <c r="O529" s="403"/>
      <c r="P529" s="70"/>
      <c r="Q529" s="404"/>
      <c r="R529" s="404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</row>
    <row r="530" spans="1:36" s="14" customFormat="1" hidden="1">
      <c r="A530" s="560" t="s">
        <v>398</v>
      </c>
      <c r="B530" s="114" t="s">
        <v>981</v>
      </c>
      <c r="C530" s="114"/>
      <c r="D530" s="119" t="s">
        <v>973</v>
      </c>
      <c r="E530" s="121">
        <v>393.76</v>
      </c>
      <c r="F530" s="125">
        <v>46280</v>
      </c>
      <c r="G530" s="351">
        <v>46293</v>
      </c>
      <c r="H530" s="125" t="s">
        <v>19</v>
      </c>
      <c r="I530" s="70"/>
      <c r="J530" s="563"/>
      <c r="K530" s="564"/>
      <c r="L530" s="70"/>
      <c r="M530" s="113"/>
      <c r="N530" s="403"/>
      <c r="O530" s="403"/>
      <c r="P530" s="70"/>
      <c r="Q530" s="404"/>
      <c r="R530" s="404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</row>
    <row r="531" spans="1:36" s="14" customFormat="1" hidden="1">
      <c r="A531" s="560" t="s">
        <v>398</v>
      </c>
      <c r="B531" s="114" t="s">
        <v>982</v>
      </c>
      <c r="C531" s="114"/>
      <c r="D531" s="135"/>
      <c r="E531" s="121">
        <v>1073.72</v>
      </c>
      <c r="F531" s="350">
        <v>46280</v>
      </c>
      <c r="G531" s="125">
        <v>46295</v>
      </c>
      <c r="H531" s="125" t="s">
        <v>19</v>
      </c>
      <c r="I531" s="70"/>
      <c r="J531" s="563"/>
      <c r="K531" s="564"/>
      <c r="L531" s="70"/>
      <c r="M531" s="113"/>
      <c r="N531" s="403"/>
      <c r="O531" s="403"/>
      <c r="P531" s="70"/>
      <c r="Q531" s="404"/>
      <c r="R531" s="404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</row>
    <row r="532" spans="1:36" s="14" customFormat="1" hidden="1">
      <c r="A532" s="560" t="s">
        <v>398</v>
      </c>
      <c r="B532" s="114" t="s">
        <v>983</v>
      </c>
      <c r="C532" s="114"/>
      <c r="D532" s="135" t="s">
        <v>938</v>
      </c>
      <c r="E532" s="121">
        <v>599.5</v>
      </c>
      <c r="F532" s="350">
        <v>46282</v>
      </c>
      <c r="G532" s="125">
        <v>46295</v>
      </c>
      <c r="H532" s="125" t="s">
        <v>19</v>
      </c>
      <c r="I532" s="70"/>
      <c r="J532" s="563"/>
      <c r="K532" s="564"/>
      <c r="L532" s="70"/>
      <c r="M532" s="113"/>
      <c r="N532" s="403"/>
      <c r="O532" s="403"/>
      <c r="P532" s="70"/>
      <c r="Q532" s="404"/>
      <c r="R532" s="404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</row>
    <row r="533" spans="1:36" s="14" customFormat="1" hidden="1">
      <c r="A533" s="560" t="s">
        <v>398</v>
      </c>
      <c r="B533" s="111" t="s">
        <v>984</v>
      </c>
      <c r="C533" s="111"/>
      <c r="D533" s="119" t="s">
        <v>973</v>
      </c>
      <c r="E533" s="121">
        <v>705.71</v>
      </c>
      <c r="F533" s="125">
        <v>46284</v>
      </c>
      <c r="G533" s="125">
        <v>46288</v>
      </c>
      <c r="H533" s="119" t="s">
        <v>19</v>
      </c>
      <c r="I533" s="70"/>
      <c r="J533" s="532"/>
      <c r="K533" s="533"/>
      <c r="L533" s="70"/>
      <c r="M533" s="113"/>
      <c r="N533" s="403"/>
      <c r="O533" s="403"/>
      <c r="P533" s="70"/>
      <c r="Q533" s="404"/>
      <c r="R533" s="404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</row>
    <row r="534" spans="1:36" s="14" customFormat="1" hidden="1">
      <c r="A534" s="560" t="s">
        <v>398</v>
      </c>
      <c r="B534" s="114" t="s">
        <v>985</v>
      </c>
      <c r="C534" s="114"/>
      <c r="D534" s="135"/>
      <c r="E534" s="121">
        <v>502.65</v>
      </c>
      <c r="F534" s="350">
        <v>46286</v>
      </c>
      <c r="G534" s="125">
        <v>46295</v>
      </c>
      <c r="H534" s="125" t="s">
        <v>19</v>
      </c>
      <c r="I534" s="70"/>
      <c r="J534" s="563"/>
      <c r="K534" s="564"/>
      <c r="L534" s="70"/>
      <c r="M534" s="113"/>
      <c r="N534" s="403"/>
      <c r="O534" s="403"/>
      <c r="P534" s="70"/>
      <c r="Q534" s="404"/>
      <c r="R534" s="404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</row>
    <row r="535" spans="1:36" s="14" customFormat="1" hidden="1">
      <c r="A535" s="560" t="s">
        <v>398</v>
      </c>
      <c r="B535" s="114" t="s">
        <v>986</v>
      </c>
      <c r="C535" s="114"/>
      <c r="D535" s="135"/>
      <c r="E535" s="121">
        <v>502.65</v>
      </c>
      <c r="F535" s="350">
        <v>46286</v>
      </c>
      <c r="G535" s="125">
        <v>46295</v>
      </c>
      <c r="H535" s="125" t="s">
        <v>19</v>
      </c>
      <c r="I535" s="70"/>
      <c r="J535" s="563"/>
      <c r="K535" s="564"/>
      <c r="L535" s="70"/>
      <c r="M535" s="113"/>
      <c r="N535" s="403"/>
      <c r="O535" s="403"/>
      <c r="P535" s="70"/>
      <c r="Q535" s="404"/>
      <c r="R535" s="404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</row>
    <row r="536" spans="1:36" s="14" customFormat="1" hidden="1">
      <c r="A536" s="560" t="s">
        <v>398</v>
      </c>
      <c r="B536" s="114" t="s">
        <v>987</v>
      </c>
      <c r="C536" s="114"/>
      <c r="D536" s="135"/>
      <c r="E536" s="121">
        <v>245.89</v>
      </c>
      <c r="F536" s="350">
        <v>46286</v>
      </c>
      <c r="G536" s="125">
        <v>46295</v>
      </c>
      <c r="H536" s="125" t="s">
        <v>19</v>
      </c>
      <c r="I536" s="70"/>
      <c r="J536" s="563"/>
      <c r="K536" s="564"/>
      <c r="L536" s="70"/>
      <c r="M536" s="113"/>
      <c r="N536" s="403"/>
      <c r="O536" s="403"/>
      <c r="P536" s="70"/>
      <c r="Q536" s="404"/>
      <c r="R536" s="404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</row>
    <row r="537" spans="1:36" s="14" customFormat="1" hidden="1">
      <c r="A537" s="560" t="s">
        <v>398</v>
      </c>
      <c r="B537" s="114" t="s">
        <v>988</v>
      </c>
      <c r="C537" s="114"/>
      <c r="D537" s="135" t="s">
        <v>948</v>
      </c>
      <c r="E537" s="121">
        <v>3001.66</v>
      </c>
      <c r="F537" s="350">
        <v>46287</v>
      </c>
      <c r="G537" s="125">
        <v>46295</v>
      </c>
      <c r="H537" s="125" t="s">
        <v>19</v>
      </c>
      <c r="I537" s="70"/>
      <c r="J537" s="563"/>
      <c r="K537" s="564"/>
      <c r="L537" s="70"/>
      <c r="M537" s="113"/>
      <c r="N537" s="403"/>
      <c r="O537" s="403"/>
      <c r="P537" s="70"/>
      <c r="Q537" s="404"/>
      <c r="R537" s="404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</row>
    <row r="538" spans="1:36" s="14" customFormat="1" hidden="1">
      <c r="A538" s="560" t="s">
        <v>398</v>
      </c>
      <c r="B538" s="114" t="s">
        <v>989</v>
      </c>
      <c r="C538" s="114"/>
      <c r="D538" s="135" t="s">
        <v>946</v>
      </c>
      <c r="E538" s="121">
        <v>560</v>
      </c>
      <c r="F538" s="350">
        <v>46287</v>
      </c>
      <c r="G538" s="125">
        <v>46295</v>
      </c>
      <c r="H538" s="125" t="s">
        <v>19</v>
      </c>
      <c r="I538" s="70"/>
      <c r="J538" s="563"/>
      <c r="K538" s="564"/>
      <c r="L538" s="70"/>
      <c r="M538" s="113"/>
      <c r="N538" s="403"/>
      <c r="O538" s="403"/>
      <c r="P538" s="70"/>
      <c r="Q538" s="404"/>
      <c r="R538" s="404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</row>
    <row r="539" spans="1:36" s="14" customFormat="1" hidden="1">
      <c r="A539" s="560" t="s">
        <v>398</v>
      </c>
      <c r="B539" s="114" t="s">
        <v>990</v>
      </c>
      <c r="C539" s="114"/>
      <c r="D539" s="119"/>
      <c r="E539" s="121">
        <v>142.35</v>
      </c>
      <c r="F539" s="125">
        <v>46288</v>
      </c>
      <c r="G539" s="125">
        <v>46293</v>
      </c>
      <c r="H539" s="125" t="s">
        <v>19</v>
      </c>
      <c r="I539" s="70"/>
      <c r="J539" s="563"/>
      <c r="K539" s="564"/>
      <c r="L539" s="70"/>
      <c r="M539" s="113"/>
      <c r="N539" s="403"/>
      <c r="O539" s="403"/>
      <c r="P539" s="70"/>
      <c r="Q539" s="404"/>
      <c r="R539" s="404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</row>
    <row r="540" spans="1:36" s="14" customFormat="1" hidden="1">
      <c r="A540" s="560" t="s">
        <v>398</v>
      </c>
      <c r="B540" s="114" t="s">
        <v>991</v>
      </c>
      <c r="C540" s="114"/>
      <c r="D540" s="135"/>
      <c r="E540" s="121">
        <v>162.82</v>
      </c>
      <c r="F540" s="350">
        <v>46289</v>
      </c>
      <c r="G540" s="125">
        <v>46295</v>
      </c>
      <c r="H540" s="125" t="s">
        <v>19</v>
      </c>
      <c r="I540" s="70"/>
      <c r="J540" s="563"/>
      <c r="K540" s="564"/>
      <c r="L540" s="70"/>
      <c r="M540" s="113"/>
      <c r="N540" s="403"/>
      <c r="O540" s="403"/>
      <c r="P540" s="70"/>
      <c r="Q540" s="404"/>
      <c r="R540" s="404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</row>
    <row r="541" spans="1:36" s="14" customFormat="1" hidden="1">
      <c r="A541" s="560" t="s">
        <v>398</v>
      </c>
      <c r="B541" s="114" t="s">
        <v>992</v>
      </c>
      <c r="C541" s="114"/>
      <c r="D541" s="135"/>
      <c r="E541" s="121">
        <v>3405</v>
      </c>
      <c r="F541" s="125">
        <v>46290</v>
      </c>
      <c r="G541" s="125">
        <v>46293</v>
      </c>
      <c r="H541" s="125" t="s">
        <v>19</v>
      </c>
      <c r="I541" s="70"/>
      <c r="J541" s="563"/>
      <c r="K541" s="564"/>
      <c r="L541" s="70"/>
      <c r="M541" s="113"/>
      <c r="N541" s="403"/>
      <c r="O541" s="403"/>
      <c r="P541" s="70"/>
      <c r="Q541" s="404"/>
      <c r="R541" s="404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</row>
    <row r="542" spans="1:36" s="14" customFormat="1" hidden="1">
      <c r="A542" s="560" t="s">
        <v>398</v>
      </c>
      <c r="B542" s="111" t="s">
        <v>993</v>
      </c>
      <c r="C542" s="111"/>
      <c r="D542" s="119"/>
      <c r="E542" s="121">
        <v>2500</v>
      </c>
      <c r="F542" s="351">
        <v>46293</v>
      </c>
      <c r="G542" s="125">
        <v>46293</v>
      </c>
      <c r="H542" s="125" t="s">
        <v>19</v>
      </c>
      <c r="I542" s="70"/>
      <c r="J542" s="532"/>
      <c r="K542" s="533"/>
      <c r="L542" s="70"/>
      <c r="M542" s="113"/>
      <c r="N542" s="403"/>
      <c r="O542" s="403"/>
      <c r="P542" s="70"/>
      <c r="Q542" s="404"/>
      <c r="R542" s="404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</row>
    <row r="543" spans="1:36" s="14" customFormat="1" hidden="1">
      <c r="A543" s="560" t="s">
        <v>398</v>
      </c>
      <c r="B543" s="114" t="s">
        <v>994</v>
      </c>
      <c r="C543" s="114"/>
      <c r="D543" s="135"/>
      <c r="E543" s="121">
        <v>5714.63</v>
      </c>
      <c r="F543" s="350">
        <v>46294</v>
      </c>
      <c r="G543" s="351">
        <v>46295</v>
      </c>
      <c r="H543" s="125" t="s">
        <v>19</v>
      </c>
      <c r="I543" s="70"/>
      <c r="J543" s="563"/>
      <c r="K543" s="564"/>
      <c r="L543" s="70"/>
      <c r="M543" s="113"/>
      <c r="N543" s="403"/>
      <c r="O543" s="403"/>
      <c r="P543" s="70"/>
      <c r="Q543" s="404"/>
      <c r="R543" s="404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</row>
    <row r="544" spans="1:36" s="14" customFormat="1">
      <c r="A544" s="437" t="s">
        <v>398</v>
      </c>
      <c r="B544" s="114" t="s">
        <v>995</v>
      </c>
      <c r="C544" s="439"/>
      <c r="D544" s="135" t="s">
        <v>973</v>
      </c>
      <c r="E544" s="121">
        <v>1782</v>
      </c>
      <c r="F544" s="350">
        <v>46294</v>
      </c>
      <c r="G544" s="478" t="s">
        <v>366</v>
      </c>
      <c r="H544" s="119"/>
      <c r="I544" s="70"/>
      <c r="J544" s="563"/>
      <c r="K544" s="564"/>
      <c r="L544" s="70"/>
      <c r="M544" s="113"/>
      <c r="N544" s="403"/>
      <c r="O544" s="403"/>
      <c r="P544" s="70"/>
      <c r="Q544" s="404"/>
      <c r="R544" s="404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</row>
    <row r="545" spans="1:36" s="14" customFormat="1">
      <c r="A545" s="437" t="s">
        <v>398</v>
      </c>
      <c r="B545" s="114" t="s">
        <v>996</v>
      </c>
      <c r="C545" s="439"/>
      <c r="D545" s="135" t="s">
        <v>646</v>
      </c>
      <c r="E545" s="121">
        <v>2295</v>
      </c>
      <c r="F545" s="350">
        <v>46296</v>
      </c>
      <c r="G545" s="478" t="s">
        <v>366</v>
      </c>
      <c r="H545" s="119"/>
      <c r="I545" s="70"/>
      <c r="J545" s="563"/>
      <c r="K545" s="564"/>
      <c r="L545" s="70"/>
      <c r="M545" s="113"/>
      <c r="N545" s="403"/>
      <c r="O545" s="403"/>
      <c r="P545" s="70"/>
      <c r="Q545" s="404"/>
      <c r="R545" s="404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</row>
    <row r="546" spans="1:36" s="14" customFormat="1">
      <c r="A546" s="437" t="s">
        <v>398</v>
      </c>
      <c r="B546" s="114" t="s">
        <v>997</v>
      </c>
      <c r="C546" s="439"/>
      <c r="D546" s="135"/>
      <c r="E546" s="121">
        <v>4473.5</v>
      </c>
      <c r="F546" s="350">
        <v>46296</v>
      </c>
      <c r="G546" s="478" t="s">
        <v>366</v>
      </c>
      <c r="H546" s="119"/>
      <c r="I546" s="70"/>
      <c r="J546" s="563"/>
      <c r="K546" s="564"/>
      <c r="L546" s="70"/>
      <c r="M546" s="113"/>
      <c r="N546" s="403"/>
      <c r="O546" s="403"/>
      <c r="P546" s="70"/>
      <c r="Q546" s="404"/>
      <c r="R546" s="404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</row>
    <row r="547" spans="1:36" s="14" customFormat="1" hidden="1">
      <c r="A547" s="500" t="s">
        <v>398</v>
      </c>
      <c r="B547" s="128" t="s">
        <v>998</v>
      </c>
      <c r="C547" s="128"/>
      <c r="D547" s="173" t="s">
        <v>973</v>
      </c>
      <c r="E547" s="174">
        <v>125.53</v>
      </c>
      <c r="F547" s="498">
        <v>46296</v>
      </c>
      <c r="G547" s="501">
        <v>46317</v>
      </c>
      <c r="H547" s="119" t="s">
        <v>19</v>
      </c>
      <c r="I547" s="70"/>
      <c r="J547" s="563"/>
      <c r="K547" s="564"/>
      <c r="L547" s="70"/>
      <c r="M547" s="113"/>
      <c r="N547" s="403"/>
      <c r="O547" s="403"/>
      <c r="P547" s="70"/>
      <c r="Q547" s="404"/>
      <c r="R547" s="404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</row>
    <row r="548" spans="1:36" s="14" customFormat="1">
      <c r="A548" s="437" t="s">
        <v>398</v>
      </c>
      <c r="B548" s="114" t="s">
        <v>999</v>
      </c>
      <c r="C548" s="439"/>
      <c r="D548" s="119" t="s">
        <v>962</v>
      </c>
      <c r="E548" s="121">
        <v>1833.33</v>
      </c>
      <c r="F548" s="125">
        <v>46297</v>
      </c>
      <c r="G548" s="351" t="s">
        <v>366</v>
      </c>
      <c r="H548" s="119"/>
      <c r="I548" s="70"/>
      <c r="J548" s="563"/>
      <c r="K548" s="564"/>
      <c r="L548" s="70"/>
      <c r="M548" s="113"/>
      <c r="N548" s="403"/>
      <c r="O548" s="403"/>
      <c r="P548" s="70"/>
      <c r="Q548" s="404"/>
      <c r="R548" s="404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</row>
    <row r="549" spans="1:36" s="14" customFormat="1">
      <c r="A549" s="437" t="s">
        <v>398</v>
      </c>
      <c r="B549" s="114" t="s">
        <v>1000</v>
      </c>
      <c r="C549" s="439"/>
      <c r="D549" s="119" t="s">
        <v>973</v>
      </c>
      <c r="E549" s="121">
        <v>480</v>
      </c>
      <c r="F549" s="125">
        <v>46300</v>
      </c>
      <c r="G549" s="125" t="s">
        <v>366</v>
      </c>
      <c r="H549" s="119"/>
      <c r="I549" s="70"/>
      <c r="J549" s="563"/>
      <c r="K549" s="564"/>
      <c r="L549" s="70"/>
      <c r="M549" s="113"/>
      <c r="N549" s="403"/>
      <c r="O549" s="403"/>
      <c r="P549" s="70"/>
      <c r="Q549" s="404"/>
      <c r="R549" s="404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</row>
    <row r="550" spans="1:36" s="14" customFormat="1" hidden="1">
      <c r="A550" s="500" t="s">
        <v>398</v>
      </c>
      <c r="B550" s="128" t="s">
        <v>1001</v>
      </c>
      <c r="C550" s="128"/>
      <c r="D550" s="173" t="s">
        <v>973</v>
      </c>
      <c r="E550" s="174">
        <v>124.89</v>
      </c>
      <c r="F550" s="498">
        <v>46304</v>
      </c>
      <c r="G550" s="501">
        <v>46317</v>
      </c>
      <c r="H550" s="119" t="s">
        <v>19</v>
      </c>
      <c r="I550" s="70"/>
      <c r="J550" s="563"/>
      <c r="K550" s="564"/>
      <c r="L550" s="70"/>
      <c r="M550" s="113"/>
      <c r="N550" s="403"/>
      <c r="O550" s="403"/>
      <c r="P550" s="70"/>
      <c r="Q550" s="404"/>
      <c r="R550" s="404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</row>
    <row r="551" spans="1:36" s="14" customFormat="1" hidden="1">
      <c r="A551" s="500" t="s">
        <v>398</v>
      </c>
      <c r="B551" s="128" t="s">
        <v>1002</v>
      </c>
      <c r="C551" s="128"/>
      <c r="D551" s="173" t="s">
        <v>973</v>
      </c>
      <c r="E551" s="174">
        <v>707.11</v>
      </c>
      <c r="F551" s="501">
        <v>46310</v>
      </c>
      <c r="G551" s="501">
        <v>46317</v>
      </c>
      <c r="H551" s="119" t="s">
        <v>19</v>
      </c>
      <c r="I551" s="70"/>
      <c r="J551" s="563"/>
      <c r="K551" s="564"/>
      <c r="L551" s="70"/>
      <c r="M551" s="113"/>
      <c r="N551" s="403"/>
      <c r="O551" s="403"/>
      <c r="P551" s="70"/>
      <c r="Q551" s="404"/>
      <c r="R551" s="404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</row>
    <row r="552" spans="1:36" s="14" customFormat="1">
      <c r="A552" s="560" t="s">
        <v>398</v>
      </c>
      <c r="B552" s="111" t="s">
        <v>1003</v>
      </c>
      <c r="C552" s="440"/>
      <c r="D552" s="119"/>
      <c r="E552" s="121">
        <v>1820.47</v>
      </c>
      <c r="F552" s="125">
        <v>46305</v>
      </c>
      <c r="G552" s="350" t="s">
        <v>366</v>
      </c>
      <c r="H552" s="119"/>
      <c r="I552" s="70"/>
      <c r="J552" s="563"/>
      <c r="K552" s="564"/>
      <c r="L552" s="70"/>
      <c r="M552" s="113"/>
      <c r="N552" s="403"/>
      <c r="O552" s="403"/>
      <c r="P552" s="70"/>
      <c r="Q552" s="404"/>
      <c r="R552" s="404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</row>
    <row r="553" spans="1:36" s="14" customFormat="1">
      <c r="A553" s="560" t="s">
        <v>398</v>
      </c>
      <c r="B553" s="111" t="s">
        <v>1004</v>
      </c>
      <c r="C553" s="440"/>
      <c r="D553" s="119"/>
      <c r="E553" s="121">
        <v>1037.5</v>
      </c>
      <c r="F553" s="125">
        <v>46310</v>
      </c>
      <c r="G553" s="350" t="s">
        <v>366</v>
      </c>
      <c r="H553" s="119"/>
      <c r="I553" s="70"/>
      <c r="J553" s="563"/>
      <c r="K553" s="564"/>
      <c r="L553" s="70"/>
      <c r="M553" s="113"/>
      <c r="N553" s="403"/>
      <c r="O553" s="403"/>
      <c r="P553" s="70"/>
      <c r="Q553" s="404"/>
      <c r="R553" s="404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</row>
    <row r="554" spans="1:36" s="14" customFormat="1">
      <c r="A554" s="560" t="s">
        <v>398</v>
      </c>
      <c r="B554" s="114" t="s">
        <v>1005</v>
      </c>
      <c r="C554" s="439"/>
      <c r="D554" s="119" t="s">
        <v>646</v>
      </c>
      <c r="E554" s="121">
        <v>2295</v>
      </c>
      <c r="F554" s="125">
        <v>46315</v>
      </c>
      <c r="G554" s="350"/>
      <c r="H554" s="119"/>
      <c r="I554" s="70"/>
      <c r="J554" s="563"/>
      <c r="K554" s="564"/>
      <c r="L554" s="70"/>
      <c r="M554" s="113"/>
      <c r="N554" s="403"/>
      <c r="O554" s="403"/>
      <c r="P554" s="70"/>
      <c r="Q554" s="404"/>
      <c r="R554" s="404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</row>
    <row r="555" spans="1:36" s="14" customFormat="1" hidden="1">
      <c r="A555" s="560" t="s">
        <v>398</v>
      </c>
      <c r="B555" s="114" t="s">
        <v>1006</v>
      </c>
      <c r="C555" s="439"/>
      <c r="D555" s="119"/>
      <c r="E555" s="121">
        <v>253.18</v>
      </c>
      <c r="F555" s="125">
        <v>46323</v>
      </c>
      <c r="G555" s="350"/>
      <c r="H555" s="498" t="s">
        <v>592</v>
      </c>
      <c r="I555" s="70"/>
      <c r="J555" s="563"/>
      <c r="K555" s="564"/>
      <c r="L555" s="70"/>
      <c r="M555" s="113"/>
      <c r="N555" s="403"/>
      <c r="O555" s="403"/>
      <c r="P555" s="70"/>
      <c r="Q555" s="404"/>
      <c r="R555" s="404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</row>
    <row r="556" spans="1:36" s="14" customFormat="1" hidden="1">
      <c r="A556" s="560" t="s">
        <v>398</v>
      </c>
      <c r="B556" s="114" t="s">
        <v>1007</v>
      </c>
      <c r="C556" s="439"/>
      <c r="D556" s="119"/>
      <c r="E556" s="121">
        <v>5584.33</v>
      </c>
      <c r="F556" s="125">
        <v>46324</v>
      </c>
      <c r="G556" s="350"/>
      <c r="H556" s="125"/>
      <c r="I556" s="70"/>
      <c r="J556" s="563"/>
      <c r="K556" s="564"/>
      <c r="L556" s="70"/>
      <c r="M556" s="113"/>
      <c r="N556" s="403"/>
      <c r="O556" s="403"/>
      <c r="P556" s="70"/>
      <c r="Q556" s="404"/>
      <c r="R556" s="404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</row>
    <row r="557" spans="1:36" s="14" customFormat="1" hidden="1">
      <c r="A557" s="560" t="s">
        <v>398</v>
      </c>
      <c r="B557" s="114" t="s">
        <v>1008</v>
      </c>
      <c r="C557" s="439"/>
      <c r="D557" s="119" t="s">
        <v>1009</v>
      </c>
      <c r="E557" s="121">
        <v>865.5</v>
      </c>
      <c r="F557" s="125">
        <v>46325</v>
      </c>
      <c r="G557" s="350"/>
      <c r="H557" s="125"/>
      <c r="I557" s="70"/>
      <c r="J557" s="563"/>
      <c r="K557" s="564"/>
      <c r="L557" s="70"/>
      <c r="M557" s="113"/>
      <c r="N557" s="403"/>
      <c r="O557" s="403"/>
      <c r="P557" s="70"/>
      <c r="Q557" s="404"/>
      <c r="R557" s="404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</row>
    <row r="558" spans="1:36" s="14" customFormat="1" hidden="1">
      <c r="A558" s="437" t="s">
        <v>398</v>
      </c>
      <c r="B558" s="114" t="s">
        <v>924</v>
      </c>
      <c r="C558" s="114"/>
      <c r="D558" s="119"/>
      <c r="E558" s="121">
        <v>676.5</v>
      </c>
      <c r="F558" s="125">
        <v>46279</v>
      </c>
      <c r="G558" s="351">
        <v>46309</v>
      </c>
      <c r="H558" s="119" t="s">
        <v>19</v>
      </c>
      <c r="I558" s="70"/>
      <c r="J558" s="563"/>
      <c r="K558" s="564"/>
      <c r="L558" s="70"/>
      <c r="M558" s="113"/>
      <c r="N558" s="403"/>
      <c r="O558" s="403"/>
      <c r="P558" s="70"/>
      <c r="Q558" s="404"/>
      <c r="R558" s="404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</row>
    <row r="559" spans="1:36" s="14" customFormat="1" hidden="1">
      <c r="A559" s="437" t="s">
        <v>398</v>
      </c>
      <c r="B559" s="114" t="s">
        <v>1010</v>
      </c>
      <c r="C559" s="114"/>
      <c r="D559" s="135" t="s">
        <v>1009</v>
      </c>
      <c r="E559" s="121">
        <v>865.5</v>
      </c>
      <c r="F559" s="350">
        <v>46296</v>
      </c>
      <c r="G559" s="351">
        <v>46309</v>
      </c>
      <c r="H559" s="119" t="s">
        <v>19</v>
      </c>
      <c r="I559" s="70"/>
      <c r="J559" s="563"/>
      <c r="K559" s="564"/>
      <c r="L559" s="70"/>
      <c r="M559" s="113"/>
      <c r="N559" s="403"/>
      <c r="O559" s="403"/>
      <c r="P559" s="70"/>
      <c r="Q559" s="404"/>
      <c r="R559" s="404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</row>
    <row r="560" spans="1:36" s="14" customFormat="1" hidden="1">
      <c r="A560" s="437" t="s">
        <v>398</v>
      </c>
      <c r="B560" s="114" t="s">
        <v>968</v>
      </c>
      <c r="C560" s="114"/>
      <c r="D560" s="119" t="s">
        <v>969</v>
      </c>
      <c r="E560" s="121">
        <v>465</v>
      </c>
      <c r="F560" s="125">
        <v>46302</v>
      </c>
      <c r="G560" s="351">
        <v>46309</v>
      </c>
      <c r="H560" s="119" t="s">
        <v>19</v>
      </c>
      <c r="I560" s="70"/>
      <c r="J560" s="563"/>
      <c r="K560" s="564"/>
      <c r="L560" s="70"/>
      <c r="M560" s="113"/>
      <c r="N560" s="403"/>
      <c r="O560" s="403"/>
      <c r="P560" s="70"/>
      <c r="Q560" s="404"/>
      <c r="R560" s="404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</row>
    <row r="561" spans="1:36" s="14" customFormat="1" hidden="1">
      <c r="A561" s="437" t="s">
        <v>398</v>
      </c>
      <c r="B561" s="114" t="s">
        <v>407</v>
      </c>
      <c r="C561" s="114"/>
      <c r="D561" s="119" t="s">
        <v>408</v>
      </c>
      <c r="E561" s="121">
        <v>93</v>
      </c>
      <c r="F561" s="125">
        <v>46302</v>
      </c>
      <c r="G561" s="351">
        <v>46309</v>
      </c>
      <c r="H561" s="119" t="s">
        <v>19</v>
      </c>
      <c r="I561" s="70"/>
      <c r="J561" s="563"/>
      <c r="K561" s="564"/>
      <c r="L561" s="70"/>
      <c r="M561" s="113"/>
      <c r="N561" s="403"/>
      <c r="O561" s="403"/>
      <c r="P561" s="70"/>
      <c r="Q561" s="404"/>
      <c r="R561" s="404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</row>
    <row r="562" spans="1:36" s="14" customFormat="1" hidden="1">
      <c r="A562" s="560" t="s">
        <v>398</v>
      </c>
      <c r="B562" s="114" t="s">
        <v>997</v>
      </c>
      <c r="C562" s="439"/>
      <c r="D562" s="119"/>
      <c r="E562" s="121">
        <v>4473.5</v>
      </c>
      <c r="F562" s="125">
        <v>46327</v>
      </c>
      <c r="G562" s="350"/>
      <c r="H562" s="125"/>
      <c r="I562" s="70"/>
      <c r="J562" s="563"/>
      <c r="K562" s="564"/>
      <c r="L562" s="70"/>
      <c r="M562" s="113"/>
      <c r="N562" s="403"/>
      <c r="O562" s="403"/>
      <c r="P562" s="70"/>
      <c r="Q562" s="404"/>
      <c r="R562" s="404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</row>
    <row r="563" spans="1:36" s="14" customFormat="1" hidden="1">
      <c r="A563" s="560" t="s">
        <v>398</v>
      </c>
      <c r="B563" s="114" t="s">
        <v>406</v>
      </c>
      <c r="C563" s="439"/>
      <c r="D563" s="119"/>
      <c r="E563" s="121">
        <v>4473.33</v>
      </c>
      <c r="F563" s="125">
        <v>46327</v>
      </c>
      <c r="G563" s="350"/>
      <c r="H563" s="125"/>
      <c r="I563" s="70"/>
      <c r="J563" s="563"/>
      <c r="K563" s="564"/>
      <c r="L563" s="70"/>
      <c r="M563" s="113"/>
      <c r="N563" s="403"/>
      <c r="O563" s="403"/>
      <c r="P563" s="70"/>
      <c r="Q563" s="404"/>
      <c r="R563" s="404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</row>
    <row r="564" spans="1:36" s="14" customFormat="1" hidden="1">
      <c r="A564" s="560" t="s">
        <v>398</v>
      </c>
      <c r="B564" s="114" t="s">
        <v>1011</v>
      </c>
      <c r="C564" s="439"/>
      <c r="D564" s="119" t="s">
        <v>962</v>
      </c>
      <c r="E564" s="121">
        <v>1833.34</v>
      </c>
      <c r="F564" s="125">
        <v>46329</v>
      </c>
      <c r="G564" s="350"/>
      <c r="H564" s="125"/>
      <c r="I564" s="70"/>
      <c r="J564" s="563"/>
      <c r="K564" s="564"/>
      <c r="L564" s="70"/>
      <c r="M564" s="113"/>
      <c r="N564" s="403"/>
      <c r="O564" s="403"/>
      <c r="P564" s="70"/>
      <c r="Q564" s="404"/>
      <c r="R564" s="404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</row>
    <row r="565" spans="1:36" s="14" customFormat="1" hidden="1">
      <c r="A565" s="560" t="s">
        <v>398</v>
      </c>
      <c r="B565" s="114" t="s">
        <v>1012</v>
      </c>
      <c r="C565" s="439"/>
      <c r="D565" s="119"/>
      <c r="E565" s="121">
        <v>406.73</v>
      </c>
      <c r="F565" s="125">
        <v>46329</v>
      </c>
      <c r="G565" s="351"/>
      <c r="H565" s="498" t="s">
        <v>592</v>
      </c>
      <c r="I565" s="70"/>
      <c r="J565" s="563"/>
      <c r="K565" s="564"/>
      <c r="L565" s="70"/>
      <c r="M565" s="113"/>
      <c r="N565" s="403"/>
      <c r="O565" s="403"/>
      <c r="P565" s="70"/>
      <c r="Q565" s="404"/>
      <c r="R565" s="404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</row>
    <row r="566" spans="1:36" s="14" customFormat="1" hidden="1">
      <c r="A566" s="560" t="s">
        <v>398</v>
      </c>
      <c r="B566" s="114" t="s">
        <v>1013</v>
      </c>
      <c r="C566" s="439"/>
      <c r="D566" s="119"/>
      <c r="E566" s="121">
        <v>1618.82</v>
      </c>
      <c r="F566" s="125">
        <v>46329</v>
      </c>
      <c r="G566" s="351"/>
      <c r="H566" s="498" t="s">
        <v>592</v>
      </c>
      <c r="I566" s="70"/>
      <c r="J566" s="563"/>
      <c r="K566" s="564"/>
      <c r="L566" s="70"/>
      <c r="M566" s="113"/>
      <c r="N566" s="403"/>
      <c r="O566" s="403"/>
      <c r="P566" s="70"/>
      <c r="Q566" s="404"/>
      <c r="R566" s="404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</row>
    <row r="567" spans="1:36" s="14" customFormat="1" hidden="1">
      <c r="A567" s="560" t="s">
        <v>398</v>
      </c>
      <c r="B567" s="114" t="s">
        <v>1014</v>
      </c>
      <c r="C567" s="439"/>
      <c r="D567" s="119"/>
      <c r="E567" s="121">
        <v>222.91</v>
      </c>
      <c r="F567" s="125">
        <v>46337</v>
      </c>
      <c r="G567" s="351"/>
      <c r="H567" s="498" t="s">
        <v>592</v>
      </c>
      <c r="I567" s="70"/>
      <c r="J567" s="563"/>
      <c r="K567" s="564"/>
      <c r="L567" s="70"/>
      <c r="M567" s="113"/>
      <c r="N567" s="403"/>
      <c r="O567" s="403"/>
      <c r="P567" s="70"/>
      <c r="Q567" s="404"/>
      <c r="R567" s="404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</row>
    <row r="568" spans="1:36" s="14" customFormat="1" hidden="1">
      <c r="A568" s="560" t="s">
        <v>398</v>
      </c>
      <c r="B568" s="114" t="s">
        <v>1015</v>
      </c>
      <c r="C568" s="439"/>
      <c r="D568" s="119"/>
      <c r="E568" s="121">
        <v>800</v>
      </c>
      <c r="F568" s="125">
        <v>46343</v>
      </c>
      <c r="G568" s="351"/>
      <c r="H568" s="498" t="s">
        <v>592</v>
      </c>
      <c r="I568" s="70"/>
      <c r="J568" s="563"/>
      <c r="K568" s="564"/>
      <c r="L568" s="70"/>
      <c r="M568" s="113"/>
      <c r="N568" s="403"/>
      <c r="O568" s="403"/>
      <c r="P568" s="70"/>
      <c r="Q568" s="404"/>
      <c r="R568" s="404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</row>
    <row r="569" spans="1:36" s="14" customFormat="1" hidden="1">
      <c r="A569" s="560" t="s">
        <v>398</v>
      </c>
      <c r="B569" s="114" t="s">
        <v>1016</v>
      </c>
      <c r="C569" s="439"/>
      <c r="D569" s="119" t="s">
        <v>1009</v>
      </c>
      <c r="E569" s="121">
        <v>865.5</v>
      </c>
      <c r="F569" s="125">
        <v>46356</v>
      </c>
      <c r="G569" s="350"/>
      <c r="H569" s="125"/>
      <c r="I569" s="70"/>
      <c r="J569" s="563"/>
      <c r="K569" s="564"/>
      <c r="L569" s="70"/>
      <c r="M569" s="113"/>
      <c r="N569" s="403"/>
      <c r="O569" s="403"/>
      <c r="P569" s="70"/>
      <c r="Q569" s="404"/>
      <c r="R569" s="404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</row>
    <row r="570" spans="1:36" s="14" customFormat="1" hidden="1">
      <c r="A570" s="560" t="s">
        <v>398</v>
      </c>
      <c r="B570" s="114" t="s">
        <v>1017</v>
      </c>
      <c r="C570" s="439"/>
      <c r="D570" s="119"/>
      <c r="E570" s="121">
        <v>222.91</v>
      </c>
      <c r="F570" s="125">
        <v>46367</v>
      </c>
      <c r="G570" s="351"/>
      <c r="H570" s="498" t="s">
        <v>592</v>
      </c>
      <c r="I570" s="70"/>
      <c r="J570" s="563"/>
      <c r="K570" s="564"/>
      <c r="L570" s="70"/>
      <c r="M570" s="113"/>
      <c r="N570" s="403"/>
      <c r="O570" s="403"/>
      <c r="P570" s="70"/>
      <c r="Q570" s="404"/>
      <c r="R570" s="404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</row>
    <row r="571" spans="1:36" s="14" customFormat="1" hidden="1">
      <c r="A571" s="560" t="s">
        <v>398</v>
      </c>
      <c r="B571" s="114" t="s">
        <v>1018</v>
      </c>
      <c r="C571" s="439"/>
      <c r="D571" s="119"/>
      <c r="E571" s="121">
        <v>800</v>
      </c>
      <c r="F571" s="125">
        <v>46373</v>
      </c>
      <c r="G571" s="351"/>
      <c r="H571" s="498" t="s">
        <v>592</v>
      </c>
      <c r="I571" s="70"/>
      <c r="J571" s="563"/>
      <c r="K571" s="564"/>
      <c r="L571" s="70"/>
      <c r="M571" s="113"/>
      <c r="N571" s="403"/>
      <c r="O571" s="403"/>
      <c r="P571" s="70"/>
      <c r="Q571" s="404"/>
      <c r="R571" s="404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</row>
    <row r="572" spans="1:36" s="14" customFormat="1" hidden="1">
      <c r="A572" s="560" t="s">
        <v>398</v>
      </c>
      <c r="B572" s="114" t="s">
        <v>1019</v>
      </c>
      <c r="C572" s="439"/>
      <c r="D572" s="119"/>
      <c r="E572" s="121">
        <v>800</v>
      </c>
      <c r="F572" s="125">
        <v>46405</v>
      </c>
      <c r="G572" s="351"/>
      <c r="H572" s="498" t="s">
        <v>592</v>
      </c>
      <c r="I572" s="70"/>
      <c r="J572" s="563"/>
      <c r="K572" s="564"/>
      <c r="L572" s="70"/>
      <c r="M572" s="113"/>
      <c r="N572" s="403"/>
      <c r="O572" s="403"/>
      <c r="P572" s="70"/>
      <c r="Q572" s="404"/>
      <c r="R572" s="404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</row>
    <row r="573" spans="1:36" s="14" customFormat="1" hidden="1">
      <c r="A573" s="560" t="s">
        <v>398</v>
      </c>
      <c r="B573" s="114" t="s">
        <v>1020</v>
      </c>
      <c r="C573" s="439"/>
      <c r="D573" s="119"/>
      <c r="E573" s="121">
        <v>800</v>
      </c>
      <c r="F573" s="125">
        <v>46433</v>
      </c>
      <c r="G573" s="351"/>
      <c r="H573" s="498" t="s">
        <v>592</v>
      </c>
      <c r="I573" s="70"/>
      <c r="J573" s="563"/>
      <c r="K573" s="564"/>
      <c r="L573" s="70"/>
      <c r="M573" s="113"/>
      <c r="N573" s="403"/>
      <c r="O573" s="403"/>
      <c r="P573" s="70"/>
      <c r="Q573" s="404"/>
      <c r="R573" s="404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</row>
    <row r="574" spans="1:36" s="14" customFormat="1" hidden="1">
      <c r="A574" s="560" t="s">
        <v>398</v>
      </c>
      <c r="B574" s="111" t="s">
        <v>1021</v>
      </c>
      <c r="C574" s="111"/>
      <c r="D574" s="119"/>
      <c r="E574" s="121">
        <v>50</v>
      </c>
      <c r="F574" s="125">
        <v>46315</v>
      </c>
      <c r="G574" s="125">
        <v>46315</v>
      </c>
      <c r="H574" s="125" t="s">
        <v>19</v>
      </c>
      <c r="I574" s="70"/>
      <c r="J574" s="563"/>
      <c r="K574" s="564"/>
      <c r="L574" s="70"/>
      <c r="M574" s="113"/>
      <c r="N574" s="403"/>
      <c r="O574" s="403"/>
      <c r="P574" s="70"/>
      <c r="Q574" s="404"/>
      <c r="R574" s="404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</row>
    <row r="575" spans="1:36" s="14" customFormat="1" hidden="1">
      <c r="A575" s="560" t="s">
        <v>398</v>
      </c>
      <c r="B575" s="114" t="s">
        <v>1022</v>
      </c>
      <c r="C575" s="439"/>
      <c r="D575" s="119"/>
      <c r="E575" s="121">
        <v>800</v>
      </c>
      <c r="F575" s="125">
        <v>46463</v>
      </c>
      <c r="G575" s="351"/>
      <c r="H575" s="498" t="s">
        <v>592</v>
      </c>
      <c r="I575" s="70"/>
      <c r="J575" s="563"/>
      <c r="K575" s="564"/>
      <c r="L575" s="70"/>
      <c r="M575" s="113"/>
      <c r="N575" s="403"/>
      <c r="O575" s="403"/>
      <c r="P575" s="70"/>
      <c r="Q575" s="404"/>
      <c r="R575" s="404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</row>
    <row r="576" spans="1:36" s="14" customFormat="1" hidden="1">
      <c r="A576" s="560" t="s">
        <v>422</v>
      </c>
      <c r="B576" s="114" t="s">
        <v>1023</v>
      </c>
      <c r="C576" s="114"/>
      <c r="D576" s="119"/>
      <c r="E576" s="121">
        <v>1294.76</v>
      </c>
      <c r="F576" s="125">
        <v>46301</v>
      </c>
      <c r="G576" s="350">
        <v>46301</v>
      </c>
      <c r="H576" s="125" t="s">
        <v>19</v>
      </c>
      <c r="I576" s="70"/>
      <c r="J576" s="563"/>
      <c r="K576" s="564"/>
      <c r="L576" s="70"/>
      <c r="M576" s="113"/>
      <c r="N576" s="403"/>
      <c r="O576" s="403"/>
      <c r="P576" s="70"/>
      <c r="Q576" s="404"/>
      <c r="R576" s="404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</row>
    <row r="577" spans="1:36" s="14" customFormat="1" hidden="1">
      <c r="A577" s="560" t="s">
        <v>422</v>
      </c>
      <c r="B577" s="114" t="s">
        <v>1024</v>
      </c>
      <c r="C577" s="114"/>
      <c r="D577" s="119"/>
      <c r="E577" s="121">
        <v>150</v>
      </c>
      <c r="F577" s="125" t="s">
        <v>551</v>
      </c>
      <c r="G577" s="350" t="s">
        <v>551</v>
      </c>
      <c r="H577" s="119" t="s">
        <v>19</v>
      </c>
      <c r="I577" s="70"/>
      <c r="J577" s="563"/>
      <c r="K577" s="564"/>
      <c r="L577" s="70"/>
      <c r="M577" s="113"/>
      <c r="N577" s="403"/>
      <c r="O577" s="403"/>
      <c r="P577" s="70"/>
      <c r="Q577" s="404"/>
      <c r="R577" s="404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</row>
    <row r="578" spans="1:36" s="14" customFormat="1" hidden="1">
      <c r="A578" s="560" t="s">
        <v>422</v>
      </c>
      <c r="B578" s="114" t="s">
        <v>1025</v>
      </c>
      <c r="C578" s="114"/>
      <c r="D578" s="119"/>
      <c r="E578" s="121">
        <v>295</v>
      </c>
      <c r="F578" s="125" t="s">
        <v>551</v>
      </c>
      <c r="G578" s="350" t="s">
        <v>551</v>
      </c>
      <c r="H578" s="119" t="s">
        <v>19</v>
      </c>
      <c r="I578" s="70"/>
      <c r="J578" s="563"/>
      <c r="K578" s="564"/>
      <c r="L578" s="70"/>
      <c r="M578" s="113"/>
      <c r="N578" s="403"/>
      <c r="O578" s="403"/>
      <c r="P578" s="70"/>
      <c r="Q578" s="404"/>
      <c r="R578" s="404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</row>
    <row r="579" spans="1:36" s="14" customFormat="1" hidden="1">
      <c r="A579" s="560" t="s">
        <v>422</v>
      </c>
      <c r="B579" s="114" t="s">
        <v>1026</v>
      </c>
      <c r="C579" s="114"/>
      <c r="D579" s="119"/>
      <c r="E579" s="121">
        <v>9600</v>
      </c>
      <c r="F579" s="125" t="s">
        <v>551</v>
      </c>
      <c r="G579" s="350" t="s">
        <v>551</v>
      </c>
      <c r="H579" s="119" t="s">
        <v>19</v>
      </c>
      <c r="I579" s="70"/>
      <c r="J579" s="563"/>
      <c r="K579" s="564"/>
      <c r="L579" s="70"/>
      <c r="M579" s="113"/>
      <c r="N579" s="403"/>
      <c r="O579" s="403"/>
      <c r="P579" s="70"/>
      <c r="Q579" s="404"/>
      <c r="R579" s="404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</row>
    <row r="580" spans="1:36" s="14" customFormat="1" hidden="1">
      <c r="A580" s="560" t="s">
        <v>422</v>
      </c>
      <c r="B580" s="114" t="s">
        <v>1027</v>
      </c>
      <c r="C580" s="114"/>
      <c r="D580" s="119"/>
      <c r="E580" s="121">
        <v>1000</v>
      </c>
      <c r="F580" s="125" t="s">
        <v>551</v>
      </c>
      <c r="G580" s="350" t="s">
        <v>551</v>
      </c>
      <c r="H580" s="119" t="s">
        <v>19</v>
      </c>
      <c r="I580" s="70"/>
      <c r="J580" s="563"/>
      <c r="K580" s="564"/>
      <c r="L580" s="70"/>
      <c r="M580" s="113"/>
      <c r="N580" s="403"/>
      <c r="O580" s="403"/>
      <c r="P580" s="70"/>
      <c r="Q580" s="404"/>
      <c r="R580" s="404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</row>
    <row r="581" spans="1:36" s="14" customFormat="1" hidden="1">
      <c r="A581" s="560" t="s">
        <v>422</v>
      </c>
      <c r="B581" s="114" t="s">
        <v>1028</v>
      </c>
      <c r="C581" s="114"/>
      <c r="D581" s="119"/>
      <c r="E581" s="121">
        <v>538.75</v>
      </c>
      <c r="F581" s="125" t="s">
        <v>555</v>
      </c>
      <c r="G581" s="350" t="s">
        <v>555</v>
      </c>
      <c r="H581" s="119" t="s">
        <v>19</v>
      </c>
      <c r="I581" s="70"/>
      <c r="J581" s="563"/>
      <c r="K581" s="564"/>
      <c r="L581" s="70"/>
      <c r="M581" s="113"/>
      <c r="N581" s="403"/>
      <c r="O581" s="403"/>
      <c r="P581" s="70"/>
      <c r="Q581" s="404"/>
      <c r="R581" s="404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</row>
    <row r="582" spans="1:36" s="14" customFormat="1" hidden="1">
      <c r="A582" s="560" t="s">
        <v>422</v>
      </c>
      <c r="B582" s="114" t="s">
        <v>1029</v>
      </c>
      <c r="C582" s="114"/>
      <c r="D582" s="119"/>
      <c r="E582" s="121">
        <v>800</v>
      </c>
      <c r="F582" s="125" t="s">
        <v>555</v>
      </c>
      <c r="G582" s="350" t="s">
        <v>555</v>
      </c>
      <c r="H582" s="119" t="s">
        <v>19</v>
      </c>
      <c r="I582" s="70"/>
      <c r="J582" s="563"/>
      <c r="K582" s="564"/>
      <c r="L582" s="70"/>
      <c r="M582" s="113"/>
      <c r="N582" s="403"/>
      <c r="O582" s="403"/>
      <c r="P582" s="70"/>
      <c r="Q582" s="404"/>
      <c r="R582" s="404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</row>
    <row r="583" spans="1:36" s="14" customFormat="1" hidden="1">
      <c r="A583" s="560" t="s">
        <v>422</v>
      </c>
      <c r="B583" s="114" t="s">
        <v>1030</v>
      </c>
      <c r="C583" s="114"/>
      <c r="D583" s="119"/>
      <c r="E583" s="121">
        <v>101.5</v>
      </c>
      <c r="F583" s="125" t="s">
        <v>555</v>
      </c>
      <c r="G583" s="350" t="s">
        <v>555</v>
      </c>
      <c r="H583" s="119" t="s">
        <v>19</v>
      </c>
      <c r="I583" s="70"/>
      <c r="J583" s="563"/>
      <c r="K583" s="564"/>
      <c r="L583" s="70"/>
      <c r="M583" s="113"/>
      <c r="N583" s="403"/>
      <c r="O583" s="403"/>
      <c r="P583" s="70"/>
      <c r="Q583" s="404"/>
      <c r="R583" s="404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</row>
    <row r="584" spans="1:36" s="14" customFormat="1" hidden="1">
      <c r="A584" s="560" t="s">
        <v>422</v>
      </c>
      <c r="B584" s="114" t="s">
        <v>1031</v>
      </c>
      <c r="C584" s="114"/>
      <c r="D584" s="119"/>
      <c r="E584" s="121">
        <v>800</v>
      </c>
      <c r="F584" s="125" t="s">
        <v>556</v>
      </c>
      <c r="G584" s="350" t="s">
        <v>556</v>
      </c>
      <c r="H584" s="119" t="s">
        <v>19</v>
      </c>
      <c r="I584" s="70"/>
      <c r="J584" s="563"/>
      <c r="K584" s="564"/>
      <c r="L584" s="70"/>
      <c r="M584" s="113"/>
      <c r="N584" s="403"/>
      <c r="O584" s="403"/>
      <c r="P584" s="70"/>
      <c r="Q584" s="404"/>
      <c r="R584" s="404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</row>
    <row r="585" spans="1:36" s="14" customFormat="1" hidden="1">
      <c r="A585" s="560" t="s">
        <v>422</v>
      </c>
      <c r="B585" s="114" t="s">
        <v>1032</v>
      </c>
      <c r="C585" s="114"/>
      <c r="D585" s="119"/>
      <c r="E585" s="121">
        <v>600</v>
      </c>
      <c r="F585" s="125" t="s">
        <v>556</v>
      </c>
      <c r="G585" s="350" t="s">
        <v>556</v>
      </c>
      <c r="H585" s="119" t="s">
        <v>19</v>
      </c>
      <c r="I585" s="70"/>
      <c r="J585" s="563"/>
      <c r="K585" s="564"/>
      <c r="L585" s="70"/>
      <c r="M585" s="113"/>
      <c r="N585" s="403"/>
      <c r="O585" s="403"/>
      <c r="P585" s="70"/>
      <c r="Q585" s="404"/>
      <c r="R585" s="404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</row>
    <row r="586" spans="1:36" s="14" customFormat="1" hidden="1">
      <c r="A586" s="560" t="s">
        <v>422</v>
      </c>
      <c r="B586" s="114" t="s">
        <v>1027</v>
      </c>
      <c r="C586" s="114"/>
      <c r="D586" s="119"/>
      <c r="E586" s="121">
        <v>300</v>
      </c>
      <c r="F586" s="125" t="s">
        <v>556</v>
      </c>
      <c r="G586" s="350" t="s">
        <v>556</v>
      </c>
      <c r="H586" s="119" t="s">
        <v>19</v>
      </c>
      <c r="I586" s="70"/>
      <c r="J586" s="563"/>
      <c r="K586" s="564"/>
      <c r="L586" s="70"/>
      <c r="M586" s="113"/>
      <c r="N586" s="403"/>
      <c r="O586" s="403"/>
      <c r="P586" s="70"/>
      <c r="Q586" s="404"/>
      <c r="R586" s="404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</row>
    <row r="587" spans="1:36" s="14" customFormat="1" hidden="1">
      <c r="A587" s="560" t="s">
        <v>422</v>
      </c>
      <c r="B587" s="114" t="s">
        <v>1027</v>
      </c>
      <c r="C587" s="114"/>
      <c r="D587" s="119"/>
      <c r="E587" s="121">
        <v>500</v>
      </c>
      <c r="F587" s="125" t="s">
        <v>556</v>
      </c>
      <c r="G587" s="350" t="s">
        <v>556</v>
      </c>
      <c r="H587" s="119" t="s">
        <v>19</v>
      </c>
      <c r="I587" s="70"/>
      <c r="J587" s="563"/>
      <c r="K587" s="564"/>
      <c r="L587" s="70"/>
      <c r="M587" s="113"/>
      <c r="N587" s="403"/>
      <c r="O587" s="403"/>
      <c r="P587" s="70"/>
      <c r="Q587" s="404"/>
      <c r="R587" s="404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</row>
    <row r="588" spans="1:36" s="14" customFormat="1" hidden="1">
      <c r="A588" s="560" t="s">
        <v>1033</v>
      </c>
      <c r="B588" s="111" t="s">
        <v>1034</v>
      </c>
      <c r="C588" s="111"/>
      <c r="D588" s="119" t="s">
        <v>1035</v>
      </c>
      <c r="E588" s="121">
        <f>4500/30*29</f>
        <v>4350</v>
      </c>
      <c r="F588" s="125">
        <v>46240</v>
      </c>
      <c r="G588" s="351">
        <v>46240</v>
      </c>
      <c r="H588" s="119" t="s">
        <v>19</v>
      </c>
      <c r="I588" s="70"/>
      <c r="J588" s="563"/>
      <c r="K588" s="564"/>
      <c r="L588" s="70"/>
      <c r="M588" s="113"/>
      <c r="N588" s="403"/>
      <c r="O588" s="403"/>
      <c r="P588" s="70"/>
      <c r="Q588" s="404"/>
      <c r="R588" s="404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</row>
    <row r="589" spans="1:36" s="14" customFormat="1" hidden="1">
      <c r="A589" s="560" t="s">
        <v>1033</v>
      </c>
      <c r="B589" s="111" t="s">
        <v>1036</v>
      </c>
      <c r="C589" s="111"/>
      <c r="D589" s="119" t="s">
        <v>1035</v>
      </c>
      <c r="E589" s="121">
        <v>9102</v>
      </c>
      <c r="F589" s="125">
        <v>46240</v>
      </c>
      <c r="G589" s="351">
        <v>46240</v>
      </c>
      <c r="H589" s="119" t="s">
        <v>19</v>
      </c>
      <c r="I589" s="70"/>
      <c r="J589" s="563"/>
      <c r="K589" s="564"/>
      <c r="L589" s="70"/>
      <c r="M589" s="113"/>
      <c r="N589" s="403"/>
      <c r="O589" s="403"/>
      <c r="P589" s="70"/>
      <c r="Q589" s="404"/>
      <c r="R589" s="404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</row>
    <row r="590" spans="1:36" s="14" customFormat="1" hidden="1">
      <c r="A590" s="560" t="s">
        <v>1033</v>
      </c>
      <c r="B590" s="111" t="s">
        <v>1037</v>
      </c>
      <c r="C590" s="111"/>
      <c r="D590" s="119" t="s">
        <v>1035</v>
      </c>
      <c r="E590" s="121">
        <v>305.60000000000002</v>
      </c>
      <c r="F590" s="125">
        <v>46240</v>
      </c>
      <c r="G590" s="351">
        <v>46240</v>
      </c>
      <c r="H590" s="119" t="s">
        <v>19</v>
      </c>
      <c r="I590" s="70"/>
      <c r="J590" s="563"/>
      <c r="K590" s="564"/>
      <c r="L590" s="70"/>
      <c r="M590" s="113"/>
      <c r="N590" s="403"/>
      <c r="O590" s="403"/>
      <c r="P590" s="70"/>
      <c r="Q590" s="404"/>
      <c r="R590" s="404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</row>
    <row r="591" spans="1:36" s="14" customFormat="1" hidden="1">
      <c r="A591" s="560" t="s">
        <v>1033</v>
      </c>
      <c r="B591" s="111" t="s">
        <v>1038</v>
      </c>
      <c r="C591" s="111"/>
      <c r="D591" s="119" t="s">
        <v>1035</v>
      </c>
      <c r="E591" s="121">
        <v>6252</v>
      </c>
      <c r="F591" s="125">
        <v>46240</v>
      </c>
      <c r="G591" s="351">
        <v>46240</v>
      </c>
      <c r="H591" s="119" t="s">
        <v>19</v>
      </c>
      <c r="I591" s="70"/>
      <c r="J591" s="563"/>
      <c r="K591" s="564"/>
      <c r="L591" s="70"/>
      <c r="M591" s="113"/>
      <c r="N591" s="403"/>
      <c r="O591" s="403"/>
      <c r="P591" s="70"/>
      <c r="Q591" s="404"/>
      <c r="R591" s="404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</row>
    <row r="592" spans="1:36" s="14" customFormat="1" hidden="1">
      <c r="A592" s="560" t="s">
        <v>1033</v>
      </c>
      <c r="B592" s="111" t="s">
        <v>1039</v>
      </c>
      <c r="C592" s="111"/>
      <c r="D592" s="119" t="s">
        <v>1035</v>
      </c>
      <c r="E592" s="121">
        <v>9252</v>
      </c>
      <c r="F592" s="125">
        <v>46240</v>
      </c>
      <c r="G592" s="351">
        <v>46240</v>
      </c>
      <c r="H592" s="119" t="s">
        <v>19</v>
      </c>
      <c r="I592" s="70"/>
      <c r="J592" s="563"/>
      <c r="K592" s="564"/>
      <c r="L592" s="70"/>
      <c r="M592" s="113"/>
      <c r="N592" s="403"/>
      <c r="O592" s="403"/>
      <c r="P592" s="70"/>
      <c r="Q592" s="404"/>
      <c r="R592" s="404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</row>
    <row r="593" spans="1:36" s="14" customFormat="1" hidden="1">
      <c r="A593" s="560" t="s">
        <v>1033</v>
      </c>
      <c r="B593" s="111" t="s">
        <v>1040</v>
      </c>
      <c r="C593" s="111"/>
      <c r="D593" s="119" t="s">
        <v>1035</v>
      </c>
      <c r="E593" s="121">
        <v>6358</v>
      </c>
      <c r="F593" s="125">
        <v>46240</v>
      </c>
      <c r="G593" s="351">
        <v>46240</v>
      </c>
      <c r="H593" s="119" t="s">
        <v>19</v>
      </c>
      <c r="I593" s="70"/>
      <c r="J593" s="563"/>
      <c r="K593" s="564"/>
      <c r="L593" s="70"/>
      <c r="M593" s="113"/>
      <c r="N593" s="403"/>
      <c r="O593" s="403"/>
      <c r="P593" s="70"/>
      <c r="Q593" s="404"/>
      <c r="R593" s="404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</row>
    <row r="594" spans="1:36" s="14" customFormat="1" hidden="1">
      <c r="A594" s="560" t="s">
        <v>1033</v>
      </c>
      <c r="B594" s="111" t="s">
        <v>1041</v>
      </c>
      <c r="C594" s="111"/>
      <c r="D594" s="119" t="s">
        <v>1035</v>
      </c>
      <c r="E594" s="121">
        <v>5102</v>
      </c>
      <c r="F594" s="125">
        <v>46240</v>
      </c>
      <c r="G594" s="351">
        <v>46240</v>
      </c>
      <c r="H594" s="119" t="s">
        <v>19</v>
      </c>
      <c r="I594" s="70"/>
      <c r="J594" s="563"/>
      <c r="K594" s="564"/>
      <c r="L594" s="70"/>
      <c r="M594" s="113"/>
      <c r="N594" s="403"/>
      <c r="O594" s="403"/>
      <c r="P594" s="70"/>
      <c r="Q594" s="404"/>
      <c r="R594" s="404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</row>
    <row r="595" spans="1:36" s="14" customFormat="1" hidden="1">
      <c r="A595" s="560" t="s">
        <v>1033</v>
      </c>
      <c r="B595" s="111" t="s">
        <v>1042</v>
      </c>
      <c r="C595" s="111"/>
      <c r="D595" s="119" t="s">
        <v>1035</v>
      </c>
      <c r="E595" s="121">
        <v>2899</v>
      </c>
      <c r="F595" s="125">
        <v>46240</v>
      </c>
      <c r="G595" s="351">
        <v>46240</v>
      </c>
      <c r="H595" s="119" t="s">
        <v>19</v>
      </c>
      <c r="I595" s="70"/>
      <c r="J595" s="563"/>
      <c r="K595" s="564"/>
      <c r="L595" s="70"/>
      <c r="M595" s="113"/>
      <c r="N595" s="403"/>
      <c r="O595" s="403"/>
      <c r="P595" s="70"/>
      <c r="Q595" s="404"/>
      <c r="R595" s="404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</row>
    <row r="596" spans="1:36" s="14" customFormat="1" hidden="1">
      <c r="A596" s="560" t="s">
        <v>1033</v>
      </c>
      <c r="B596" s="111" t="s">
        <v>1043</v>
      </c>
      <c r="C596" s="111"/>
      <c r="D596" s="119" t="s">
        <v>1035</v>
      </c>
      <c r="E596" s="121">
        <v>1660.53</v>
      </c>
      <c r="F596" s="125">
        <v>46240</v>
      </c>
      <c r="G596" s="351">
        <v>46240</v>
      </c>
      <c r="H596" s="119" t="s">
        <v>19</v>
      </c>
      <c r="I596" s="70"/>
      <c r="J596" s="563"/>
      <c r="K596" s="564"/>
      <c r="L596" s="70"/>
      <c r="M596" s="113"/>
      <c r="N596" s="403"/>
      <c r="O596" s="403"/>
      <c r="P596" s="70"/>
      <c r="Q596" s="404"/>
      <c r="R596" s="404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</row>
    <row r="597" spans="1:36" s="14" customFormat="1" hidden="1">
      <c r="A597" s="560" t="s">
        <v>1033</v>
      </c>
      <c r="B597" s="111" t="s">
        <v>1044</v>
      </c>
      <c r="C597" s="111"/>
      <c r="D597" s="119" t="s">
        <v>1035</v>
      </c>
      <c r="E597" s="121">
        <v>2500</v>
      </c>
      <c r="F597" s="125">
        <v>46240</v>
      </c>
      <c r="G597" s="351">
        <v>46240</v>
      </c>
      <c r="H597" s="119" t="s">
        <v>19</v>
      </c>
      <c r="I597" s="70"/>
      <c r="J597" s="563"/>
      <c r="K597" s="564"/>
      <c r="L597" s="70"/>
      <c r="M597" s="113"/>
      <c r="N597" s="403"/>
      <c r="O597" s="403"/>
      <c r="P597" s="70"/>
      <c r="Q597" s="404"/>
      <c r="R597" s="404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</row>
    <row r="598" spans="1:36" s="14" customFormat="1" hidden="1">
      <c r="A598" s="560" t="s">
        <v>1033</v>
      </c>
      <c r="B598" s="111" t="s">
        <v>1045</v>
      </c>
      <c r="C598" s="111"/>
      <c r="D598" s="119" t="s">
        <v>1035</v>
      </c>
      <c r="E598" s="121">
        <v>3800</v>
      </c>
      <c r="F598" s="125">
        <v>46240</v>
      </c>
      <c r="G598" s="351">
        <v>46240</v>
      </c>
      <c r="H598" s="119" t="s">
        <v>19</v>
      </c>
      <c r="I598" s="70"/>
      <c r="J598" s="563"/>
      <c r="K598" s="564"/>
      <c r="L598" s="70"/>
      <c r="M598" s="113"/>
      <c r="N598" s="403"/>
      <c r="O598" s="403"/>
      <c r="P598" s="70"/>
      <c r="Q598" s="404"/>
      <c r="R598" s="404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</row>
    <row r="599" spans="1:36" s="14" customFormat="1" hidden="1">
      <c r="A599" s="560" t="s">
        <v>1033</v>
      </c>
      <c r="B599" s="111" t="s">
        <v>1046</v>
      </c>
      <c r="C599" s="111"/>
      <c r="D599" s="119" t="s">
        <v>1035</v>
      </c>
      <c r="E599" s="121">
        <v>1350</v>
      </c>
      <c r="F599" s="125">
        <v>46241</v>
      </c>
      <c r="G599" s="351">
        <v>46241</v>
      </c>
      <c r="H599" s="119" t="s">
        <v>19</v>
      </c>
      <c r="I599" s="70"/>
      <c r="J599" s="563"/>
      <c r="K599" s="564"/>
      <c r="L599" s="70"/>
      <c r="M599" s="113"/>
      <c r="N599" s="403"/>
      <c r="O599" s="403"/>
      <c r="P599" s="70"/>
      <c r="Q599" s="404"/>
      <c r="R599" s="404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</row>
    <row r="600" spans="1:36" s="14" customFormat="1" hidden="1">
      <c r="A600" s="560" t="s">
        <v>1033</v>
      </c>
      <c r="B600" s="111" t="s">
        <v>1047</v>
      </c>
      <c r="C600" s="111"/>
      <c r="D600" s="119" t="s">
        <v>1035</v>
      </c>
      <c r="E600" s="121">
        <v>3066.67</v>
      </c>
      <c r="F600" s="125">
        <v>46241</v>
      </c>
      <c r="G600" s="351">
        <v>46241</v>
      </c>
      <c r="H600" s="119" t="s">
        <v>19</v>
      </c>
      <c r="I600" s="70"/>
      <c r="J600" s="563"/>
      <c r="K600" s="564"/>
      <c r="L600" s="70"/>
      <c r="M600" s="113"/>
      <c r="N600" s="403"/>
      <c r="O600" s="403"/>
      <c r="P600" s="70"/>
      <c r="Q600" s="404"/>
      <c r="R600" s="404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</row>
    <row r="601" spans="1:36" s="14" customFormat="1" hidden="1">
      <c r="A601" s="560" t="s">
        <v>1033</v>
      </c>
      <c r="B601" s="111" t="s">
        <v>1048</v>
      </c>
      <c r="C601" s="111"/>
      <c r="D601" s="119" t="s">
        <v>1035</v>
      </c>
      <c r="E601" s="121">
        <v>150</v>
      </c>
      <c r="F601" s="125">
        <v>46241</v>
      </c>
      <c r="G601" s="351">
        <v>46241</v>
      </c>
      <c r="H601" s="119" t="s">
        <v>19</v>
      </c>
      <c r="I601" s="70"/>
      <c r="J601" s="563"/>
      <c r="K601" s="564"/>
      <c r="L601" s="70"/>
      <c r="M601" s="113"/>
      <c r="N601" s="403"/>
      <c r="O601" s="403"/>
      <c r="P601" s="70"/>
      <c r="Q601" s="404"/>
      <c r="R601" s="404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</row>
    <row r="602" spans="1:36" s="14" customFormat="1" hidden="1">
      <c r="A602" s="560" t="s">
        <v>1033</v>
      </c>
      <c r="B602" s="111" t="s">
        <v>1049</v>
      </c>
      <c r="C602" s="111"/>
      <c r="D602" s="119" t="s">
        <v>1035</v>
      </c>
      <c r="E602" s="121">
        <v>1354.93</v>
      </c>
      <c r="F602" s="125">
        <v>46241</v>
      </c>
      <c r="G602" s="351">
        <v>46241</v>
      </c>
      <c r="H602" s="119" t="s">
        <v>19</v>
      </c>
      <c r="I602" s="70"/>
      <c r="J602" s="563"/>
      <c r="K602" s="564"/>
      <c r="L602" s="70"/>
      <c r="M602" s="113"/>
      <c r="N602" s="403"/>
      <c r="O602" s="403"/>
      <c r="P602" s="70"/>
      <c r="Q602" s="404"/>
      <c r="R602" s="404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</row>
    <row r="603" spans="1:36" s="14" customFormat="1" hidden="1">
      <c r="A603" s="560" t="s">
        <v>1033</v>
      </c>
      <c r="B603" s="111" t="s">
        <v>1050</v>
      </c>
      <c r="C603" s="111"/>
      <c r="D603" s="119" t="s">
        <v>1035</v>
      </c>
      <c r="E603" s="121">
        <v>150</v>
      </c>
      <c r="F603" s="125">
        <v>46241</v>
      </c>
      <c r="G603" s="351">
        <v>46241</v>
      </c>
      <c r="H603" s="119" t="s">
        <v>19</v>
      </c>
      <c r="I603" s="70"/>
      <c r="J603" s="563"/>
      <c r="K603" s="564"/>
      <c r="L603" s="70"/>
      <c r="M603" s="113"/>
      <c r="N603" s="403"/>
      <c r="O603" s="403"/>
      <c r="P603" s="70"/>
      <c r="Q603" s="404"/>
      <c r="R603" s="404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</row>
    <row r="604" spans="1:36" s="14" customFormat="1" hidden="1">
      <c r="A604" s="560" t="s">
        <v>1033</v>
      </c>
      <c r="B604" s="111" t="s">
        <v>1051</v>
      </c>
      <c r="C604" s="111"/>
      <c r="D604" s="119" t="s">
        <v>1035</v>
      </c>
      <c r="E604" s="121">
        <v>150</v>
      </c>
      <c r="F604" s="125">
        <v>46241</v>
      </c>
      <c r="G604" s="351">
        <v>46241</v>
      </c>
      <c r="H604" s="119" t="s">
        <v>19</v>
      </c>
      <c r="I604" s="70"/>
      <c r="J604" s="563"/>
      <c r="K604" s="564"/>
      <c r="L604" s="70"/>
      <c r="M604" s="113"/>
      <c r="N604" s="403"/>
      <c r="O604" s="403"/>
      <c r="P604" s="70"/>
      <c r="Q604" s="404"/>
      <c r="R604" s="404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</row>
    <row r="605" spans="1:36" s="14" customFormat="1" hidden="1">
      <c r="A605" s="560" t="s">
        <v>1033</v>
      </c>
      <c r="B605" s="111" t="s">
        <v>1052</v>
      </c>
      <c r="C605" s="111"/>
      <c r="D605" s="119" t="s">
        <v>1053</v>
      </c>
      <c r="E605" s="121">
        <v>800</v>
      </c>
      <c r="F605" s="125">
        <v>46244</v>
      </c>
      <c r="G605" s="351">
        <v>46244</v>
      </c>
      <c r="H605" s="119" t="s">
        <v>19</v>
      </c>
      <c r="I605" s="70"/>
      <c r="J605" s="563"/>
      <c r="K605" s="564"/>
      <c r="L605" s="70"/>
      <c r="M605" s="113"/>
      <c r="N605" s="403"/>
      <c r="O605" s="403"/>
      <c r="P605" s="70"/>
      <c r="Q605" s="404"/>
      <c r="R605" s="404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</row>
    <row r="606" spans="1:36" s="14" customFormat="1" hidden="1">
      <c r="A606" s="560" t="s">
        <v>1033</v>
      </c>
      <c r="B606" s="111" t="s">
        <v>1054</v>
      </c>
      <c r="C606" s="111"/>
      <c r="D606" s="119" t="s">
        <v>1053</v>
      </c>
      <c r="E606" s="121">
        <v>1000</v>
      </c>
      <c r="F606" s="125">
        <v>46245</v>
      </c>
      <c r="G606" s="351">
        <v>46245</v>
      </c>
      <c r="H606" s="119" t="s">
        <v>19</v>
      </c>
      <c r="I606" s="70"/>
      <c r="J606" s="563"/>
      <c r="K606" s="564"/>
      <c r="L606" s="70"/>
      <c r="M606" s="113"/>
      <c r="N606" s="403"/>
      <c r="O606" s="403"/>
      <c r="P606" s="70"/>
      <c r="Q606" s="404"/>
      <c r="R606" s="404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</row>
    <row r="607" spans="1:36" s="14" customFormat="1" hidden="1">
      <c r="A607" s="560" t="s">
        <v>1033</v>
      </c>
      <c r="B607" s="111" t="s">
        <v>1055</v>
      </c>
      <c r="C607" s="111"/>
      <c r="D607" s="119" t="s">
        <v>1053</v>
      </c>
      <c r="E607" s="121">
        <v>200</v>
      </c>
      <c r="F607" s="125">
        <v>46247</v>
      </c>
      <c r="G607" s="351">
        <v>46247</v>
      </c>
      <c r="H607" s="119" t="s">
        <v>19</v>
      </c>
      <c r="I607" s="560"/>
      <c r="J607" s="563"/>
      <c r="K607" s="564"/>
      <c r="L607" s="70"/>
      <c r="M607" s="113"/>
      <c r="N607" s="403"/>
      <c r="O607" s="403"/>
      <c r="P607" s="70"/>
      <c r="Q607" s="404"/>
      <c r="R607" s="404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</row>
    <row r="608" spans="1:36" s="14" customFormat="1" hidden="1">
      <c r="A608" s="560" t="s">
        <v>1033</v>
      </c>
      <c r="B608" s="111" t="s">
        <v>1056</v>
      </c>
      <c r="C608" s="111"/>
      <c r="D608" s="119" t="s">
        <v>1053</v>
      </c>
      <c r="E608" s="121">
        <v>6237.63</v>
      </c>
      <c r="F608" s="125">
        <v>46254</v>
      </c>
      <c r="G608" s="351">
        <v>46254</v>
      </c>
      <c r="H608" s="119" t="s">
        <v>19</v>
      </c>
      <c r="I608" s="560"/>
      <c r="J608" s="563"/>
      <c r="K608" s="564"/>
      <c r="L608" s="70"/>
      <c r="M608" s="113"/>
      <c r="N608" s="403"/>
      <c r="O608" s="403"/>
      <c r="P608" s="70"/>
      <c r="Q608" s="404"/>
      <c r="R608" s="404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</row>
    <row r="609" spans="1:36" s="14" customFormat="1" hidden="1">
      <c r="A609" s="560" t="s">
        <v>1033</v>
      </c>
      <c r="B609" s="111" t="s">
        <v>1057</v>
      </c>
      <c r="C609" s="111"/>
      <c r="D609" s="119" t="s">
        <v>1053</v>
      </c>
      <c r="E609" s="121">
        <v>3000</v>
      </c>
      <c r="F609" s="125">
        <v>46254</v>
      </c>
      <c r="G609" s="351">
        <v>46254</v>
      </c>
      <c r="H609" s="119" t="s">
        <v>19</v>
      </c>
      <c r="I609" s="560"/>
      <c r="J609" s="532"/>
      <c r="K609" s="533"/>
      <c r="L609" s="70"/>
      <c r="M609" s="113"/>
      <c r="N609" s="403"/>
      <c r="O609" s="403"/>
      <c r="P609" s="70"/>
      <c r="Q609" s="404"/>
      <c r="R609" s="404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</row>
    <row r="610" spans="1:36" s="14" customFormat="1" hidden="1">
      <c r="A610" s="560" t="s">
        <v>1033</v>
      </c>
      <c r="B610" s="111" t="s">
        <v>1058</v>
      </c>
      <c r="C610" s="111"/>
      <c r="D610" s="119" t="s">
        <v>1053</v>
      </c>
      <c r="E610" s="121">
        <v>3000</v>
      </c>
      <c r="F610" s="125">
        <v>46254</v>
      </c>
      <c r="G610" s="351">
        <v>46254</v>
      </c>
      <c r="H610" s="119" t="s">
        <v>19</v>
      </c>
      <c r="I610" s="560"/>
      <c r="J610" s="563"/>
      <c r="K610" s="564"/>
      <c r="L610" s="70"/>
      <c r="M610" s="113"/>
      <c r="N610" s="403"/>
      <c r="O610" s="403"/>
      <c r="P610" s="70"/>
      <c r="Q610" s="404"/>
      <c r="R610" s="404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</row>
    <row r="611" spans="1:36" s="14" customFormat="1" hidden="1">
      <c r="A611" s="560" t="s">
        <v>1033</v>
      </c>
      <c r="B611" s="111" t="s">
        <v>1059</v>
      </c>
      <c r="C611" s="111"/>
      <c r="D611" s="119" t="s">
        <v>1053</v>
      </c>
      <c r="E611" s="121">
        <v>3000</v>
      </c>
      <c r="F611" s="125">
        <v>46254</v>
      </c>
      <c r="G611" s="351">
        <v>46254</v>
      </c>
      <c r="H611" s="119" t="s">
        <v>19</v>
      </c>
      <c r="I611" s="560"/>
      <c r="J611" s="563"/>
      <c r="K611" s="564"/>
      <c r="L611" s="70"/>
      <c r="M611" s="113"/>
      <c r="N611" s="403"/>
      <c r="O611" s="403"/>
      <c r="P611" s="70"/>
      <c r="Q611" s="404"/>
      <c r="R611" s="404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</row>
    <row r="612" spans="1:36" s="14" customFormat="1" hidden="1">
      <c r="A612" s="560" t="s">
        <v>1033</v>
      </c>
      <c r="B612" s="111" t="s">
        <v>1060</v>
      </c>
      <c r="C612" s="111"/>
      <c r="D612" s="119" t="s">
        <v>1053</v>
      </c>
      <c r="E612" s="121">
        <v>3000</v>
      </c>
      <c r="F612" s="125">
        <v>46254</v>
      </c>
      <c r="G612" s="351">
        <v>46254</v>
      </c>
      <c r="H612" s="119" t="s">
        <v>19</v>
      </c>
      <c r="I612" s="70"/>
      <c r="J612" s="563"/>
      <c r="K612" s="564"/>
      <c r="L612" s="70"/>
      <c r="M612" s="113"/>
      <c r="N612" s="403"/>
      <c r="O612" s="403"/>
      <c r="P612" s="70"/>
      <c r="Q612" s="404"/>
      <c r="R612" s="404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</row>
    <row r="613" spans="1:36" s="14" customFormat="1" hidden="1">
      <c r="A613" s="560" t="s">
        <v>1033</v>
      </c>
      <c r="B613" s="111" t="s">
        <v>1061</v>
      </c>
      <c r="C613" s="111"/>
      <c r="D613" s="119" t="s">
        <v>1053</v>
      </c>
      <c r="E613" s="121">
        <v>3000</v>
      </c>
      <c r="F613" s="125">
        <v>46254</v>
      </c>
      <c r="G613" s="351">
        <v>46254</v>
      </c>
      <c r="H613" s="119" t="s">
        <v>19</v>
      </c>
      <c r="I613" s="70"/>
      <c r="J613" s="563"/>
      <c r="K613" s="564"/>
      <c r="L613" s="70"/>
      <c r="M613" s="113"/>
      <c r="N613" s="403"/>
      <c r="O613" s="403"/>
      <c r="P613" s="70"/>
      <c r="Q613" s="404"/>
      <c r="R613" s="404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</row>
    <row r="614" spans="1:36" s="14" customFormat="1" hidden="1">
      <c r="A614" s="560" t="s">
        <v>1033</v>
      </c>
      <c r="B614" s="111" t="s">
        <v>1062</v>
      </c>
      <c r="C614" s="111"/>
      <c r="D614" s="119" t="s">
        <v>1053</v>
      </c>
      <c r="E614" s="121">
        <v>3000</v>
      </c>
      <c r="F614" s="125">
        <v>46254</v>
      </c>
      <c r="G614" s="351">
        <v>46254</v>
      </c>
      <c r="H614" s="119" t="s">
        <v>19</v>
      </c>
      <c r="I614" s="70"/>
      <c r="J614" s="563"/>
      <c r="K614" s="564"/>
      <c r="L614" s="70"/>
      <c r="M614" s="113"/>
      <c r="N614" s="403"/>
      <c r="O614" s="403"/>
      <c r="P614" s="70"/>
      <c r="Q614" s="404"/>
      <c r="R614" s="404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</row>
    <row r="615" spans="1:36" s="14" customFormat="1" hidden="1">
      <c r="A615" s="560" t="s">
        <v>1033</v>
      </c>
      <c r="B615" s="111" t="s">
        <v>1063</v>
      </c>
      <c r="C615" s="111"/>
      <c r="D615" s="119" t="s">
        <v>1053</v>
      </c>
      <c r="E615" s="121">
        <v>3000</v>
      </c>
      <c r="F615" s="125">
        <v>46254</v>
      </c>
      <c r="G615" s="351">
        <v>46254</v>
      </c>
      <c r="H615" s="119" t="s">
        <v>19</v>
      </c>
      <c r="I615" s="70"/>
      <c r="J615" s="563"/>
      <c r="K615" s="564"/>
      <c r="L615" s="70"/>
      <c r="M615" s="113"/>
      <c r="N615" s="403"/>
      <c r="O615" s="403"/>
      <c r="P615" s="70"/>
      <c r="Q615" s="404"/>
      <c r="R615" s="404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</row>
    <row r="616" spans="1:36" s="14" customFormat="1" hidden="1">
      <c r="A616" s="560" t="s">
        <v>1033</v>
      </c>
      <c r="B616" s="111" t="s">
        <v>1064</v>
      </c>
      <c r="C616" s="111"/>
      <c r="D616" s="119" t="s">
        <v>1053</v>
      </c>
      <c r="E616" s="121">
        <v>1000</v>
      </c>
      <c r="F616" s="125">
        <v>46255</v>
      </c>
      <c r="G616" s="351">
        <v>46255</v>
      </c>
      <c r="H616" s="119" t="s">
        <v>19</v>
      </c>
      <c r="I616" s="70"/>
      <c r="J616" s="563"/>
      <c r="K616" s="564"/>
      <c r="L616" s="70"/>
      <c r="M616" s="113"/>
      <c r="N616" s="403"/>
      <c r="O616" s="403"/>
      <c r="P616" s="70"/>
      <c r="Q616" s="404"/>
      <c r="R616" s="404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</row>
    <row r="617" spans="1:36" s="14" customFormat="1" hidden="1">
      <c r="A617" s="560" t="s">
        <v>1033</v>
      </c>
      <c r="B617" s="111" t="s">
        <v>1065</v>
      </c>
      <c r="C617" s="111"/>
      <c r="D617" s="119" t="s">
        <v>1053</v>
      </c>
      <c r="E617" s="121">
        <v>600</v>
      </c>
      <c r="F617" s="125">
        <v>46265</v>
      </c>
      <c r="G617" s="351">
        <v>46265</v>
      </c>
      <c r="H617" s="119" t="s">
        <v>19</v>
      </c>
      <c r="I617" s="70"/>
      <c r="J617" s="563"/>
      <c r="K617" s="564"/>
      <c r="L617" s="70"/>
      <c r="M617" s="113"/>
      <c r="N617" s="403"/>
      <c r="O617" s="403"/>
      <c r="P617" s="70"/>
      <c r="Q617" s="404"/>
      <c r="R617" s="404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</row>
    <row r="618" spans="1:36" s="14" customFormat="1" hidden="1">
      <c r="A618" s="560" t="s">
        <v>1033</v>
      </c>
      <c r="B618" s="111" t="s">
        <v>1034</v>
      </c>
      <c r="C618" s="111"/>
      <c r="D618" s="119" t="s">
        <v>1053</v>
      </c>
      <c r="E618" s="121">
        <v>4500</v>
      </c>
      <c r="F618" s="125">
        <v>46269</v>
      </c>
      <c r="G618" s="125">
        <v>46269</v>
      </c>
      <c r="H618" s="119" t="s">
        <v>445</v>
      </c>
      <c r="I618" s="70"/>
      <c r="J618" s="563"/>
      <c r="K618" s="564"/>
      <c r="L618" s="70"/>
      <c r="M618" s="113"/>
      <c r="N618" s="403"/>
      <c r="O618" s="403"/>
      <c r="P618" s="70"/>
      <c r="Q618" s="404"/>
      <c r="R618" s="404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</row>
    <row r="619" spans="1:36" s="14" customFormat="1" hidden="1">
      <c r="A619" s="560" t="s">
        <v>1033</v>
      </c>
      <c r="B619" s="111" t="s">
        <v>1066</v>
      </c>
      <c r="C619" s="111"/>
      <c r="D619" s="119" t="s">
        <v>1053</v>
      </c>
      <c r="E619" s="121">
        <v>5911.97</v>
      </c>
      <c r="F619" s="125">
        <v>46269</v>
      </c>
      <c r="G619" s="125">
        <v>46269</v>
      </c>
      <c r="H619" s="119" t="s">
        <v>445</v>
      </c>
      <c r="I619" s="70"/>
      <c r="J619" s="563"/>
      <c r="K619" s="564"/>
      <c r="L619" s="70"/>
      <c r="M619" s="113"/>
      <c r="N619" s="403"/>
      <c r="O619" s="403"/>
      <c r="P619" s="70"/>
      <c r="Q619" s="404"/>
      <c r="R619" s="404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</row>
    <row r="620" spans="1:36" s="14" customFormat="1" hidden="1">
      <c r="A620" s="560" t="s">
        <v>1033</v>
      </c>
      <c r="B620" s="111" t="s">
        <v>1067</v>
      </c>
      <c r="C620" s="111"/>
      <c r="D620" s="119" t="s">
        <v>1053</v>
      </c>
      <c r="E620" s="121">
        <v>3136.33</v>
      </c>
      <c r="F620" s="125">
        <v>46269</v>
      </c>
      <c r="G620" s="125">
        <v>46269</v>
      </c>
      <c r="H620" s="119" t="s">
        <v>445</v>
      </c>
      <c r="I620" s="70"/>
      <c r="J620" s="563"/>
      <c r="K620" s="564"/>
      <c r="L620" s="70"/>
      <c r="M620" s="113"/>
      <c r="N620" s="403"/>
      <c r="O620" s="403"/>
      <c r="P620" s="70"/>
      <c r="Q620" s="404"/>
      <c r="R620" s="404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</row>
    <row r="621" spans="1:36" s="14" customFormat="1" hidden="1">
      <c r="A621" s="560" t="s">
        <v>1033</v>
      </c>
      <c r="B621" s="111" t="s">
        <v>1068</v>
      </c>
      <c r="C621" s="111"/>
      <c r="D621" s="119" t="s">
        <v>1053</v>
      </c>
      <c r="E621" s="121">
        <v>4301.83</v>
      </c>
      <c r="F621" s="125">
        <v>46269</v>
      </c>
      <c r="G621" s="125">
        <v>46269</v>
      </c>
      <c r="H621" s="119" t="s">
        <v>445</v>
      </c>
      <c r="I621" s="70"/>
      <c r="J621" s="563"/>
      <c r="K621" s="564"/>
      <c r="L621" s="70"/>
      <c r="M621" s="113"/>
      <c r="N621" s="403"/>
      <c r="O621" s="403"/>
      <c r="P621" s="70"/>
      <c r="Q621" s="404"/>
      <c r="R621" s="404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</row>
    <row r="622" spans="1:36" s="14" customFormat="1" hidden="1">
      <c r="A622" s="560" t="s">
        <v>1033</v>
      </c>
      <c r="B622" s="111" t="s">
        <v>1069</v>
      </c>
      <c r="C622" s="111"/>
      <c r="D622" s="119" t="s">
        <v>1053</v>
      </c>
      <c r="E622" s="121">
        <v>6426.58</v>
      </c>
      <c r="F622" s="125">
        <v>46269</v>
      </c>
      <c r="G622" s="125">
        <v>46269</v>
      </c>
      <c r="H622" s="119" t="s">
        <v>445</v>
      </c>
      <c r="I622" s="70"/>
      <c r="J622" s="563"/>
      <c r="K622" s="564"/>
      <c r="L622" s="70"/>
      <c r="M622" s="113"/>
      <c r="N622" s="403"/>
      <c r="O622" s="403"/>
      <c r="P622" s="70"/>
      <c r="Q622" s="404"/>
      <c r="R622" s="404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</row>
    <row r="623" spans="1:36" s="14" customFormat="1" hidden="1">
      <c r="A623" s="560" t="s">
        <v>1033</v>
      </c>
      <c r="B623" s="111" t="s">
        <v>1070</v>
      </c>
      <c r="C623" s="111"/>
      <c r="D623" s="119" t="s">
        <v>1053</v>
      </c>
      <c r="E623" s="121">
        <v>2950.8</v>
      </c>
      <c r="F623" s="125">
        <v>46269</v>
      </c>
      <c r="G623" s="125">
        <v>46269</v>
      </c>
      <c r="H623" s="119" t="s">
        <v>445</v>
      </c>
      <c r="I623" s="70"/>
      <c r="J623" s="563"/>
      <c r="K623" s="564"/>
      <c r="L623" s="70"/>
      <c r="M623" s="113"/>
      <c r="N623" s="403"/>
      <c r="O623" s="403"/>
      <c r="P623" s="70"/>
      <c r="Q623" s="404"/>
      <c r="R623" s="404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</row>
    <row r="624" spans="1:36" s="14" customFormat="1" hidden="1">
      <c r="A624" s="560" t="s">
        <v>1033</v>
      </c>
      <c r="B624" s="111" t="s">
        <v>1071</v>
      </c>
      <c r="C624" s="111"/>
      <c r="D624" s="119" t="s">
        <v>1053</v>
      </c>
      <c r="E624" s="121">
        <v>5574.89</v>
      </c>
      <c r="F624" s="125">
        <v>46269</v>
      </c>
      <c r="G624" s="125">
        <v>46269</v>
      </c>
      <c r="H624" s="119" t="s">
        <v>445</v>
      </c>
      <c r="I624" s="70"/>
      <c r="J624" s="563"/>
      <c r="K624" s="564"/>
      <c r="L624" s="70"/>
      <c r="M624" s="113"/>
      <c r="N624" s="403"/>
      <c r="O624" s="403"/>
      <c r="P624" s="70"/>
      <c r="Q624" s="404"/>
      <c r="R624" s="404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</row>
    <row r="625" spans="1:36" s="14" customFormat="1" hidden="1">
      <c r="A625" s="560" t="s">
        <v>1033</v>
      </c>
      <c r="B625" s="111" t="s">
        <v>1072</v>
      </c>
      <c r="C625" s="111"/>
      <c r="D625" s="119" t="s">
        <v>1053</v>
      </c>
      <c r="E625" s="121">
        <v>445.43</v>
      </c>
      <c r="F625" s="125">
        <v>46269</v>
      </c>
      <c r="G625" s="125">
        <v>46269</v>
      </c>
      <c r="H625" s="119" t="s">
        <v>445</v>
      </c>
      <c r="I625" s="70"/>
      <c r="J625" s="563"/>
      <c r="K625" s="564"/>
      <c r="L625" s="70"/>
      <c r="M625" s="113"/>
      <c r="N625" s="403"/>
      <c r="O625" s="403"/>
      <c r="P625" s="70"/>
      <c r="Q625" s="404"/>
      <c r="R625" s="404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</row>
    <row r="626" spans="1:36" s="14" customFormat="1" hidden="1">
      <c r="A626" s="560" t="s">
        <v>1033</v>
      </c>
      <c r="B626" s="111" t="s">
        <v>1073</v>
      </c>
      <c r="C626" s="111"/>
      <c r="D626" s="119" t="s">
        <v>1053</v>
      </c>
      <c r="E626" s="121">
        <v>1927.77</v>
      </c>
      <c r="F626" s="125">
        <v>46269</v>
      </c>
      <c r="G626" s="125">
        <v>46269</v>
      </c>
      <c r="H626" s="119" t="s">
        <v>445</v>
      </c>
      <c r="I626" s="70"/>
      <c r="J626" s="563"/>
      <c r="K626" s="564"/>
      <c r="L626" s="70"/>
      <c r="M626" s="113"/>
      <c r="N626" s="403"/>
      <c r="O626" s="403"/>
      <c r="P626" s="70"/>
      <c r="Q626" s="404"/>
      <c r="R626" s="404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</row>
    <row r="627" spans="1:36" s="14" customFormat="1" hidden="1">
      <c r="A627" s="560" t="s">
        <v>1033</v>
      </c>
      <c r="B627" s="111" t="s">
        <v>1044</v>
      </c>
      <c r="C627" s="111"/>
      <c r="D627" s="119" t="s">
        <v>1053</v>
      </c>
      <c r="E627" s="121">
        <v>2500</v>
      </c>
      <c r="F627" s="125">
        <v>46269</v>
      </c>
      <c r="G627" s="125">
        <v>46269</v>
      </c>
      <c r="H627" s="119" t="s">
        <v>445</v>
      </c>
      <c r="I627" s="70"/>
      <c r="J627" s="563"/>
      <c r="K627" s="564"/>
      <c r="L627" s="70"/>
      <c r="M627" s="113"/>
      <c r="N627" s="403"/>
      <c r="O627" s="403"/>
      <c r="P627" s="70"/>
      <c r="Q627" s="404"/>
      <c r="R627" s="404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</row>
    <row r="628" spans="1:36" s="14" customFormat="1" hidden="1">
      <c r="A628" s="560" t="s">
        <v>1033</v>
      </c>
      <c r="B628" s="111" t="s">
        <v>1074</v>
      </c>
      <c r="C628" s="111"/>
      <c r="D628" s="119" t="s">
        <v>1053</v>
      </c>
      <c r="E628" s="121">
        <v>3800</v>
      </c>
      <c r="F628" s="125">
        <v>46269</v>
      </c>
      <c r="G628" s="125">
        <v>46269</v>
      </c>
      <c r="H628" s="119" t="s">
        <v>445</v>
      </c>
      <c r="I628" s="70"/>
      <c r="J628" s="563"/>
      <c r="K628" s="564"/>
      <c r="L628" s="70"/>
      <c r="M628" s="113"/>
      <c r="N628" s="403"/>
      <c r="O628" s="403"/>
      <c r="P628" s="70"/>
      <c r="Q628" s="404"/>
      <c r="R628" s="404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</row>
    <row r="629" spans="1:36" s="14" customFormat="1" hidden="1">
      <c r="A629" s="560" t="s">
        <v>1033</v>
      </c>
      <c r="B629" s="111" t="s">
        <v>1075</v>
      </c>
      <c r="C629" s="111"/>
      <c r="D629" s="119" t="s">
        <v>1053</v>
      </c>
      <c r="E629" s="121">
        <v>1350</v>
      </c>
      <c r="F629" s="125">
        <v>46269</v>
      </c>
      <c r="G629" s="125">
        <v>46269</v>
      </c>
      <c r="H629" s="119" t="s">
        <v>445</v>
      </c>
      <c r="I629" s="70"/>
      <c r="J629" s="532"/>
      <c r="K629" s="533"/>
      <c r="L629" s="70"/>
      <c r="M629" s="113"/>
      <c r="N629" s="403"/>
      <c r="O629" s="403"/>
      <c r="P629" s="70"/>
      <c r="Q629" s="404"/>
      <c r="R629" s="404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</row>
    <row r="630" spans="1:36" s="14" customFormat="1" hidden="1">
      <c r="A630" s="560" t="s">
        <v>1033</v>
      </c>
      <c r="B630" s="111" t="s">
        <v>1066</v>
      </c>
      <c r="C630" s="111"/>
      <c r="D630" s="119" t="s">
        <v>1053</v>
      </c>
      <c r="E630" s="121">
        <v>2448.23</v>
      </c>
      <c r="F630" s="125">
        <v>46273</v>
      </c>
      <c r="G630" s="125">
        <v>46273</v>
      </c>
      <c r="H630" s="119" t="s">
        <v>445</v>
      </c>
      <c r="I630" s="70"/>
      <c r="J630" s="532"/>
      <c r="K630" s="533"/>
      <c r="L630" s="70"/>
      <c r="M630" s="113"/>
      <c r="N630" s="403"/>
      <c r="O630" s="403"/>
      <c r="P630" s="70"/>
      <c r="Q630" s="404"/>
      <c r="R630" s="404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</row>
    <row r="631" spans="1:36" s="14" customFormat="1" hidden="1">
      <c r="A631" s="560" t="s">
        <v>1033</v>
      </c>
      <c r="B631" s="111" t="s">
        <v>1067</v>
      </c>
      <c r="C631" s="111"/>
      <c r="D631" s="119" t="s">
        <v>1053</v>
      </c>
      <c r="E631" s="121">
        <v>2052.09</v>
      </c>
      <c r="F631" s="125">
        <v>46273</v>
      </c>
      <c r="G631" s="125">
        <v>46273</v>
      </c>
      <c r="H631" s="119" t="s">
        <v>445</v>
      </c>
      <c r="I631" s="70"/>
      <c r="J631" s="532"/>
      <c r="K631" s="533"/>
      <c r="L631" s="70"/>
      <c r="M631" s="113"/>
      <c r="N631" s="403"/>
      <c r="O631" s="403"/>
      <c r="P631" s="70"/>
      <c r="Q631" s="404"/>
      <c r="R631" s="404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</row>
    <row r="632" spans="1:36" s="14" customFormat="1" hidden="1">
      <c r="A632" s="560" t="s">
        <v>1033</v>
      </c>
      <c r="B632" s="111" t="s">
        <v>1068</v>
      </c>
      <c r="C632" s="111"/>
      <c r="D632" s="119" t="s">
        <v>1053</v>
      </c>
      <c r="E632" s="121">
        <v>1836.47</v>
      </c>
      <c r="F632" s="125">
        <v>46273</v>
      </c>
      <c r="G632" s="125">
        <v>46273</v>
      </c>
      <c r="H632" s="119" t="s">
        <v>445</v>
      </c>
      <c r="I632" s="70"/>
      <c r="J632" s="532"/>
      <c r="K632" s="533"/>
      <c r="L632" s="70"/>
      <c r="M632" s="113"/>
      <c r="N632" s="403"/>
      <c r="O632" s="403"/>
      <c r="P632" s="70"/>
      <c r="Q632" s="404"/>
      <c r="R632" s="404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</row>
    <row r="633" spans="1:36" s="14" customFormat="1" hidden="1">
      <c r="A633" s="560" t="s">
        <v>1033</v>
      </c>
      <c r="B633" s="111" t="s">
        <v>1069</v>
      </c>
      <c r="C633" s="111"/>
      <c r="D633" s="119" t="s">
        <v>1053</v>
      </c>
      <c r="E633" s="121">
        <v>2448.23</v>
      </c>
      <c r="F633" s="125">
        <v>46273</v>
      </c>
      <c r="G633" s="125">
        <v>46273</v>
      </c>
      <c r="H633" s="119" t="s">
        <v>445</v>
      </c>
      <c r="I633" s="70"/>
      <c r="J633" s="532"/>
      <c r="K633" s="533"/>
      <c r="L633" s="70"/>
      <c r="M633" s="113"/>
      <c r="N633" s="403"/>
      <c r="O633" s="403"/>
      <c r="P633" s="70"/>
      <c r="Q633" s="404"/>
      <c r="R633" s="404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</row>
    <row r="634" spans="1:36" s="14" customFormat="1" hidden="1">
      <c r="A634" s="560" t="s">
        <v>1033</v>
      </c>
      <c r="B634" s="111" t="s">
        <v>1070</v>
      </c>
      <c r="C634" s="111"/>
      <c r="D634" s="119" t="s">
        <v>1053</v>
      </c>
      <c r="E634" s="121">
        <v>2124.23</v>
      </c>
      <c r="F634" s="125">
        <v>46273</v>
      </c>
      <c r="G634" s="125">
        <v>46273</v>
      </c>
      <c r="H634" s="119" t="s">
        <v>445</v>
      </c>
      <c r="I634" s="70"/>
      <c r="J634" s="532"/>
      <c r="K634" s="533"/>
      <c r="L634" s="70"/>
      <c r="M634" s="113"/>
      <c r="N634" s="403"/>
      <c r="O634" s="403"/>
      <c r="P634" s="70"/>
      <c r="Q634" s="404"/>
      <c r="R634" s="404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</row>
    <row r="635" spans="1:36" s="14" customFormat="1" hidden="1">
      <c r="A635" s="560" t="s">
        <v>1033</v>
      </c>
      <c r="B635" s="111" t="s">
        <v>1071</v>
      </c>
      <c r="C635" s="111"/>
      <c r="D635" s="119" t="s">
        <v>1053</v>
      </c>
      <c r="E635" s="121">
        <v>2448.23</v>
      </c>
      <c r="F635" s="125">
        <v>46273</v>
      </c>
      <c r="G635" s="125">
        <v>46273</v>
      </c>
      <c r="H635" s="119" t="s">
        <v>445</v>
      </c>
      <c r="I635" s="70"/>
      <c r="J635" s="532"/>
      <c r="K635" s="533"/>
      <c r="L635" s="70"/>
      <c r="M635" s="113"/>
      <c r="N635" s="403"/>
      <c r="O635" s="403"/>
      <c r="P635" s="70"/>
      <c r="Q635" s="404"/>
      <c r="R635" s="404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</row>
    <row r="636" spans="1:36" s="14" customFormat="1" hidden="1">
      <c r="A636" s="560" t="s">
        <v>1033</v>
      </c>
      <c r="B636" s="111" t="s">
        <v>1072</v>
      </c>
      <c r="C636" s="111"/>
      <c r="D636" s="119" t="s">
        <v>1053</v>
      </c>
      <c r="E636" s="121">
        <v>739.69</v>
      </c>
      <c r="F636" s="125">
        <v>46273</v>
      </c>
      <c r="G636" s="125">
        <v>46273</v>
      </c>
      <c r="H636" s="119" t="s">
        <v>445</v>
      </c>
      <c r="I636" s="70"/>
      <c r="J636" s="532"/>
      <c r="K636" s="533"/>
      <c r="L636" s="70"/>
      <c r="M636" s="113"/>
      <c r="N636" s="403"/>
      <c r="O636" s="403"/>
      <c r="P636" s="70"/>
      <c r="Q636" s="404"/>
      <c r="R636" s="404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</row>
    <row r="637" spans="1:36" s="14" customFormat="1" hidden="1">
      <c r="A637" s="560" t="s">
        <v>1033</v>
      </c>
      <c r="B637" s="111" t="s">
        <v>1073</v>
      </c>
      <c r="C637" s="111"/>
      <c r="D637" s="119" t="s">
        <v>1053</v>
      </c>
      <c r="E637" s="121">
        <v>2104.23</v>
      </c>
      <c r="F637" s="125">
        <v>46273</v>
      </c>
      <c r="G637" s="125">
        <v>46273</v>
      </c>
      <c r="H637" s="119" t="s">
        <v>445</v>
      </c>
      <c r="I637" s="70"/>
      <c r="J637" s="532"/>
      <c r="K637" s="533"/>
      <c r="L637" s="70"/>
      <c r="M637" s="113"/>
      <c r="N637" s="403"/>
      <c r="O637" s="403"/>
      <c r="P637" s="70"/>
      <c r="Q637" s="404"/>
      <c r="R637" s="404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</row>
    <row r="638" spans="1:36" s="14" customFormat="1" hidden="1">
      <c r="A638" s="560" t="s">
        <v>1033</v>
      </c>
      <c r="B638" s="111" t="s">
        <v>1076</v>
      </c>
      <c r="C638" s="111"/>
      <c r="D638" s="119" t="s">
        <v>1077</v>
      </c>
      <c r="E638" s="121">
        <v>1800</v>
      </c>
      <c r="F638" s="125">
        <v>46274</v>
      </c>
      <c r="G638" s="125">
        <v>46274</v>
      </c>
      <c r="H638" s="119" t="s">
        <v>19</v>
      </c>
      <c r="I638" s="88"/>
      <c r="J638" s="532"/>
      <c r="K638" s="533"/>
      <c r="L638" s="70"/>
      <c r="M638" s="113"/>
      <c r="N638" s="403"/>
      <c r="O638" s="403"/>
      <c r="P638" s="70"/>
      <c r="Q638" s="404"/>
      <c r="R638" s="404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</row>
    <row r="639" spans="1:36" s="14" customFormat="1" hidden="1">
      <c r="A639" s="560" t="s">
        <v>1033</v>
      </c>
      <c r="B639" s="111" t="s">
        <v>1078</v>
      </c>
      <c r="C639" s="111"/>
      <c r="D639" s="119"/>
      <c r="E639" s="121">
        <v>300</v>
      </c>
      <c r="F639" s="125">
        <v>46275</v>
      </c>
      <c r="G639" s="125">
        <v>46275</v>
      </c>
      <c r="H639" s="119" t="s">
        <v>445</v>
      </c>
      <c r="I639" s="88"/>
      <c r="J639" s="532"/>
      <c r="K639" s="533"/>
      <c r="L639" s="70"/>
      <c r="M639" s="113"/>
      <c r="N639" s="403"/>
      <c r="O639" s="403"/>
      <c r="P639" s="70"/>
      <c r="Q639" s="404"/>
      <c r="R639" s="404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</row>
    <row r="640" spans="1:36" s="14" customFormat="1" hidden="1">
      <c r="A640" s="560" t="s">
        <v>1033</v>
      </c>
      <c r="B640" s="111" t="s">
        <v>1079</v>
      </c>
      <c r="C640" s="111"/>
      <c r="D640" s="119" t="s">
        <v>1053</v>
      </c>
      <c r="E640" s="121">
        <v>390</v>
      </c>
      <c r="F640" s="125">
        <v>46276</v>
      </c>
      <c r="G640" s="125">
        <v>46276</v>
      </c>
      <c r="H640" s="119" t="s">
        <v>445</v>
      </c>
      <c r="I640" s="88"/>
      <c r="J640" s="532"/>
      <c r="K640" s="533"/>
      <c r="L640" s="70"/>
      <c r="M640" s="113"/>
      <c r="N640" s="403"/>
      <c r="O640" s="403"/>
      <c r="P640" s="70"/>
      <c r="Q640" s="404"/>
      <c r="R640" s="404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</row>
    <row r="641" spans="1:36" s="14" customFormat="1" hidden="1">
      <c r="A641" s="560" t="s">
        <v>1033</v>
      </c>
      <c r="B641" s="111" t="s">
        <v>1080</v>
      </c>
      <c r="C641" s="111"/>
      <c r="D641" s="119" t="s">
        <v>1053</v>
      </c>
      <c r="E641" s="121">
        <v>210</v>
      </c>
      <c r="F641" s="125">
        <v>46281</v>
      </c>
      <c r="G641" s="125">
        <v>46281</v>
      </c>
      <c r="H641" s="119" t="s">
        <v>19</v>
      </c>
      <c r="I641" s="88"/>
      <c r="J641" s="532"/>
      <c r="K641" s="533"/>
      <c r="L641" s="70"/>
      <c r="M641" s="113"/>
      <c r="N641" s="403"/>
      <c r="O641" s="403"/>
      <c r="P641" s="70"/>
      <c r="Q641" s="404"/>
      <c r="R641" s="404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</row>
    <row r="642" spans="1:36" s="14" customFormat="1" hidden="1">
      <c r="A642" s="560" t="s">
        <v>1033</v>
      </c>
      <c r="B642" s="111" t="s">
        <v>1081</v>
      </c>
      <c r="C642" s="111"/>
      <c r="D642" s="119" t="s">
        <v>1082</v>
      </c>
      <c r="E642" s="121">
        <v>4212.67</v>
      </c>
      <c r="F642" s="125">
        <v>46282</v>
      </c>
      <c r="G642" s="125">
        <v>46282</v>
      </c>
      <c r="H642" s="119" t="s">
        <v>19</v>
      </c>
      <c r="I642" s="70"/>
      <c r="J642" s="532"/>
      <c r="K642" s="533"/>
      <c r="L642" s="70"/>
      <c r="M642" s="113"/>
      <c r="N642" s="403"/>
      <c r="O642" s="403"/>
      <c r="P642" s="70"/>
      <c r="Q642" s="404"/>
      <c r="R642" s="404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</row>
    <row r="643" spans="1:36" s="14" customFormat="1" hidden="1">
      <c r="A643" s="560" t="s">
        <v>1033</v>
      </c>
      <c r="B643" s="111" t="s">
        <v>1057</v>
      </c>
      <c r="C643" s="111"/>
      <c r="D643" s="119" t="s">
        <v>1082</v>
      </c>
      <c r="E643" s="121">
        <v>3000</v>
      </c>
      <c r="F643" s="125">
        <v>46285</v>
      </c>
      <c r="G643" s="125">
        <v>46286</v>
      </c>
      <c r="H643" s="119" t="s">
        <v>19</v>
      </c>
      <c r="I643" s="70"/>
      <c r="J643" s="532"/>
      <c r="K643" s="533"/>
      <c r="L643" s="70"/>
      <c r="M643" s="113"/>
      <c r="N643" s="403"/>
      <c r="O643" s="403"/>
      <c r="P643" s="70"/>
      <c r="Q643" s="404"/>
      <c r="R643" s="404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</row>
    <row r="644" spans="1:36" s="14" customFormat="1" hidden="1">
      <c r="A644" s="560" t="s">
        <v>1033</v>
      </c>
      <c r="B644" s="111" t="s">
        <v>1058</v>
      </c>
      <c r="C644" s="111"/>
      <c r="D644" s="119" t="s">
        <v>1082</v>
      </c>
      <c r="E644" s="121">
        <v>3000</v>
      </c>
      <c r="F644" s="125">
        <v>46285</v>
      </c>
      <c r="G644" s="125">
        <v>46286</v>
      </c>
      <c r="H644" s="119" t="s">
        <v>19</v>
      </c>
      <c r="I644" s="70"/>
      <c r="J644" s="532"/>
      <c r="K644" s="533"/>
      <c r="L644" s="70"/>
      <c r="M644" s="113"/>
      <c r="N644" s="403"/>
      <c r="O644" s="403"/>
      <c r="P644" s="70"/>
      <c r="Q644" s="404"/>
      <c r="R644" s="404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</row>
    <row r="645" spans="1:36" s="14" customFormat="1" hidden="1">
      <c r="A645" s="560" t="s">
        <v>1033</v>
      </c>
      <c r="B645" s="111" t="s">
        <v>1059</v>
      </c>
      <c r="C645" s="111"/>
      <c r="D645" s="119" t="s">
        <v>1082</v>
      </c>
      <c r="E645" s="121">
        <v>3000</v>
      </c>
      <c r="F645" s="125">
        <v>46285</v>
      </c>
      <c r="G645" s="125">
        <v>46286</v>
      </c>
      <c r="H645" s="119" t="s">
        <v>19</v>
      </c>
      <c r="I645" s="70"/>
      <c r="J645" s="532"/>
      <c r="K645" s="533"/>
      <c r="L645" s="70"/>
      <c r="M645" s="113"/>
      <c r="N645" s="403"/>
      <c r="O645" s="403"/>
      <c r="P645" s="70"/>
      <c r="Q645" s="404"/>
      <c r="R645" s="404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</row>
    <row r="646" spans="1:36" s="14" customFormat="1" hidden="1">
      <c r="A646" s="560" t="s">
        <v>1033</v>
      </c>
      <c r="B646" s="111" t="s">
        <v>1061</v>
      </c>
      <c r="C646" s="111"/>
      <c r="D646" s="119" t="s">
        <v>1082</v>
      </c>
      <c r="E646" s="121">
        <v>3000</v>
      </c>
      <c r="F646" s="125">
        <v>46285</v>
      </c>
      <c r="G646" s="125">
        <v>46286</v>
      </c>
      <c r="H646" s="119" t="s">
        <v>19</v>
      </c>
      <c r="I646" s="70"/>
      <c r="J646" s="532"/>
      <c r="K646" s="533"/>
      <c r="L646" s="70"/>
      <c r="M646" s="113"/>
      <c r="N646" s="403"/>
      <c r="O646" s="403"/>
      <c r="P646" s="70"/>
      <c r="Q646" s="404"/>
      <c r="R646" s="404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</row>
    <row r="647" spans="1:36" s="14" customFormat="1" hidden="1">
      <c r="A647" s="560" t="s">
        <v>1033</v>
      </c>
      <c r="B647" s="111" t="s">
        <v>1062</v>
      </c>
      <c r="C647" s="111"/>
      <c r="D647" s="119" t="s">
        <v>1082</v>
      </c>
      <c r="E647" s="121">
        <v>3000</v>
      </c>
      <c r="F647" s="125">
        <v>46285</v>
      </c>
      <c r="G647" s="125">
        <v>46286</v>
      </c>
      <c r="H647" s="119" t="s">
        <v>19</v>
      </c>
      <c r="I647" s="70"/>
      <c r="J647" s="532"/>
      <c r="K647" s="533"/>
      <c r="L647" s="70"/>
      <c r="M647" s="113"/>
      <c r="N647" s="403"/>
      <c r="O647" s="403"/>
      <c r="P647" s="70"/>
      <c r="Q647" s="404"/>
      <c r="R647" s="404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</row>
    <row r="648" spans="1:36" s="14" customFormat="1" hidden="1">
      <c r="A648" s="560" t="s">
        <v>1033</v>
      </c>
      <c r="B648" s="111" t="s">
        <v>1063</v>
      </c>
      <c r="C648" s="111"/>
      <c r="D648" s="119" t="s">
        <v>1082</v>
      </c>
      <c r="E648" s="121">
        <v>3000</v>
      </c>
      <c r="F648" s="125">
        <v>46285</v>
      </c>
      <c r="G648" s="125">
        <v>46286</v>
      </c>
      <c r="H648" s="119" t="s">
        <v>19</v>
      </c>
      <c r="I648" s="70"/>
      <c r="J648" s="532"/>
      <c r="K648" s="533"/>
      <c r="L648" s="70"/>
      <c r="M648" s="113"/>
      <c r="N648" s="403"/>
      <c r="O648" s="403"/>
      <c r="P648" s="70"/>
      <c r="Q648" s="404"/>
      <c r="R648" s="404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</row>
    <row r="649" spans="1:36" s="14" customFormat="1" hidden="1">
      <c r="A649" s="560" t="s">
        <v>1033</v>
      </c>
      <c r="B649" s="111" t="s">
        <v>1083</v>
      </c>
      <c r="C649" s="111"/>
      <c r="D649" s="119" t="s">
        <v>1082</v>
      </c>
      <c r="E649" s="121">
        <v>1000</v>
      </c>
      <c r="F649" s="125">
        <v>46285</v>
      </c>
      <c r="G649" s="125">
        <v>46286</v>
      </c>
      <c r="H649" s="119" t="s">
        <v>19</v>
      </c>
      <c r="I649" s="70"/>
      <c r="J649" s="532"/>
      <c r="K649" s="533"/>
      <c r="L649" s="70"/>
      <c r="M649" s="113"/>
      <c r="N649" s="403"/>
      <c r="O649" s="403"/>
      <c r="P649" s="70"/>
      <c r="Q649" s="404"/>
      <c r="R649" s="404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</row>
    <row r="650" spans="1:36" s="14" customFormat="1" hidden="1">
      <c r="A650" s="560" t="s">
        <v>1033</v>
      </c>
      <c r="B650" s="111" t="s">
        <v>1084</v>
      </c>
      <c r="C650" s="111"/>
      <c r="D650" s="119" t="s">
        <v>1082</v>
      </c>
      <c r="E650" s="121">
        <v>3000</v>
      </c>
      <c r="F650" s="125">
        <v>46285</v>
      </c>
      <c r="G650" s="125">
        <v>46287</v>
      </c>
      <c r="H650" s="119" t="s">
        <v>19</v>
      </c>
      <c r="I650" s="70"/>
      <c r="J650" s="532"/>
      <c r="K650" s="533"/>
      <c r="L650" s="70"/>
      <c r="M650" s="113"/>
      <c r="N650" s="403"/>
      <c r="O650" s="403"/>
      <c r="P650" s="70"/>
      <c r="Q650" s="404"/>
      <c r="R650" s="404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</row>
    <row r="651" spans="1:36" s="14" customFormat="1">
      <c r="A651" s="437" t="s">
        <v>1033</v>
      </c>
      <c r="B651" s="114" t="s">
        <v>1085</v>
      </c>
      <c r="C651" s="439"/>
      <c r="D651" s="119"/>
      <c r="E651" s="121">
        <v>500</v>
      </c>
      <c r="F651" s="125">
        <v>46302</v>
      </c>
      <c r="G651" s="125" t="s">
        <v>366</v>
      </c>
      <c r="H651" s="125" t="s">
        <v>1086</v>
      </c>
      <c r="I651" s="70"/>
      <c r="J651" s="532"/>
      <c r="K651" s="533"/>
      <c r="L651" s="70"/>
      <c r="M651" s="113"/>
      <c r="N651" s="403"/>
      <c r="O651" s="403"/>
      <c r="P651" s="70"/>
      <c r="Q651" s="404"/>
      <c r="R651" s="404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</row>
    <row r="652" spans="1:36" s="14" customFormat="1" hidden="1">
      <c r="A652" s="560" t="s">
        <v>1033</v>
      </c>
      <c r="B652" s="111" t="s">
        <v>1087</v>
      </c>
      <c r="C652" s="111"/>
      <c r="D652" s="119"/>
      <c r="E652" s="121">
        <v>500</v>
      </c>
      <c r="F652" s="351">
        <v>46293</v>
      </c>
      <c r="G652" s="125">
        <v>46293</v>
      </c>
      <c r="H652" s="125" t="s">
        <v>19</v>
      </c>
      <c r="I652" s="70"/>
      <c r="J652" s="532"/>
      <c r="K652" s="533"/>
      <c r="L652" s="70"/>
      <c r="M652" s="113"/>
      <c r="N652" s="403"/>
      <c r="O652" s="403"/>
      <c r="P652" s="70"/>
      <c r="Q652" s="404"/>
      <c r="R652" s="404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</row>
    <row r="653" spans="1:36" s="14" customFormat="1" hidden="1">
      <c r="A653" s="560" t="s">
        <v>1033</v>
      </c>
      <c r="B653" s="111" t="s">
        <v>1087</v>
      </c>
      <c r="C653" s="111"/>
      <c r="D653" s="119"/>
      <c r="E653" s="121">
        <v>500</v>
      </c>
      <c r="F653" s="351">
        <v>46293</v>
      </c>
      <c r="G653" s="125">
        <v>46293</v>
      </c>
      <c r="H653" s="125" t="s">
        <v>19</v>
      </c>
      <c r="I653" s="70"/>
      <c r="J653" s="532"/>
      <c r="K653" s="533"/>
      <c r="L653" s="70"/>
      <c r="M653" s="113"/>
      <c r="N653" s="403"/>
      <c r="O653" s="403"/>
      <c r="P653" s="70"/>
      <c r="Q653" s="404"/>
      <c r="R653" s="404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</row>
    <row r="654" spans="1:36" s="14" customFormat="1" hidden="1">
      <c r="A654" s="437" t="s">
        <v>1033</v>
      </c>
      <c r="B654" s="437" t="s">
        <v>1088</v>
      </c>
      <c r="C654" s="437"/>
      <c r="D654" s="119"/>
      <c r="E654" s="121">
        <v>500</v>
      </c>
      <c r="F654" s="351">
        <v>46295</v>
      </c>
      <c r="G654" s="350">
        <v>46295</v>
      </c>
      <c r="H654" s="125" t="s">
        <v>19</v>
      </c>
      <c r="I654" s="70"/>
      <c r="J654" s="563"/>
      <c r="K654" s="564"/>
      <c r="L654" s="70"/>
      <c r="M654" s="113"/>
      <c r="N654" s="403"/>
      <c r="O654" s="403"/>
      <c r="P654" s="70"/>
      <c r="Q654" s="404"/>
      <c r="R654" s="404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</row>
    <row r="655" spans="1:36" s="14" customFormat="1" hidden="1">
      <c r="A655" s="560" t="s">
        <v>1033</v>
      </c>
      <c r="B655" s="114" t="s">
        <v>1089</v>
      </c>
      <c r="C655" s="114"/>
      <c r="D655" s="119"/>
      <c r="E655" s="121">
        <v>500</v>
      </c>
      <c r="F655" s="125">
        <v>46300</v>
      </c>
      <c r="G655" s="350">
        <v>46300</v>
      </c>
      <c r="H655" s="125" t="s">
        <v>19</v>
      </c>
      <c r="I655" s="70"/>
      <c r="J655" s="563"/>
      <c r="K655" s="564"/>
      <c r="L655" s="70"/>
      <c r="M655" s="113"/>
      <c r="N655" s="403"/>
      <c r="O655" s="403"/>
      <c r="P655" s="70"/>
      <c r="Q655" s="404"/>
      <c r="R655" s="404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</row>
    <row r="656" spans="1:36" s="14" customFormat="1" hidden="1">
      <c r="A656" s="560" t="s">
        <v>1033</v>
      </c>
      <c r="B656" s="114" t="s">
        <v>1066</v>
      </c>
      <c r="C656" s="114"/>
      <c r="D656" s="119" t="s">
        <v>1082</v>
      </c>
      <c r="E656" s="121">
        <v>6115.53</v>
      </c>
      <c r="F656" s="125">
        <v>46301</v>
      </c>
      <c r="G656" s="350">
        <v>46301</v>
      </c>
      <c r="H656" s="125" t="s">
        <v>19</v>
      </c>
      <c r="I656" s="70"/>
      <c r="J656" s="563"/>
      <c r="K656" s="564"/>
      <c r="L656" s="70"/>
      <c r="M656" s="113"/>
      <c r="N656" s="403"/>
      <c r="O656" s="403"/>
      <c r="P656" s="70"/>
      <c r="Q656" s="404"/>
      <c r="R656" s="404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</row>
    <row r="657" spans="1:36" s="14" customFormat="1" hidden="1">
      <c r="A657" s="560" t="s">
        <v>1033</v>
      </c>
      <c r="B657" s="114" t="s">
        <v>1090</v>
      </c>
      <c r="C657" s="114"/>
      <c r="D657" s="119" t="s">
        <v>1082</v>
      </c>
      <c r="E657" s="121">
        <v>6301.6</v>
      </c>
      <c r="F657" s="125">
        <v>46301</v>
      </c>
      <c r="G657" s="350">
        <v>46301</v>
      </c>
      <c r="H657" s="125" t="s">
        <v>19</v>
      </c>
      <c r="I657" s="70"/>
      <c r="J657" s="563"/>
      <c r="K657" s="564"/>
      <c r="L657" s="70"/>
      <c r="M657" s="113"/>
      <c r="N657" s="403"/>
      <c r="O657" s="403"/>
      <c r="P657" s="70"/>
      <c r="Q657" s="404"/>
      <c r="R657" s="404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</row>
    <row r="658" spans="1:36" s="14" customFormat="1" hidden="1">
      <c r="A658" s="560" t="s">
        <v>1033</v>
      </c>
      <c r="B658" s="114" t="s">
        <v>1091</v>
      </c>
      <c r="C658" s="114"/>
      <c r="D658" s="119" t="s">
        <v>1082</v>
      </c>
      <c r="E658" s="121">
        <v>7355.95</v>
      </c>
      <c r="F658" s="125">
        <v>46301</v>
      </c>
      <c r="G658" s="350">
        <v>46301</v>
      </c>
      <c r="H658" s="125" t="s">
        <v>19</v>
      </c>
      <c r="I658" s="70"/>
      <c r="J658" s="563"/>
      <c r="K658" s="564"/>
      <c r="L658" s="70"/>
      <c r="M658" s="113"/>
      <c r="N658" s="403"/>
      <c r="O658" s="403"/>
      <c r="P658" s="70"/>
      <c r="Q658" s="404"/>
      <c r="R658" s="404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</row>
    <row r="659" spans="1:36" s="14" customFormat="1" hidden="1">
      <c r="A659" s="560" t="s">
        <v>1033</v>
      </c>
      <c r="B659" s="114" t="s">
        <v>1092</v>
      </c>
      <c r="C659" s="114"/>
      <c r="D659" s="119" t="s">
        <v>1082</v>
      </c>
      <c r="E659" s="121">
        <v>7145.21</v>
      </c>
      <c r="F659" s="125">
        <v>46301</v>
      </c>
      <c r="G659" s="350">
        <v>46301</v>
      </c>
      <c r="H659" s="125" t="s">
        <v>19</v>
      </c>
      <c r="I659" s="70"/>
      <c r="J659" s="563"/>
      <c r="K659" s="564"/>
      <c r="L659" s="70"/>
      <c r="M659" s="113"/>
      <c r="N659" s="403"/>
      <c r="O659" s="403"/>
      <c r="P659" s="70"/>
      <c r="Q659" s="404"/>
      <c r="R659" s="404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</row>
    <row r="660" spans="1:36" s="14" customFormat="1" hidden="1">
      <c r="A660" s="560" t="s">
        <v>1033</v>
      </c>
      <c r="B660" s="114" t="s">
        <v>1093</v>
      </c>
      <c r="C660" s="114"/>
      <c r="D660" s="119" t="s">
        <v>1082</v>
      </c>
      <c r="E660" s="121">
        <v>7072.5</v>
      </c>
      <c r="F660" s="125">
        <v>46301</v>
      </c>
      <c r="G660" s="350">
        <v>46301</v>
      </c>
      <c r="H660" s="125" t="s">
        <v>19</v>
      </c>
      <c r="I660" s="70"/>
      <c r="J660" s="563"/>
      <c r="K660" s="564"/>
      <c r="L660" s="70"/>
      <c r="M660" s="113"/>
      <c r="N660" s="403"/>
      <c r="O660" s="403"/>
      <c r="P660" s="70"/>
      <c r="Q660" s="404"/>
      <c r="R660" s="404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</row>
    <row r="661" spans="1:36" s="14" customFormat="1" hidden="1">
      <c r="A661" s="560" t="s">
        <v>1033</v>
      </c>
      <c r="B661" s="114" t="s">
        <v>1094</v>
      </c>
      <c r="C661" s="114"/>
      <c r="D661" s="119" t="s">
        <v>1082</v>
      </c>
      <c r="E661" s="121">
        <v>7252</v>
      </c>
      <c r="F661" s="125">
        <v>46301</v>
      </c>
      <c r="G661" s="350">
        <v>46301</v>
      </c>
      <c r="H661" s="125" t="s">
        <v>19</v>
      </c>
      <c r="I661" s="70"/>
      <c r="J661" s="563"/>
      <c r="K661" s="564"/>
      <c r="L661" s="70"/>
      <c r="M661" s="113"/>
      <c r="N661" s="403"/>
      <c r="O661" s="403"/>
      <c r="P661" s="70"/>
      <c r="Q661" s="404"/>
      <c r="R661" s="404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</row>
    <row r="662" spans="1:36" s="14" customFormat="1" hidden="1">
      <c r="A662" s="560" t="s">
        <v>1033</v>
      </c>
      <c r="B662" s="114" t="s">
        <v>1095</v>
      </c>
      <c r="C662" s="114"/>
      <c r="D662" s="119" t="s">
        <v>1082</v>
      </c>
      <c r="E662" s="121">
        <v>8565</v>
      </c>
      <c r="F662" s="125">
        <v>46301</v>
      </c>
      <c r="G662" s="350">
        <v>46301</v>
      </c>
      <c r="H662" s="125" t="s">
        <v>19</v>
      </c>
      <c r="I662" s="70"/>
      <c r="J662" s="563"/>
      <c r="K662" s="564"/>
      <c r="L662" s="70"/>
      <c r="M662" s="113"/>
      <c r="N662" s="403"/>
      <c r="O662" s="403"/>
      <c r="P662" s="70"/>
      <c r="Q662" s="404"/>
      <c r="R662" s="404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</row>
    <row r="663" spans="1:36" s="14" customFormat="1" hidden="1">
      <c r="A663" s="560" t="s">
        <v>1033</v>
      </c>
      <c r="B663" s="114" t="s">
        <v>1096</v>
      </c>
      <c r="C663" s="114"/>
      <c r="D663" s="119" t="s">
        <v>1082</v>
      </c>
      <c r="E663" s="121">
        <v>518.66999999999996</v>
      </c>
      <c r="F663" s="125">
        <v>46301</v>
      </c>
      <c r="G663" s="350">
        <v>46301</v>
      </c>
      <c r="H663" s="125" t="s">
        <v>19</v>
      </c>
      <c r="I663" s="70"/>
      <c r="J663" s="563"/>
      <c r="K663" s="564"/>
      <c r="L663" s="70"/>
      <c r="M663" s="113"/>
      <c r="N663" s="403"/>
      <c r="O663" s="403"/>
      <c r="P663" s="70"/>
      <c r="Q663" s="404"/>
      <c r="R663" s="404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</row>
    <row r="664" spans="1:36" s="14" customFormat="1" hidden="1">
      <c r="A664" s="560" t="s">
        <v>1033</v>
      </c>
      <c r="B664" s="114" t="s">
        <v>1034</v>
      </c>
      <c r="C664" s="114"/>
      <c r="D664" s="119" t="s">
        <v>1082</v>
      </c>
      <c r="E664" s="121">
        <v>4500</v>
      </c>
      <c r="F664" s="125">
        <v>46301</v>
      </c>
      <c r="G664" s="350">
        <v>46301</v>
      </c>
      <c r="H664" s="125" t="s">
        <v>19</v>
      </c>
      <c r="I664" s="70"/>
      <c r="J664" s="532"/>
      <c r="K664" s="533"/>
      <c r="L664" s="70"/>
      <c r="M664" s="113"/>
      <c r="N664" s="403"/>
      <c r="O664" s="403"/>
      <c r="P664" s="70"/>
      <c r="Q664" s="404"/>
      <c r="R664" s="404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</row>
    <row r="665" spans="1:36" s="14" customFormat="1" hidden="1">
      <c r="A665" s="560" t="s">
        <v>1033</v>
      </c>
      <c r="B665" s="114" t="s">
        <v>1097</v>
      </c>
      <c r="C665" s="114"/>
      <c r="D665" s="119" t="s">
        <v>1082</v>
      </c>
      <c r="E665" s="121">
        <v>500</v>
      </c>
      <c r="F665" s="125">
        <v>46301</v>
      </c>
      <c r="G665" s="350">
        <v>46301</v>
      </c>
      <c r="H665" s="125" t="s">
        <v>19</v>
      </c>
      <c r="I665" s="70"/>
      <c r="J665" s="563"/>
      <c r="K665" s="564"/>
      <c r="L665" s="70"/>
      <c r="M665" s="113"/>
      <c r="N665" s="403"/>
      <c r="O665" s="403"/>
      <c r="P665" s="70"/>
      <c r="Q665" s="404"/>
      <c r="R665" s="404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</row>
    <row r="666" spans="1:36" s="14" customFormat="1" hidden="1">
      <c r="A666" s="560" t="s">
        <v>1033</v>
      </c>
      <c r="B666" s="114" t="s">
        <v>1044</v>
      </c>
      <c r="C666" s="114"/>
      <c r="D666" s="119" t="s">
        <v>1082</v>
      </c>
      <c r="E666" s="121">
        <v>2500</v>
      </c>
      <c r="F666" s="125">
        <v>46301</v>
      </c>
      <c r="G666" s="350">
        <v>46301</v>
      </c>
      <c r="H666" s="125" t="s">
        <v>19</v>
      </c>
      <c r="I666" s="70"/>
      <c r="J666" s="563"/>
      <c r="K666" s="564"/>
      <c r="L666" s="70"/>
      <c r="M666" s="113"/>
      <c r="N666" s="403"/>
      <c r="O666" s="403"/>
      <c r="P666" s="70"/>
      <c r="Q666" s="404"/>
      <c r="R666" s="404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</row>
    <row r="667" spans="1:36" s="58" customFormat="1" ht="15" hidden="1" customHeight="1">
      <c r="A667" s="560" t="s">
        <v>1033</v>
      </c>
      <c r="B667" s="114" t="s">
        <v>1098</v>
      </c>
      <c r="C667" s="114"/>
      <c r="D667" s="119" t="s">
        <v>1082</v>
      </c>
      <c r="E667" s="121">
        <v>5000</v>
      </c>
      <c r="F667" s="125">
        <v>46301</v>
      </c>
      <c r="G667" s="350">
        <v>46301</v>
      </c>
      <c r="H667" s="125" t="s">
        <v>19</v>
      </c>
      <c r="I667" s="70"/>
      <c r="J667" s="563"/>
      <c r="K667" s="564"/>
      <c r="L667" s="89"/>
      <c r="M667" s="480"/>
      <c r="N667" s="403"/>
      <c r="O667" s="403"/>
      <c r="P667" s="70"/>
      <c r="Q667" s="428"/>
      <c r="R667" s="428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</row>
    <row r="668" spans="1:36" s="14" customFormat="1" hidden="1">
      <c r="A668" s="560" t="s">
        <v>1033</v>
      </c>
      <c r="B668" s="114" t="s">
        <v>1099</v>
      </c>
      <c r="C668" s="114"/>
      <c r="D668" s="119" t="s">
        <v>1082</v>
      </c>
      <c r="E668" s="121">
        <f>1350+27</f>
        <v>1377</v>
      </c>
      <c r="F668" s="125">
        <v>46302</v>
      </c>
      <c r="G668" s="350">
        <v>46302</v>
      </c>
      <c r="H668" s="125" t="s">
        <v>19</v>
      </c>
      <c r="I668" s="70"/>
      <c r="J668" s="532"/>
      <c r="K668" s="533"/>
      <c r="L668" s="89"/>
      <c r="M668" s="113"/>
      <c r="N668" s="403"/>
      <c r="O668" s="403"/>
      <c r="P668" s="70"/>
      <c r="Q668" s="404"/>
      <c r="R668" s="404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</row>
    <row r="669" spans="1:36" s="14" customFormat="1" hidden="1">
      <c r="A669" s="560" t="s">
        <v>1033</v>
      </c>
      <c r="B669" s="114" t="s">
        <v>1089</v>
      </c>
      <c r="C669" s="114"/>
      <c r="D669" s="119"/>
      <c r="E669" s="121">
        <v>500</v>
      </c>
      <c r="F669" s="125">
        <v>46302</v>
      </c>
      <c r="G669" s="350">
        <v>46302</v>
      </c>
      <c r="H669" s="119" t="s">
        <v>19</v>
      </c>
      <c r="I669" s="70"/>
      <c r="J669" s="563"/>
      <c r="K669" s="564"/>
      <c r="L669" s="89"/>
      <c r="M669" s="480"/>
      <c r="N669" s="403"/>
      <c r="O669" s="403"/>
      <c r="P669" s="70"/>
      <c r="Q669" s="404"/>
      <c r="R669" s="404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</row>
    <row r="670" spans="1:36" s="14" customFormat="1" hidden="1">
      <c r="A670" s="560" t="s">
        <v>1033</v>
      </c>
      <c r="B670" s="111" t="s">
        <v>1057</v>
      </c>
      <c r="C670" s="111"/>
      <c r="D670" s="119" t="s">
        <v>1100</v>
      </c>
      <c r="E670" s="121">
        <v>3000</v>
      </c>
      <c r="F670" s="125">
        <v>46315</v>
      </c>
      <c r="G670" s="125">
        <v>46315</v>
      </c>
      <c r="H670" s="125" t="s">
        <v>19</v>
      </c>
      <c r="I670" s="70"/>
      <c r="J670" s="429"/>
      <c r="K670" s="70"/>
      <c r="L670" s="70"/>
      <c r="M670" s="429"/>
      <c r="N670" s="403"/>
      <c r="O670" s="403"/>
      <c r="P670" s="70"/>
      <c r="Q670" s="404"/>
      <c r="R670" s="404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</row>
    <row r="671" spans="1:36" s="14" customFormat="1" hidden="1">
      <c r="A671" s="560" t="s">
        <v>1033</v>
      </c>
      <c r="B671" s="111" t="s">
        <v>1058</v>
      </c>
      <c r="C671" s="111"/>
      <c r="D671" s="119" t="s">
        <v>1100</v>
      </c>
      <c r="E671" s="121">
        <v>3000</v>
      </c>
      <c r="F671" s="125">
        <v>46315</v>
      </c>
      <c r="G671" s="125">
        <v>46315</v>
      </c>
      <c r="H671" s="125" t="s">
        <v>19</v>
      </c>
      <c r="I671" s="70"/>
      <c r="J671" s="429"/>
      <c r="K671" s="70"/>
      <c r="L671" s="70"/>
      <c r="M671" s="429"/>
      <c r="N671" s="403"/>
      <c r="O671" s="403"/>
      <c r="P671" s="70"/>
      <c r="Q671" s="404"/>
      <c r="R671" s="404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</row>
    <row r="672" spans="1:36" s="14" customFormat="1" hidden="1">
      <c r="A672" s="560" t="s">
        <v>1033</v>
      </c>
      <c r="B672" s="111" t="s">
        <v>1101</v>
      </c>
      <c r="C672" s="111"/>
      <c r="D672" s="119" t="s">
        <v>1100</v>
      </c>
      <c r="E672" s="121">
        <v>3000</v>
      </c>
      <c r="F672" s="125">
        <v>46315</v>
      </c>
      <c r="G672" s="125">
        <v>46315</v>
      </c>
      <c r="H672" s="125" t="s">
        <v>19</v>
      </c>
      <c r="I672" s="70"/>
      <c r="J672" s="563"/>
      <c r="K672" s="564"/>
      <c r="L672" s="89"/>
      <c r="M672" s="480"/>
      <c r="N672" s="403"/>
      <c r="O672" s="403"/>
      <c r="P672" s="70"/>
      <c r="Q672" s="404"/>
      <c r="R672" s="404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</row>
    <row r="673" spans="1:36" s="14" customFormat="1" hidden="1">
      <c r="A673" s="560" t="s">
        <v>1033</v>
      </c>
      <c r="B673" s="111" t="s">
        <v>1102</v>
      </c>
      <c r="C673" s="111"/>
      <c r="D673" s="119" t="s">
        <v>1100</v>
      </c>
      <c r="E673" s="121">
        <v>3000</v>
      </c>
      <c r="F673" s="125">
        <v>46315</v>
      </c>
      <c r="G673" s="125">
        <v>46315</v>
      </c>
      <c r="H673" s="125" t="s">
        <v>19</v>
      </c>
      <c r="I673" s="70"/>
      <c r="J673" s="563"/>
      <c r="K673" s="564"/>
      <c r="L673" s="89"/>
      <c r="M673" s="480"/>
      <c r="N673" s="403"/>
      <c r="O673" s="403"/>
      <c r="P673" s="70"/>
      <c r="Q673" s="404"/>
      <c r="R673" s="404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</row>
    <row r="674" spans="1:36" s="14" customFormat="1" hidden="1">
      <c r="A674" s="560" t="s">
        <v>1033</v>
      </c>
      <c r="B674" s="111" t="s">
        <v>1103</v>
      </c>
      <c r="C674" s="111"/>
      <c r="D674" s="119" t="s">
        <v>1100</v>
      </c>
      <c r="E674" s="121">
        <v>3000</v>
      </c>
      <c r="F674" s="125">
        <v>46315</v>
      </c>
      <c r="G674" s="125">
        <v>46315</v>
      </c>
      <c r="H674" s="125" t="s">
        <v>19</v>
      </c>
      <c r="I674" s="70"/>
      <c r="J674" s="563"/>
      <c r="K674" s="564"/>
      <c r="L674" s="89"/>
      <c r="M674" s="480"/>
      <c r="N674" s="403"/>
      <c r="O674" s="403"/>
      <c r="P674" s="70"/>
      <c r="Q674" s="404"/>
      <c r="R674" s="404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</row>
    <row r="675" spans="1:36" s="14" customFormat="1" hidden="1">
      <c r="A675" s="560" t="s">
        <v>1033</v>
      </c>
      <c r="B675" s="111" t="s">
        <v>1104</v>
      </c>
      <c r="C675" s="111"/>
      <c r="D675" s="119" t="s">
        <v>1100</v>
      </c>
      <c r="E675" s="121">
        <v>3000</v>
      </c>
      <c r="F675" s="125">
        <v>46315</v>
      </c>
      <c r="G675" s="125">
        <v>46315</v>
      </c>
      <c r="H675" s="125" t="s">
        <v>19</v>
      </c>
      <c r="I675" s="70"/>
      <c r="J675" s="563"/>
      <c r="K675" s="564"/>
      <c r="L675" s="89"/>
      <c r="M675" s="480"/>
      <c r="N675" s="403"/>
      <c r="O675" s="403"/>
      <c r="P675" s="70"/>
      <c r="Q675" s="404"/>
      <c r="R675" s="404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</row>
    <row r="676" spans="1:36" s="14" customFormat="1" hidden="1">
      <c r="A676" s="560" t="s">
        <v>1033</v>
      </c>
      <c r="B676" s="111" t="s">
        <v>1105</v>
      </c>
      <c r="C676" s="111"/>
      <c r="D676" s="119" t="s">
        <v>1100</v>
      </c>
      <c r="E676" s="121">
        <v>3000</v>
      </c>
      <c r="F676" s="125">
        <v>46315</v>
      </c>
      <c r="G676" s="125">
        <v>46315</v>
      </c>
      <c r="H676" s="125" t="s">
        <v>19</v>
      </c>
      <c r="I676" s="70"/>
      <c r="J676" s="563"/>
      <c r="K676" s="564"/>
      <c r="L676" s="89"/>
      <c r="M676" s="480"/>
      <c r="N676" s="403"/>
      <c r="O676" s="403"/>
      <c r="P676" s="70"/>
      <c r="Q676" s="404"/>
      <c r="R676" s="404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</row>
    <row r="677" spans="1:36" s="14" customFormat="1" hidden="1">
      <c r="A677" s="560" t="s">
        <v>1033</v>
      </c>
      <c r="B677" s="111" t="s">
        <v>1106</v>
      </c>
      <c r="C677" s="111"/>
      <c r="D677" s="119" t="s">
        <v>1100</v>
      </c>
      <c r="E677" s="121">
        <v>1000</v>
      </c>
      <c r="F677" s="125">
        <v>46315</v>
      </c>
      <c r="G677" s="125">
        <v>46315</v>
      </c>
      <c r="H677" s="125" t="s">
        <v>19</v>
      </c>
      <c r="I677" s="70"/>
      <c r="J677" s="563"/>
      <c r="K677" s="564"/>
      <c r="L677" s="89"/>
      <c r="M677" s="480"/>
      <c r="N677" s="403"/>
      <c r="O677" s="403"/>
      <c r="P677" s="70"/>
      <c r="Q677" s="404"/>
      <c r="R677" s="404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</row>
    <row r="678" spans="1:36" s="14" customFormat="1" hidden="1">
      <c r="A678" s="560" t="s">
        <v>1033</v>
      </c>
      <c r="B678" s="111" t="s">
        <v>1107</v>
      </c>
      <c r="C678" s="111"/>
      <c r="D678" s="119" t="s">
        <v>1100</v>
      </c>
      <c r="E678" s="121">
        <v>2000</v>
      </c>
      <c r="F678" s="125">
        <v>46315</v>
      </c>
      <c r="G678" s="125">
        <v>46315</v>
      </c>
      <c r="H678" s="125" t="s">
        <v>19</v>
      </c>
      <c r="I678" s="70"/>
      <c r="J678" s="563"/>
      <c r="K678" s="564"/>
      <c r="L678" s="89"/>
      <c r="M678" s="480"/>
      <c r="N678" s="403"/>
      <c r="O678" s="403"/>
      <c r="P678" s="70"/>
      <c r="Q678" s="404"/>
      <c r="R678" s="404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</row>
    <row r="679" spans="1:36" s="14" customFormat="1" hidden="1">
      <c r="A679" s="560" t="s">
        <v>1033</v>
      </c>
      <c r="B679" s="114" t="s">
        <v>1108</v>
      </c>
      <c r="C679" s="114"/>
      <c r="D679" s="119"/>
      <c r="E679" s="121">
        <v>500</v>
      </c>
      <c r="F679" s="125" t="s">
        <v>548</v>
      </c>
      <c r="G679" s="350" t="s">
        <v>548</v>
      </c>
      <c r="H679" s="125" t="s">
        <v>19</v>
      </c>
      <c r="I679" s="70"/>
      <c r="J679" s="563"/>
      <c r="K679" s="564"/>
      <c r="L679" s="89"/>
      <c r="M679" s="480"/>
      <c r="N679" s="403"/>
      <c r="O679" s="403"/>
      <c r="P679" s="70"/>
      <c r="Q679" s="404"/>
      <c r="R679" s="404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</row>
    <row r="680" spans="1:36" s="14" customFormat="1" hidden="1">
      <c r="A680" s="560" t="s">
        <v>1033</v>
      </c>
      <c r="B680" s="111" t="s">
        <v>1106</v>
      </c>
      <c r="C680" s="440"/>
      <c r="D680" s="119" t="s">
        <v>1100</v>
      </c>
      <c r="E680" s="121">
        <v>2000</v>
      </c>
      <c r="F680" s="125">
        <v>46315</v>
      </c>
      <c r="G680" s="125">
        <v>46316</v>
      </c>
      <c r="H680" s="125"/>
      <c r="I680" s="70"/>
      <c r="J680" s="563"/>
      <c r="K680" s="564"/>
      <c r="L680" s="89"/>
      <c r="M680" s="480"/>
      <c r="N680" s="403"/>
      <c r="O680" s="403"/>
      <c r="P680" s="70"/>
      <c r="Q680" s="404"/>
      <c r="R680" s="404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</row>
    <row r="681" spans="1:36" s="14" customFormat="1" hidden="1">
      <c r="A681" s="560" t="s">
        <v>1033</v>
      </c>
      <c r="B681" s="111" t="s">
        <v>1109</v>
      </c>
      <c r="C681" s="440"/>
      <c r="D681" s="119" t="s">
        <v>1100</v>
      </c>
      <c r="E681" s="121">
        <v>1000</v>
      </c>
      <c r="F681" s="125">
        <v>46315</v>
      </c>
      <c r="G681" s="125">
        <v>46316</v>
      </c>
      <c r="H681" s="125"/>
      <c r="I681" s="70"/>
      <c r="J681" s="563"/>
      <c r="K681" s="564"/>
      <c r="L681" s="89"/>
      <c r="M681" s="480"/>
      <c r="N681" s="403"/>
      <c r="O681" s="403"/>
      <c r="P681" s="70"/>
      <c r="Q681" s="404"/>
      <c r="R681" s="404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</row>
    <row r="682" spans="1:36" s="14" customFormat="1" hidden="1">
      <c r="A682" s="560" t="s">
        <v>1110</v>
      </c>
      <c r="B682" s="111" t="s">
        <v>1111</v>
      </c>
      <c r="C682" s="111"/>
      <c r="D682" s="119" t="s">
        <v>574</v>
      </c>
      <c r="E682" s="121">
        <v>2940</v>
      </c>
      <c r="F682" s="125">
        <v>46241</v>
      </c>
      <c r="G682" s="351">
        <v>46241</v>
      </c>
      <c r="H682" s="119" t="s">
        <v>574</v>
      </c>
      <c r="I682" s="70"/>
      <c r="J682" s="563"/>
      <c r="K682" s="564"/>
      <c r="L682" s="89"/>
      <c r="M682" s="480"/>
      <c r="N682" s="403"/>
      <c r="O682" s="403"/>
      <c r="P682" s="70"/>
      <c r="Q682" s="404"/>
      <c r="R682" s="404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</row>
    <row r="683" spans="1:36" s="14" customFormat="1" hidden="1">
      <c r="A683" s="560" t="s">
        <v>1110</v>
      </c>
      <c r="B683" s="111" t="s">
        <v>1112</v>
      </c>
      <c r="C683" s="111"/>
      <c r="D683" s="119"/>
      <c r="E683" s="121">
        <v>3840</v>
      </c>
      <c r="F683" s="125">
        <v>46258</v>
      </c>
      <c r="G683" s="351">
        <v>46258</v>
      </c>
      <c r="H683" s="119" t="s">
        <v>19</v>
      </c>
      <c r="I683" s="70"/>
      <c r="J683" s="563"/>
      <c r="K683" s="564"/>
      <c r="L683" s="89"/>
      <c r="M683" s="480"/>
      <c r="N683" s="403"/>
      <c r="O683" s="403"/>
      <c r="P683" s="70"/>
      <c r="Q683" s="404"/>
      <c r="R683" s="404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</row>
    <row r="684" spans="1:36" s="14" customFormat="1" hidden="1">
      <c r="A684" s="560" t="s">
        <v>1110</v>
      </c>
      <c r="B684" s="111" t="s">
        <v>1113</v>
      </c>
      <c r="C684" s="111"/>
      <c r="D684" s="119"/>
      <c r="E684" s="121">
        <v>3840</v>
      </c>
      <c r="F684" s="125">
        <v>46267</v>
      </c>
      <c r="G684" s="125">
        <v>46267</v>
      </c>
      <c r="H684" s="119" t="s">
        <v>19</v>
      </c>
      <c r="I684" s="70"/>
      <c r="J684" s="563"/>
      <c r="K684" s="564"/>
      <c r="L684" s="89"/>
      <c r="M684" s="480"/>
      <c r="N684" s="403"/>
      <c r="O684" s="403"/>
      <c r="P684" s="70"/>
      <c r="Q684" s="404"/>
      <c r="R684" s="404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</row>
    <row r="685" spans="1:36" s="14" customFormat="1" hidden="1">
      <c r="A685" s="560" t="s">
        <v>1110</v>
      </c>
      <c r="B685" s="111" t="s">
        <v>1114</v>
      </c>
      <c r="C685" s="111"/>
      <c r="D685" s="119"/>
      <c r="E685" s="121">
        <v>3840</v>
      </c>
      <c r="F685" s="125">
        <v>46275</v>
      </c>
      <c r="G685" s="125">
        <v>46275</v>
      </c>
      <c r="H685" s="119" t="s">
        <v>445</v>
      </c>
      <c r="I685" s="70"/>
      <c r="J685" s="563"/>
      <c r="K685" s="564"/>
      <c r="L685" s="89"/>
      <c r="M685" s="480"/>
      <c r="N685" s="403"/>
      <c r="O685" s="403"/>
      <c r="P685" s="70"/>
      <c r="Q685" s="404"/>
      <c r="R685" s="404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</row>
    <row r="686" spans="1:36" s="14" customFormat="1" hidden="1">
      <c r="A686" s="560" t="s">
        <v>1115</v>
      </c>
      <c r="B686" s="114" t="s">
        <v>1116</v>
      </c>
      <c r="C686" s="114"/>
      <c r="D686" s="119"/>
      <c r="E686" s="121">
        <v>3840</v>
      </c>
      <c r="F686" s="125">
        <v>46301</v>
      </c>
      <c r="G686" s="350">
        <v>46301</v>
      </c>
      <c r="H686" s="125" t="s">
        <v>19</v>
      </c>
      <c r="I686" s="70"/>
      <c r="J686" s="563"/>
      <c r="K686" s="564"/>
      <c r="L686" s="89"/>
      <c r="M686" s="480"/>
      <c r="N686" s="403"/>
      <c r="O686" s="403"/>
      <c r="P686" s="70"/>
      <c r="Q686" s="404"/>
      <c r="R686" s="404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</row>
    <row r="687" spans="1:36" s="14" customFormat="1" hidden="1">
      <c r="A687" s="560" t="s">
        <v>1117</v>
      </c>
      <c r="B687" s="111" t="s">
        <v>1118</v>
      </c>
      <c r="C687" s="111"/>
      <c r="D687" s="119"/>
      <c r="E687" s="121">
        <v>270</v>
      </c>
      <c r="F687" s="125">
        <v>46282</v>
      </c>
      <c r="G687" s="125">
        <v>46282</v>
      </c>
      <c r="H687" s="119" t="s">
        <v>457</v>
      </c>
      <c r="I687" s="70"/>
      <c r="J687" s="563"/>
      <c r="K687" s="564"/>
      <c r="L687" s="89"/>
      <c r="M687" s="480"/>
      <c r="N687" s="403"/>
      <c r="O687" s="403"/>
      <c r="P687" s="70"/>
      <c r="Q687" s="404"/>
      <c r="R687" s="404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</row>
    <row r="688" spans="1:36" s="14" customFormat="1" hidden="1">
      <c r="A688" s="560" t="s">
        <v>1117</v>
      </c>
      <c r="B688" s="114" t="s">
        <v>1119</v>
      </c>
      <c r="C688" s="114"/>
      <c r="D688" s="119"/>
      <c r="E688" s="121">
        <v>199</v>
      </c>
      <c r="F688" s="125">
        <v>46297</v>
      </c>
      <c r="G688" s="350">
        <v>46297</v>
      </c>
      <c r="H688" s="125" t="s">
        <v>19</v>
      </c>
      <c r="I688" s="70"/>
      <c r="J688" s="532"/>
      <c r="K688" s="533"/>
      <c r="L688" s="70"/>
      <c r="M688" s="113"/>
      <c r="N688" s="403"/>
      <c r="O688" s="403"/>
      <c r="P688" s="70"/>
      <c r="Q688" s="404"/>
      <c r="R688" s="404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</row>
    <row r="689" spans="1:36" s="14" customFormat="1">
      <c r="A689" s="437" t="s">
        <v>1120</v>
      </c>
      <c r="B689" s="111" t="s">
        <v>1121</v>
      </c>
      <c r="C689" s="440"/>
      <c r="D689" s="119"/>
      <c r="E689" s="121">
        <v>648.77</v>
      </c>
      <c r="F689" s="350">
        <v>46303</v>
      </c>
      <c r="G689" s="351" t="s">
        <v>366</v>
      </c>
      <c r="H689" s="125"/>
      <c r="I689" s="70"/>
      <c r="J689" s="532"/>
      <c r="K689" s="533"/>
      <c r="L689" s="70"/>
      <c r="M689" s="113"/>
      <c r="N689" s="403"/>
      <c r="O689" s="403"/>
      <c r="P689" s="70"/>
      <c r="Q689" s="404"/>
      <c r="R689" s="404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</row>
    <row r="690" spans="1:36" s="14" customFormat="1">
      <c r="A690" s="560" t="s">
        <v>1122</v>
      </c>
      <c r="B690" s="114" t="s">
        <v>1123</v>
      </c>
      <c r="C690" s="439"/>
      <c r="D690" s="119"/>
      <c r="E690" s="121">
        <v>145.57</v>
      </c>
      <c r="F690" s="125">
        <v>46315</v>
      </c>
      <c r="G690" s="560"/>
      <c r="H690" s="119"/>
      <c r="I690" s="70"/>
      <c r="J690" s="532"/>
      <c r="K690" s="533"/>
      <c r="L690" s="70"/>
      <c r="M690" s="113"/>
      <c r="N690" s="403"/>
      <c r="O690" s="403"/>
      <c r="P690" s="70"/>
      <c r="Q690" s="404"/>
      <c r="R690" s="404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</row>
    <row r="691" spans="1:36" s="14" customFormat="1" hidden="1">
      <c r="A691" s="560" t="s">
        <v>1122</v>
      </c>
      <c r="B691" s="111" t="s">
        <v>1124</v>
      </c>
      <c r="C691" s="111"/>
      <c r="D691" s="119"/>
      <c r="E691" s="121">
        <v>219.76</v>
      </c>
      <c r="F691" s="189">
        <v>46310</v>
      </c>
      <c r="G691" s="351">
        <v>46310</v>
      </c>
      <c r="H691" s="125" t="s">
        <v>19</v>
      </c>
      <c r="I691" s="70"/>
      <c r="J691" s="532"/>
      <c r="K691" s="533"/>
      <c r="L691" s="70"/>
      <c r="M691" s="113"/>
      <c r="N691" s="403"/>
      <c r="O691" s="403"/>
      <c r="P691" s="70"/>
      <c r="Q691" s="404"/>
      <c r="R691" s="404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</row>
    <row r="692" spans="1:36" s="14" customFormat="1">
      <c r="A692" s="560" t="s">
        <v>1125</v>
      </c>
      <c r="B692" s="111" t="s">
        <v>1126</v>
      </c>
      <c r="C692" s="440"/>
      <c r="D692" s="121"/>
      <c r="E692" s="502">
        <v>8638.17</v>
      </c>
      <c r="F692" s="189">
        <v>46283</v>
      </c>
      <c r="G692" s="351" t="s">
        <v>366</v>
      </c>
      <c r="H692" s="560"/>
      <c r="I692" s="70"/>
      <c r="J692" s="532"/>
      <c r="K692" s="533"/>
      <c r="L692" s="70"/>
      <c r="M692" s="113"/>
      <c r="N692" s="403"/>
      <c r="O692" s="403"/>
      <c r="P692" s="70"/>
      <c r="Q692" s="404"/>
      <c r="R692" s="404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</row>
    <row r="693" spans="1:36" s="14" customFormat="1">
      <c r="A693" s="560" t="s">
        <v>1125</v>
      </c>
      <c r="B693" s="114" t="s">
        <v>1127</v>
      </c>
      <c r="C693" s="439"/>
      <c r="D693" s="119"/>
      <c r="E693" s="121">
        <v>9412.6299999999992</v>
      </c>
      <c r="F693" s="125">
        <v>46315</v>
      </c>
      <c r="G693" s="119"/>
      <c r="H693" s="560"/>
      <c r="I693" s="70"/>
      <c r="J693" s="532"/>
      <c r="K693" s="533"/>
      <c r="L693" s="70"/>
      <c r="M693" s="113"/>
      <c r="N693" s="403"/>
      <c r="O693" s="403"/>
      <c r="P693" s="70"/>
      <c r="Q693" s="404"/>
      <c r="R693" s="404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</row>
    <row r="694" spans="1:36" s="14" customFormat="1" hidden="1">
      <c r="A694" s="560" t="s">
        <v>1125</v>
      </c>
      <c r="B694" s="114" t="s">
        <v>1128</v>
      </c>
      <c r="C694" s="114"/>
      <c r="D694" s="119"/>
      <c r="E694" s="121">
        <v>299.66000000000003</v>
      </c>
      <c r="F694" s="125">
        <v>46316</v>
      </c>
      <c r="G694" s="351">
        <v>46310</v>
      </c>
      <c r="H694" s="125" t="s">
        <v>19</v>
      </c>
      <c r="I694" s="70"/>
      <c r="J694" s="532"/>
      <c r="K694" s="533"/>
      <c r="L694" s="70"/>
      <c r="M694" s="113"/>
      <c r="N694" s="403"/>
      <c r="O694" s="403"/>
      <c r="P694" s="70"/>
      <c r="Q694" s="404"/>
      <c r="R694" s="404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</row>
    <row r="695" spans="1:36" s="14" customFormat="1" hidden="1">
      <c r="A695" s="560" t="s">
        <v>1125</v>
      </c>
      <c r="B695" s="114" t="s">
        <v>1129</v>
      </c>
      <c r="C695" s="439"/>
      <c r="D695" s="119"/>
      <c r="E695" s="121">
        <v>2833.49</v>
      </c>
      <c r="F695" s="125">
        <v>46689</v>
      </c>
      <c r="G695" s="351"/>
      <c r="H695" s="560" t="s">
        <v>592</v>
      </c>
      <c r="I695" s="70"/>
      <c r="J695" s="532"/>
      <c r="K695" s="533"/>
      <c r="L695" s="70"/>
      <c r="M695" s="113"/>
      <c r="N695" s="403"/>
      <c r="O695" s="403"/>
      <c r="P695" s="70"/>
      <c r="Q695" s="404"/>
      <c r="R695" s="404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</row>
    <row r="696" spans="1:36" s="14" customFormat="1">
      <c r="A696" s="560" t="s">
        <v>1130</v>
      </c>
      <c r="B696" s="114" t="s">
        <v>1131</v>
      </c>
      <c r="C696" s="439"/>
      <c r="D696" s="119"/>
      <c r="E696" s="121">
        <v>1487.77</v>
      </c>
      <c r="F696" s="125">
        <v>46315</v>
      </c>
      <c r="G696" s="119"/>
      <c r="H696" s="560"/>
      <c r="I696" s="70"/>
      <c r="J696" s="532"/>
      <c r="K696" s="533"/>
      <c r="L696" s="70"/>
      <c r="M696" s="113"/>
      <c r="N696" s="403"/>
      <c r="O696" s="403"/>
      <c r="P696" s="70"/>
      <c r="Q696" s="404"/>
      <c r="R696" s="404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</row>
    <row r="697" spans="1:36" s="14" customFormat="1">
      <c r="A697" s="437" t="s">
        <v>1132</v>
      </c>
      <c r="B697" s="114" t="s">
        <v>1133</v>
      </c>
      <c r="C697" s="439"/>
      <c r="D697" s="119" t="s">
        <v>1134</v>
      </c>
      <c r="E697" s="121">
        <v>5256</v>
      </c>
      <c r="F697" s="125">
        <v>46265</v>
      </c>
      <c r="G697" s="351" t="s">
        <v>366</v>
      </c>
      <c r="H697" s="119"/>
      <c r="I697" s="70"/>
      <c r="J697" s="532"/>
      <c r="K697" s="533"/>
      <c r="L697" s="70"/>
      <c r="M697" s="113"/>
      <c r="N697" s="403"/>
      <c r="O697" s="403"/>
      <c r="P697" s="70"/>
      <c r="Q697" s="404"/>
      <c r="R697" s="404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</row>
    <row r="698" spans="1:36" s="14" customFormat="1" hidden="1">
      <c r="A698" s="560" t="s">
        <v>1135</v>
      </c>
      <c r="B698" s="111" t="s">
        <v>1136</v>
      </c>
      <c r="C698" s="111"/>
      <c r="D698" s="119"/>
      <c r="E698" s="121">
        <v>1855.16</v>
      </c>
      <c r="F698" s="125">
        <v>46256</v>
      </c>
      <c r="G698" s="351">
        <v>46258</v>
      </c>
      <c r="H698" s="119" t="s">
        <v>445</v>
      </c>
      <c r="I698" s="70"/>
      <c r="J698" s="532"/>
      <c r="K698" s="533"/>
      <c r="L698" s="70"/>
      <c r="M698" s="113"/>
      <c r="N698" s="403"/>
      <c r="O698" s="403"/>
      <c r="P698" s="70"/>
      <c r="Q698" s="404"/>
      <c r="R698" s="404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</row>
    <row r="699" spans="1:36" s="14" customFormat="1">
      <c r="A699" s="560" t="s">
        <v>1137</v>
      </c>
      <c r="B699" s="114" t="s">
        <v>1138</v>
      </c>
      <c r="C699" s="439"/>
      <c r="D699" s="119"/>
      <c r="E699" s="121">
        <v>33.46</v>
      </c>
      <c r="F699" s="125">
        <v>46315</v>
      </c>
      <c r="G699" s="560"/>
      <c r="H699" s="119"/>
      <c r="I699" s="70"/>
      <c r="J699" s="532"/>
      <c r="K699" s="533"/>
      <c r="L699" s="70"/>
      <c r="M699" s="113"/>
      <c r="N699" s="403"/>
      <c r="O699" s="403"/>
      <c r="P699" s="70"/>
      <c r="Q699" s="404"/>
      <c r="R699" s="404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</row>
    <row r="700" spans="1:36" s="14" customFormat="1" hidden="1">
      <c r="A700" s="560" t="s">
        <v>1139</v>
      </c>
      <c r="B700" s="114" t="s">
        <v>1140</v>
      </c>
      <c r="C700" s="114"/>
      <c r="D700" s="119"/>
      <c r="E700" s="121">
        <v>5.95</v>
      </c>
      <c r="F700" s="125" t="s">
        <v>556</v>
      </c>
      <c r="G700" s="351">
        <v>46314</v>
      </c>
      <c r="H700" s="119" t="s">
        <v>19</v>
      </c>
      <c r="I700" s="70"/>
      <c r="J700" s="532"/>
      <c r="K700" s="533"/>
      <c r="L700" s="70"/>
      <c r="M700" s="113"/>
      <c r="N700" s="403"/>
      <c r="O700" s="403"/>
      <c r="P700" s="70"/>
      <c r="Q700" s="404"/>
      <c r="R700" s="404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</row>
    <row r="701" spans="1:36" s="14" customFormat="1" hidden="1">
      <c r="A701" s="560" t="s">
        <v>1141</v>
      </c>
      <c r="B701" s="111" t="s">
        <v>1142</v>
      </c>
      <c r="C701" s="111"/>
      <c r="D701" s="119" t="s">
        <v>1143</v>
      </c>
      <c r="E701" s="121">
        <v>415.49</v>
      </c>
      <c r="F701" s="125">
        <v>46244</v>
      </c>
      <c r="G701" s="351">
        <v>46262</v>
      </c>
      <c r="H701" s="119" t="s">
        <v>19</v>
      </c>
      <c r="I701" s="70"/>
      <c r="J701" s="532"/>
      <c r="K701" s="533"/>
      <c r="L701" s="70"/>
      <c r="M701" s="113"/>
      <c r="N701" s="403"/>
      <c r="O701" s="403"/>
      <c r="P701" s="70"/>
      <c r="Q701" s="404"/>
      <c r="R701" s="404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</row>
    <row r="702" spans="1:36" s="14" customFormat="1" hidden="1">
      <c r="A702" s="560" t="s">
        <v>1144</v>
      </c>
      <c r="B702" s="111" t="s">
        <v>1145</v>
      </c>
      <c r="C702" s="111"/>
      <c r="D702" s="119" t="s">
        <v>678</v>
      </c>
      <c r="E702" s="121">
        <v>280</v>
      </c>
      <c r="F702" s="125">
        <v>46273</v>
      </c>
      <c r="G702" s="125">
        <v>46273</v>
      </c>
      <c r="H702" s="119" t="s">
        <v>445</v>
      </c>
      <c r="I702" s="70"/>
      <c r="J702" s="532"/>
      <c r="K702" s="533"/>
      <c r="L702" s="70"/>
      <c r="M702" s="113"/>
      <c r="N702" s="403"/>
      <c r="O702" s="403"/>
      <c r="P702" s="70"/>
      <c r="Q702" s="404"/>
      <c r="R702" s="404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</row>
    <row r="703" spans="1:36" s="14" customFormat="1" hidden="1">
      <c r="A703" s="560" t="s">
        <v>1146</v>
      </c>
      <c r="B703" s="114" t="s">
        <v>1147</v>
      </c>
      <c r="C703" s="114"/>
      <c r="D703" s="119"/>
      <c r="E703" s="121">
        <v>104.12</v>
      </c>
      <c r="F703" s="125">
        <v>46300</v>
      </c>
      <c r="G703" s="350">
        <v>46300</v>
      </c>
      <c r="H703" s="125" t="s">
        <v>19</v>
      </c>
      <c r="I703" s="70"/>
      <c r="J703" s="532"/>
      <c r="K703" s="533"/>
      <c r="L703" s="70"/>
      <c r="M703" s="113"/>
      <c r="N703" s="403"/>
      <c r="O703" s="403"/>
      <c r="P703" s="70"/>
      <c r="Q703" s="404"/>
      <c r="R703" s="404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</row>
    <row r="704" spans="1:36" s="14" customFormat="1" hidden="1">
      <c r="A704" s="560" t="s">
        <v>1146</v>
      </c>
      <c r="B704" s="114" t="s">
        <v>1147</v>
      </c>
      <c r="C704" s="114"/>
      <c r="D704" s="119"/>
      <c r="E704" s="121">
        <v>104.12</v>
      </c>
      <c r="F704" s="125">
        <v>46300</v>
      </c>
      <c r="G704" s="350">
        <v>46300</v>
      </c>
      <c r="H704" s="125" t="s">
        <v>19</v>
      </c>
      <c r="I704" s="70"/>
      <c r="J704" s="532"/>
      <c r="K704" s="533"/>
      <c r="L704" s="70"/>
      <c r="M704" s="113"/>
      <c r="N704" s="403"/>
      <c r="O704" s="403"/>
      <c r="P704" s="70"/>
      <c r="Q704" s="404"/>
      <c r="R704" s="404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</row>
    <row r="705" spans="1:36" s="14" customFormat="1" hidden="1">
      <c r="A705" s="560" t="s">
        <v>1146</v>
      </c>
      <c r="B705" s="114" t="s">
        <v>1147</v>
      </c>
      <c r="C705" s="114"/>
      <c r="D705" s="119"/>
      <c r="E705" s="121">
        <v>104.12</v>
      </c>
      <c r="F705" s="125">
        <v>46300</v>
      </c>
      <c r="G705" s="350">
        <v>46300</v>
      </c>
      <c r="H705" s="125" t="s">
        <v>19</v>
      </c>
      <c r="I705" s="70"/>
      <c r="J705" s="532"/>
      <c r="K705" s="533"/>
      <c r="L705" s="70"/>
      <c r="M705" s="113"/>
      <c r="N705" s="403"/>
      <c r="O705" s="403"/>
      <c r="P705" s="70"/>
      <c r="Q705" s="404"/>
      <c r="R705" s="404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</row>
    <row r="706" spans="1:36" s="14" customFormat="1" hidden="1">
      <c r="A706" s="560" t="s">
        <v>1146</v>
      </c>
      <c r="B706" s="114" t="s">
        <v>1147</v>
      </c>
      <c r="C706" s="114"/>
      <c r="D706" s="119"/>
      <c r="E706" s="121">
        <v>104.12</v>
      </c>
      <c r="F706" s="125">
        <v>46300</v>
      </c>
      <c r="G706" s="350">
        <v>46300</v>
      </c>
      <c r="H706" s="125" t="s">
        <v>19</v>
      </c>
      <c r="I706" s="70"/>
      <c r="J706" s="532"/>
      <c r="K706" s="533"/>
      <c r="L706" s="70"/>
      <c r="M706" s="113"/>
      <c r="N706" s="403"/>
      <c r="O706" s="403"/>
      <c r="P706" s="70"/>
      <c r="Q706" s="404"/>
      <c r="R706" s="404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</row>
    <row r="707" spans="1:36" s="14" customFormat="1" hidden="1">
      <c r="A707" s="560" t="s">
        <v>1146</v>
      </c>
      <c r="B707" s="114" t="s">
        <v>1147</v>
      </c>
      <c r="C707" s="114"/>
      <c r="D707" s="119"/>
      <c r="E707" s="121">
        <v>104.12</v>
      </c>
      <c r="F707" s="125">
        <v>46300</v>
      </c>
      <c r="G707" s="350">
        <v>46300</v>
      </c>
      <c r="H707" s="125" t="s">
        <v>19</v>
      </c>
      <c r="I707" s="70"/>
      <c r="J707" s="532"/>
      <c r="K707" s="533"/>
      <c r="L707" s="70"/>
      <c r="M707" s="113"/>
      <c r="N707" s="403"/>
      <c r="O707" s="403"/>
      <c r="P707" s="70"/>
      <c r="Q707" s="404"/>
      <c r="R707" s="404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</row>
    <row r="708" spans="1:36" s="14" customFormat="1" hidden="1">
      <c r="A708" s="560" t="s">
        <v>1146</v>
      </c>
      <c r="B708" s="114" t="s">
        <v>1148</v>
      </c>
      <c r="C708" s="114"/>
      <c r="D708" s="119"/>
      <c r="E708" s="121">
        <v>115.8</v>
      </c>
      <c r="F708" s="125">
        <v>46301</v>
      </c>
      <c r="G708" s="350">
        <v>46301</v>
      </c>
      <c r="H708" s="125" t="s">
        <v>19</v>
      </c>
      <c r="I708" s="70"/>
      <c r="J708" s="532"/>
      <c r="K708" s="533"/>
      <c r="L708" s="70"/>
      <c r="M708" s="113"/>
      <c r="N708" s="403"/>
      <c r="O708" s="403"/>
      <c r="P708" s="70"/>
      <c r="Q708" s="404"/>
      <c r="R708" s="404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</row>
    <row r="709" spans="1:36" s="14" customFormat="1" hidden="1">
      <c r="A709" s="560" t="s">
        <v>1149</v>
      </c>
      <c r="B709" s="111" t="s">
        <v>1150</v>
      </c>
      <c r="C709" s="111"/>
      <c r="D709" s="119" t="s">
        <v>639</v>
      </c>
      <c r="E709" s="121">
        <v>1736.32</v>
      </c>
      <c r="F709" s="125">
        <v>46255</v>
      </c>
      <c r="G709" s="351">
        <v>46255</v>
      </c>
      <c r="H709" s="119" t="s">
        <v>19</v>
      </c>
      <c r="I709" s="70"/>
      <c r="J709" s="532"/>
      <c r="K709" s="533"/>
      <c r="L709" s="70"/>
      <c r="M709" s="113"/>
      <c r="N709" s="403"/>
      <c r="O709" s="403"/>
      <c r="P709" s="70"/>
      <c r="Q709" s="404"/>
      <c r="R709" s="404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</row>
    <row r="710" spans="1:36" s="14" customFormat="1" hidden="1">
      <c r="A710" s="560" t="s">
        <v>1149</v>
      </c>
      <c r="B710" s="114" t="s">
        <v>1151</v>
      </c>
      <c r="C710" s="439"/>
      <c r="D710" s="119"/>
      <c r="E710" s="121">
        <v>20102.7</v>
      </c>
      <c r="F710" s="125">
        <v>46320</v>
      </c>
      <c r="G710" s="350"/>
      <c r="H710" s="125"/>
      <c r="I710" s="70"/>
      <c r="J710" s="532"/>
      <c r="K710" s="533"/>
      <c r="L710" s="70"/>
      <c r="M710" s="113"/>
      <c r="N710" s="403"/>
      <c r="O710" s="403"/>
      <c r="P710" s="70"/>
      <c r="Q710" s="404"/>
      <c r="R710" s="404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</row>
    <row r="711" spans="1:36" s="14" customFormat="1" hidden="1">
      <c r="A711" s="560" t="s">
        <v>1149</v>
      </c>
      <c r="B711" s="114" t="s">
        <v>1152</v>
      </c>
      <c r="C711" s="439"/>
      <c r="D711" s="119"/>
      <c r="E711" s="121">
        <v>20102.7</v>
      </c>
      <c r="F711" s="125">
        <v>46320</v>
      </c>
      <c r="G711" s="350"/>
      <c r="H711" s="125"/>
      <c r="I711" s="70"/>
      <c r="J711" s="532"/>
      <c r="K711" s="533"/>
      <c r="L711" s="70"/>
      <c r="M711" s="113"/>
      <c r="N711" s="403"/>
      <c r="O711" s="403"/>
      <c r="P711" s="70"/>
      <c r="Q711" s="404"/>
      <c r="R711" s="404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</row>
    <row r="712" spans="1:36" s="14" customFormat="1" hidden="1">
      <c r="A712" s="560" t="s">
        <v>1149</v>
      </c>
      <c r="B712" s="114" t="s">
        <v>1153</v>
      </c>
      <c r="C712" s="439"/>
      <c r="D712" s="119" t="s">
        <v>1154</v>
      </c>
      <c r="E712" s="121">
        <v>11000</v>
      </c>
      <c r="F712" s="125">
        <v>46349</v>
      </c>
      <c r="G712" s="350"/>
      <c r="H712" s="125"/>
      <c r="I712" s="70"/>
      <c r="J712" s="563"/>
      <c r="K712" s="564"/>
      <c r="L712" s="89"/>
      <c r="M712" s="480"/>
      <c r="N712" s="403"/>
      <c r="O712" s="403"/>
      <c r="P712" s="70"/>
      <c r="Q712" s="404"/>
      <c r="R712" s="404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</row>
    <row r="713" spans="1:36" s="14" customFormat="1" hidden="1">
      <c r="A713" s="560" t="s">
        <v>1149</v>
      </c>
      <c r="B713" s="114" t="s">
        <v>1155</v>
      </c>
      <c r="C713" s="439"/>
      <c r="D713" s="119" t="s">
        <v>1154</v>
      </c>
      <c r="E713" s="121">
        <v>11000.01</v>
      </c>
      <c r="F713" s="125">
        <v>46349</v>
      </c>
      <c r="G713" s="350"/>
      <c r="H713" s="125"/>
      <c r="I713" s="70"/>
      <c r="J713" s="563"/>
      <c r="K713" s="564"/>
      <c r="L713" s="89"/>
      <c r="M713" s="480"/>
      <c r="N713" s="403"/>
      <c r="O713" s="403"/>
      <c r="P713" s="70"/>
      <c r="Q713" s="404"/>
      <c r="R713" s="404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</row>
    <row r="714" spans="1:36" s="14" customFormat="1" hidden="1">
      <c r="A714" s="560" t="s">
        <v>1156</v>
      </c>
      <c r="B714" s="111" t="s">
        <v>1157</v>
      </c>
      <c r="C714" s="111"/>
      <c r="D714" s="119"/>
      <c r="E714" s="121">
        <v>14000</v>
      </c>
      <c r="F714" s="125">
        <v>46244</v>
      </c>
      <c r="G714" s="351">
        <v>46255</v>
      </c>
      <c r="H714" s="119" t="s">
        <v>19</v>
      </c>
      <c r="J714" s="532"/>
      <c r="K714" s="533"/>
      <c r="L714" s="342"/>
      <c r="M714" s="113"/>
      <c r="N714" s="281"/>
      <c r="O714" s="281"/>
      <c r="Q714" s="430"/>
      <c r="R714" s="430"/>
    </row>
    <row r="715" spans="1:36" s="14" customFormat="1" hidden="1">
      <c r="A715" s="560" t="s">
        <v>1156</v>
      </c>
      <c r="B715" s="111" t="s">
        <v>1158</v>
      </c>
      <c r="C715" s="111"/>
      <c r="D715" s="503" t="s">
        <v>1159</v>
      </c>
      <c r="E715" s="121">
        <v>30000</v>
      </c>
      <c r="F715" s="125">
        <v>46246</v>
      </c>
      <c r="G715" s="351">
        <v>46246</v>
      </c>
      <c r="H715" s="119" t="s">
        <v>19</v>
      </c>
      <c r="I715" s="70"/>
      <c r="J715" s="532"/>
      <c r="K715" s="533"/>
      <c r="L715" s="70"/>
      <c r="M715" s="113"/>
      <c r="N715" s="403"/>
      <c r="O715" s="403"/>
      <c r="P715" s="70"/>
      <c r="Q715" s="404"/>
      <c r="R715" s="404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</row>
    <row r="716" spans="1:36" s="14" customFormat="1" hidden="1">
      <c r="A716" s="560" t="s">
        <v>1156</v>
      </c>
      <c r="B716" s="111" t="s">
        <v>1160</v>
      </c>
      <c r="C716" s="111"/>
      <c r="D716" s="119"/>
      <c r="E716" s="121">
        <v>8400</v>
      </c>
      <c r="F716" s="125">
        <v>46252</v>
      </c>
      <c r="G716" s="351">
        <v>46253</v>
      </c>
      <c r="H716" s="119" t="s">
        <v>19</v>
      </c>
      <c r="I716" s="70"/>
      <c r="J716" s="563"/>
      <c r="K716" s="564"/>
      <c r="L716" s="89"/>
      <c r="M716" s="480"/>
      <c r="N716" s="403"/>
      <c r="O716" s="403"/>
      <c r="P716" s="70"/>
      <c r="Q716" s="404"/>
      <c r="R716" s="404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</row>
    <row r="717" spans="1:36" s="14" customFormat="1" hidden="1">
      <c r="A717" s="560" t="s">
        <v>1156</v>
      </c>
      <c r="B717" s="111" t="s">
        <v>1161</v>
      </c>
      <c r="C717" s="111"/>
      <c r="D717" s="119" t="s">
        <v>1162</v>
      </c>
      <c r="E717" s="121">
        <v>25264.09</v>
      </c>
      <c r="F717" s="125">
        <v>46254</v>
      </c>
      <c r="G717" s="351">
        <v>46254</v>
      </c>
      <c r="H717" s="119" t="s">
        <v>19</v>
      </c>
      <c r="I717" s="70"/>
      <c r="J717" s="532"/>
      <c r="K717" s="533"/>
      <c r="L717" s="70"/>
      <c r="M717" s="113"/>
      <c r="N717" s="403"/>
      <c r="O717" s="403"/>
      <c r="P717" s="70"/>
      <c r="Q717" s="404"/>
      <c r="R717" s="404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</row>
    <row r="718" spans="1:36" s="14" customFormat="1" hidden="1">
      <c r="A718" s="560" t="s">
        <v>1156</v>
      </c>
      <c r="B718" s="111" t="s">
        <v>1163</v>
      </c>
      <c r="C718" s="111"/>
      <c r="D718" s="119" t="s">
        <v>1164</v>
      </c>
      <c r="E718" s="121">
        <v>13000</v>
      </c>
      <c r="F718" s="125">
        <v>46255</v>
      </c>
      <c r="G718" s="351">
        <v>46255</v>
      </c>
      <c r="H718" s="119" t="s">
        <v>19</v>
      </c>
      <c r="I718" s="70"/>
      <c r="J718" s="532"/>
      <c r="K718" s="533"/>
      <c r="L718" s="70"/>
      <c r="M718" s="113"/>
      <c r="N718" s="403"/>
      <c r="O718" s="403"/>
      <c r="P718" s="70"/>
      <c r="Q718" s="404"/>
      <c r="R718" s="404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</row>
    <row r="719" spans="1:36" s="14" customFormat="1" hidden="1">
      <c r="A719" s="560" t="s">
        <v>1156</v>
      </c>
      <c r="B719" s="111" t="s">
        <v>1165</v>
      </c>
      <c r="C719" s="111"/>
      <c r="D719" s="119" t="s">
        <v>1166</v>
      </c>
      <c r="E719" s="121">
        <v>17876.560000000001</v>
      </c>
      <c r="F719" s="125">
        <v>46256</v>
      </c>
      <c r="G719" s="351">
        <v>46258</v>
      </c>
      <c r="H719" s="119" t="s">
        <v>445</v>
      </c>
      <c r="I719" s="70"/>
      <c r="J719" s="532"/>
      <c r="K719" s="533"/>
      <c r="L719" s="70"/>
      <c r="M719" s="113"/>
      <c r="N719" s="403"/>
      <c r="O719" s="403"/>
      <c r="P719" s="70"/>
      <c r="Q719" s="404"/>
      <c r="R719" s="404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</row>
    <row r="720" spans="1:36" s="14" customFormat="1" hidden="1">
      <c r="A720" s="560" t="s">
        <v>1156</v>
      </c>
      <c r="B720" s="111" t="s">
        <v>1167</v>
      </c>
      <c r="C720" s="111"/>
      <c r="D720" s="119" t="s">
        <v>1168</v>
      </c>
      <c r="E720" s="121">
        <v>13000</v>
      </c>
      <c r="F720" s="125">
        <v>46286</v>
      </c>
      <c r="G720" s="351">
        <v>46296</v>
      </c>
      <c r="H720" s="119" t="s">
        <v>19</v>
      </c>
      <c r="I720" s="70"/>
      <c r="J720" s="532"/>
      <c r="K720" s="533"/>
      <c r="L720" s="70"/>
      <c r="M720" s="113"/>
      <c r="N720" s="403"/>
      <c r="O720" s="403"/>
      <c r="P720" s="70"/>
      <c r="Q720" s="404"/>
      <c r="R720" s="404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</row>
    <row r="721" spans="1:36" s="14" customFormat="1" hidden="1">
      <c r="A721" s="560" t="s">
        <v>1156</v>
      </c>
      <c r="B721" s="111" t="s">
        <v>1169</v>
      </c>
      <c r="C721" s="111"/>
      <c r="D721" s="119" t="s">
        <v>1170</v>
      </c>
      <c r="E721" s="121">
        <v>30000</v>
      </c>
      <c r="F721" s="125">
        <v>46277</v>
      </c>
      <c r="G721" s="125">
        <v>46279</v>
      </c>
      <c r="H721" s="119" t="s">
        <v>19</v>
      </c>
      <c r="I721" s="70"/>
      <c r="J721" s="532"/>
      <c r="K721" s="533"/>
      <c r="L721" s="70"/>
      <c r="M721" s="113"/>
      <c r="N721" s="403"/>
      <c r="O721" s="403"/>
      <c r="P721" s="70"/>
      <c r="Q721" s="404"/>
      <c r="R721" s="404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</row>
    <row r="722" spans="1:36" s="14" customFormat="1" hidden="1">
      <c r="A722" s="560" t="s">
        <v>1156</v>
      </c>
      <c r="B722" s="111" t="s">
        <v>1160</v>
      </c>
      <c r="C722" s="111"/>
      <c r="D722" s="119"/>
      <c r="E722" s="121">
        <v>8400</v>
      </c>
      <c r="F722" s="125">
        <v>46283</v>
      </c>
      <c r="G722" s="125">
        <v>46284</v>
      </c>
      <c r="H722" s="119" t="s">
        <v>481</v>
      </c>
      <c r="I722" s="70"/>
      <c r="J722" s="532"/>
      <c r="K722" s="533"/>
      <c r="L722" s="70"/>
      <c r="M722" s="113"/>
      <c r="N722" s="403"/>
      <c r="O722" s="403"/>
      <c r="P722" s="70"/>
      <c r="Q722" s="404"/>
      <c r="R722" s="404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</row>
    <row r="723" spans="1:36" s="14" customFormat="1" hidden="1">
      <c r="A723" s="560" t="s">
        <v>1156</v>
      </c>
      <c r="B723" s="111" t="s">
        <v>1171</v>
      </c>
      <c r="C723" s="111"/>
      <c r="D723" s="119" t="s">
        <v>1172</v>
      </c>
      <c r="E723" s="121">
        <v>25264.09</v>
      </c>
      <c r="F723" s="125">
        <v>46285</v>
      </c>
      <c r="G723" s="125">
        <v>46286</v>
      </c>
      <c r="H723" s="119" t="s">
        <v>19</v>
      </c>
      <c r="I723" s="70"/>
      <c r="J723" s="532"/>
      <c r="K723" s="533"/>
      <c r="L723" s="70"/>
      <c r="M723" s="113"/>
      <c r="N723" s="403"/>
      <c r="O723" s="403"/>
      <c r="P723" s="70"/>
      <c r="Q723" s="404"/>
      <c r="R723" s="404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</row>
    <row r="724" spans="1:36" s="14" customFormat="1" hidden="1">
      <c r="A724" s="560" t="s">
        <v>1156</v>
      </c>
      <c r="B724" s="111" t="s">
        <v>1173</v>
      </c>
      <c r="C724" s="111"/>
      <c r="D724" s="119" t="s">
        <v>1174</v>
      </c>
      <c r="E724" s="121">
        <v>18278.48</v>
      </c>
      <c r="F724" s="125">
        <v>46287</v>
      </c>
      <c r="G724" s="125">
        <v>46288</v>
      </c>
      <c r="H724" s="119" t="s">
        <v>19</v>
      </c>
      <c r="I724" s="70"/>
      <c r="J724" s="532"/>
      <c r="K724" s="533"/>
      <c r="L724" s="70"/>
      <c r="M724" s="113"/>
      <c r="N724" s="403"/>
      <c r="O724" s="403"/>
      <c r="P724" s="70"/>
      <c r="Q724" s="404"/>
      <c r="R724" s="404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</row>
    <row r="725" spans="1:36" s="14" customFormat="1">
      <c r="A725" s="560" t="s">
        <v>1156</v>
      </c>
      <c r="B725" s="111" t="s">
        <v>1160</v>
      </c>
      <c r="C725" s="440"/>
      <c r="D725" s="119"/>
      <c r="E725" s="121">
        <v>8400</v>
      </c>
      <c r="F725" s="125">
        <v>46313</v>
      </c>
      <c r="G725" s="350"/>
      <c r="H725" s="498" t="s">
        <v>592</v>
      </c>
      <c r="I725" s="70"/>
      <c r="J725" s="532"/>
      <c r="K725" s="533"/>
      <c r="L725" s="70"/>
      <c r="M725" s="113"/>
      <c r="N725" s="403"/>
      <c r="O725" s="403"/>
      <c r="P725" s="70"/>
      <c r="Q725" s="404"/>
      <c r="R725" s="404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</row>
    <row r="726" spans="1:36" s="14" customFormat="1">
      <c r="A726" s="560" t="s">
        <v>1156</v>
      </c>
      <c r="B726" s="114" t="s">
        <v>1175</v>
      </c>
      <c r="C726" s="439"/>
      <c r="D726" s="119" t="s">
        <v>1176</v>
      </c>
      <c r="E726" s="121">
        <v>13000</v>
      </c>
      <c r="F726" s="125">
        <v>46316</v>
      </c>
      <c r="G726" s="350"/>
      <c r="H726" s="125" t="s">
        <v>592</v>
      </c>
      <c r="I726" s="70"/>
      <c r="J726" s="563"/>
      <c r="K726" s="564"/>
      <c r="L726" s="89"/>
      <c r="M726" s="480"/>
      <c r="N726" s="403"/>
      <c r="O726" s="403"/>
      <c r="P726" s="70"/>
      <c r="Q726" s="404"/>
      <c r="R726" s="404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</row>
    <row r="727" spans="1:36" s="14" customFormat="1">
      <c r="A727" s="560" t="s">
        <v>1156</v>
      </c>
      <c r="B727" s="114" t="s">
        <v>1177</v>
      </c>
      <c r="C727" s="439"/>
      <c r="D727" s="119" t="s">
        <v>1178</v>
      </c>
      <c r="E727" s="121">
        <v>17876.560000000001</v>
      </c>
      <c r="F727" s="125">
        <v>46317</v>
      </c>
      <c r="G727" s="350"/>
      <c r="H727" s="125" t="s">
        <v>592</v>
      </c>
      <c r="I727" s="70"/>
      <c r="J727" s="563"/>
      <c r="K727" s="564"/>
      <c r="L727" s="89"/>
      <c r="M727" s="480"/>
      <c r="N727" s="403"/>
      <c r="O727" s="403"/>
      <c r="P727" s="70"/>
      <c r="Q727" s="404"/>
      <c r="R727" s="404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</row>
    <row r="728" spans="1:36" s="14" customFormat="1" hidden="1">
      <c r="A728" s="437" t="s">
        <v>1156</v>
      </c>
      <c r="B728" s="114" t="s">
        <v>1179</v>
      </c>
      <c r="C728" s="114"/>
      <c r="D728" s="119" t="s">
        <v>1180</v>
      </c>
      <c r="E728" s="121">
        <v>30000</v>
      </c>
      <c r="F728" s="350">
        <v>46307</v>
      </c>
      <c r="G728" s="350">
        <v>46308</v>
      </c>
      <c r="H728" s="119" t="s">
        <v>19</v>
      </c>
      <c r="I728" s="70"/>
      <c r="J728" s="563"/>
      <c r="K728" s="564"/>
      <c r="L728" s="89"/>
      <c r="M728" s="480"/>
      <c r="N728" s="403"/>
      <c r="O728" s="403"/>
      <c r="P728" s="70"/>
      <c r="Q728" s="404"/>
      <c r="R728" s="404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</row>
    <row r="729" spans="1:36" s="14" customFormat="1" hidden="1">
      <c r="A729" s="437" t="s">
        <v>1156</v>
      </c>
      <c r="B729" s="111" t="s">
        <v>1157</v>
      </c>
      <c r="C729" s="111"/>
      <c r="D729" s="119"/>
      <c r="E729" s="121">
        <v>14000</v>
      </c>
      <c r="F729" s="125">
        <v>46275</v>
      </c>
      <c r="G729" s="351">
        <v>46309</v>
      </c>
      <c r="H729" s="119" t="s">
        <v>19</v>
      </c>
      <c r="I729" s="70"/>
      <c r="J729" s="532"/>
      <c r="K729" s="533"/>
      <c r="L729" s="70"/>
      <c r="M729" s="113"/>
      <c r="N729" s="403"/>
      <c r="O729" s="403"/>
      <c r="P729" s="70"/>
      <c r="Q729" s="404"/>
      <c r="R729" s="404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</row>
    <row r="730" spans="1:36" s="14" customFormat="1" hidden="1">
      <c r="A730" s="560" t="s">
        <v>1156</v>
      </c>
      <c r="B730" s="114" t="s">
        <v>1157</v>
      </c>
      <c r="C730" s="114"/>
      <c r="D730" s="119"/>
      <c r="E730" s="121">
        <v>14000</v>
      </c>
      <c r="F730" s="125">
        <v>46305</v>
      </c>
      <c r="G730" s="125">
        <v>46309</v>
      </c>
      <c r="H730" s="119" t="s">
        <v>19</v>
      </c>
      <c r="I730" s="70"/>
      <c r="J730" s="532"/>
      <c r="K730" s="533"/>
      <c r="L730" s="70"/>
      <c r="M730" s="113"/>
      <c r="N730" s="403"/>
      <c r="O730" s="403"/>
      <c r="P730" s="70"/>
      <c r="Q730" s="404"/>
      <c r="R730" s="404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</row>
    <row r="731" spans="1:36" s="14" customFormat="1" hidden="1">
      <c r="A731" s="560" t="s">
        <v>1156</v>
      </c>
      <c r="B731" s="114" t="s">
        <v>1157</v>
      </c>
      <c r="C731" s="114"/>
      <c r="D731" s="119"/>
      <c r="E731" s="121">
        <v>1200</v>
      </c>
      <c r="F731" s="125">
        <v>46305</v>
      </c>
      <c r="G731" s="125">
        <v>46309</v>
      </c>
      <c r="H731" s="119" t="s">
        <v>19</v>
      </c>
      <c r="I731" s="70"/>
      <c r="J731" s="532"/>
      <c r="K731" s="533"/>
      <c r="L731" s="70"/>
      <c r="M731" s="113"/>
      <c r="N731" s="403"/>
      <c r="O731" s="403"/>
      <c r="P731" s="70"/>
      <c r="Q731" s="404"/>
      <c r="R731" s="404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</row>
    <row r="732" spans="1:36" s="14" customFormat="1" hidden="1">
      <c r="A732" s="560" t="s">
        <v>1156</v>
      </c>
      <c r="B732" s="114" t="s">
        <v>1181</v>
      </c>
      <c r="C732" s="114"/>
      <c r="D732" s="119" t="s">
        <v>1182</v>
      </c>
      <c r="E732" s="121">
        <v>25264.09</v>
      </c>
      <c r="F732" s="125">
        <v>46315</v>
      </c>
      <c r="G732" s="125">
        <v>46315</v>
      </c>
      <c r="H732" s="125" t="s">
        <v>19</v>
      </c>
      <c r="I732" s="70"/>
      <c r="J732" s="532"/>
      <c r="K732" s="533"/>
      <c r="L732" s="70"/>
      <c r="M732" s="113"/>
      <c r="N732" s="403"/>
      <c r="O732" s="403"/>
      <c r="P732" s="70"/>
      <c r="Q732" s="404"/>
      <c r="R732" s="404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</row>
    <row r="733" spans="1:36" s="14" customFormat="1" hidden="1">
      <c r="A733" s="560" t="s">
        <v>1156</v>
      </c>
      <c r="B733" s="114" t="s">
        <v>1183</v>
      </c>
      <c r="C733" s="439"/>
      <c r="D733" s="119" t="s">
        <v>1184</v>
      </c>
      <c r="E733" s="121">
        <v>13000</v>
      </c>
      <c r="F733" s="125">
        <v>46347</v>
      </c>
      <c r="G733" s="350"/>
      <c r="H733" s="125" t="s">
        <v>592</v>
      </c>
      <c r="I733" s="70"/>
      <c r="J733" s="532"/>
      <c r="K733" s="533"/>
      <c r="L733" s="70"/>
      <c r="M733" s="113"/>
      <c r="N733" s="403"/>
      <c r="O733" s="403"/>
      <c r="P733" s="70"/>
      <c r="Q733" s="404"/>
      <c r="R733" s="404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</row>
    <row r="734" spans="1:36" s="14" customFormat="1" hidden="1">
      <c r="A734" s="560" t="s">
        <v>1156</v>
      </c>
      <c r="B734" s="114" t="s">
        <v>1185</v>
      </c>
      <c r="C734" s="439"/>
      <c r="D734" s="119" t="s">
        <v>1186</v>
      </c>
      <c r="E734" s="121">
        <v>17876.560000000001</v>
      </c>
      <c r="F734" s="125">
        <v>46348</v>
      </c>
      <c r="G734" s="350"/>
      <c r="H734" s="125" t="s">
        <v>592</v>
      </c>
      <c r="I734" s="70"/>
      <c r="J734" s="532"/>
      <c r="K734" s="533"/>
      <c r="L734" s="70"/>
      <c r="M734" s="113"/>
      <c r="N734" s="403"/>
      <c r="O734" s="403"/>
      <c r="P734" s="70"/>
      <c r="Q734" s="404"/>
      <c r="R734" s="404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</row>
    <row r="735" spans="1:36" s="14" customFormat="1" hidden="1">
      <c r="A735" s="560" t="s">
        <v>1156</v>
      </c>
      <c r="B735" s="114" t="s">
        <v>1187</v>
      </c>
      <c r="C735" s="439"/>
      <c r="D735" s="119" t="s">
        <v>1188</v>
      </c>
      <c r="E735" s="121">
        <v>13000</v>
      </c>
      <c r="F735" s="125">
        <v>46377</v>
      </c>
      <c r="G735" s="350"/>
      <c r="H735" s="125" t="s">
        <v>592</v>
      </c>
      <c r="I735" s="70"/>
      <c r="J735" s="532"/>
      <c r="K735" s="533"/>
      <c r="L735" s="70"/>
      <c r="M735" s="113"/>
      <c r="N735" s="403"/>
      <c r="O735" s="403"/>
      <c r="P735" s="70"/>
      <c r="Q735" s="404"/>
      <c r="R735" s="404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</row>
    <row r="736" spans="1:36" s="14" customFormat="1" hidden="1">
      <c r="A736" s="560" t="s">
        <v>1156</v>
      </c>
      <c r="B736" s="114" t="s">
        <v>1189</v>
      </c>
      <c r="C736" s="439"/>
      <c r="D736" s="119" t="s">
        <v>1190</v>
      </c>
      <c r="E736" s="121">
        <v>17876.560000000001</v>
      </c>
      <c r="F736" s="125">
        <v>46378</v>
      </c>
      <c r="G736" s="350"/>
      <c r="H736" s="125" t="s">
        <v>592</v>
      </c>
      <c r="I736" s="70"/>
      <c r="J736" s="532"/>
      <c r="K736" s="533"/>
      <c r="L736" s="70"/>
      <c r="M736" s="113"/>
      <c r="N736" s="403"/>
      <c r="O736" s="403"/>
      <c r="P736" s="70"/>
      <c r="Q736" s="404"/>
      <c r="R736" s="404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</row>
    <row r="737" spans="1:36" s="14" customFormat="1" hidden="1">
      <c r="A737" s="560" t="s">
        <v>1156</v>
      </c>
      <c r="B737" s="114" t="s">
        <v>1191</v>
      </c>
      <c r="C737" s="439"/>
      <c r="D737" s="119" t="s">
        <v>1192</v>
      </c>
      <c r="E737" s="121">
        <v>13000</v>
      </c>
      <c r="F737" s="125">
        <v>46408</v>
      </c>
      <c r="G737" s="350"/>
      <c r="H737" s="125" t="s">
        <v>592</v>
      </c>
      <c r="I737" s="70"/>
      <c r="J737" s="532"/>
      <c r="K737" s="533"/>
      <c r="L737" s="70"/>
      <c r="M737" s="113"/>
      <c r="N737" s="403"/>
      <c r="O737" s="403"/>
      <c r="P737" s="70"/>
      <c r="Q737" s="404"/>
      <c r="R737" s="404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</row>
    <row r="738" spans="1:36" s="14" customFormat="1" hidden="1">
      <c r="A738" s="560" t="s">
        <v>1156</v>
      </c>
      <c r="B738" s="114" t="s">
        <v>1193</v>
      </c>
      <c r="C738" s="439"/>
      <c r="D738" s="119" t="s">
        <v>1194</v>
      </c>
      <c r="E738" s="121">
        <v>17876.560000000001</v>
      </c>
      <c r="F738" s="125">
        <v>46409</v>
      </c>
      <c r="G738" s="350"/>
      <c r="H738" s="125" t="s">
        <v>592</v>
      </c>
      <c r="I738" s="70"/>
      <c r="J738" s="532"/>
      <c r="K738" s="533"/>
      <c r="L738" s="70"/>
      <c r="M738" s="113"/>
      <c r="N738" s="403"/>
      <c r="O738" s="403"/>
      <c r="P738" s="70"/>
      <c r="Q738" s="404"/>
      <c r="R738" s="404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</row>
    <row r="739" spans="1:36" s="14" customFormat="1" hidden="1">
      <c r="A739" s="560" t="s">
        <v>1156</v>
      </c>
      <c r="B739" s="114" t="s">
        <v>1195</v>
      </c>
      <c r="C739" s="439"/>
      <c r="D739" s="119" t="s">
        <v>1196</v>
      </c>
      <c r="E739" s="121">
        <v>13000</v>
      </c>
      <c r="F739" s="125">
        <v>46439</v>
      </c>
      <c r="G739" s="350"/>
      <c r="H739" s="125" t="s">
        <v>592</v>
      </c>
      <c r="I739" s="70"/>
      <c r="J739" s="532"/>
      <c r="K739" s="533"/>
      <c r="L739" s="70"/>
      <c r="M739" s="113"/>
      <c r="N739" s="403"/>
      <c r="O739" s="403"/>
      <c r="P739" s="70"/>
      <c r="Q739" s="404"/>
      <c r="R739" s="404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</row>
    <row r="740" spans="1:36" s="14" customFormat="1" hidden="1">
      <c r="A740" s="560" t="s">
        <v>1156</v>
      </c>
      <c r="B740" s="114" t="s">
        <v>1197</v>
      </c>
      <c r="C740" s="439"/>
      <c r="D740" s="119" t="s">
        <v>1198</v>
      </c>
      <c r="E740" s="121">
        <v>17876.560000000001</v>
      </c>
      <c r="F740" s="125">
        <v>46440</v>
      </c>
      <c r="G740" s="350"/>
      <c r="H740" s="125" t="s">
        <v>592</v>
      </c>
      <c r="I740" s="70"/>
      <c r="J740" s="532"/>
      <c r="K740" s="533"/>
      <c r="L740" s="70"/>
      <c r="M740" s="113"/>
      <c r="N740" s="403"/>
      <c r="O740" s="403"/>
      <c r="P740" s="70"/>
      <c r="Q740" s="404"/>
      <c r="R740" s="404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</row>
    <row r="741" spans="1:36" s="14" customFormat="1" hidden="1">
      <c r="A741" s="560" t="s">
        <v>1156</v>
      </c>
      <c r="B741" s="114" t="s">
        <v>1199</v>
      </c>
      <c r="C741" s="439"/>
      <c r="D741" s="119" t="s">
        <v>1200</v>
      </c>
      <c r="E741" s="121">
        <v>13000</v>
      </c>
      <c r="F741" s="125">
        <v>46467</v>
      </c>
      <c r="G741" s="350"/>
      <c r="H741" s="125" t="s">
        <v>592</v>
      </c>
      <c r="I741" s="70"/>
      <c r="J741" s="532"/>
      <c r="K741" s="533"/>
      <c r="L741" s="70"/>
      <c r="M741" s="113"/>
      <c r="N741" s="403"/>
      <c r="O741" s="403"/>
      <c r="P741" s="70"/>
      <c r="Q741" s="404"/>
      <c r="R741" s="404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</row>
    <row r="742" spans="1:36" s="14" customFormat="1" hidden="1">
      <c r="A742" s="560" t="s">
        <v>1156</v>
      </c>
      <c r="B742" s="114" t="s">
        <v>1201</v>
      </c>
      <c r="C742" s="439"/>
      <c r="D742" s="119" t="s">
        <v>1202</v>
      </c>
      <c r="E742" s="121">
        <v>17876.560000000001</v>
      </c>
      <c r="F742" s="125">
        <v>46468</v>
      </c>
      <c r="G742" s="350"/>
      <c r="H742" s="125" t="s">
        <v>592</v>
      </c>
      <c r="I742" s="70"/>
      <c r="J742" s="532"/>
      <c r="K742" s="533"/>
      <c r="L742" s="70"/>
      <c r="M742" s="113"/>
      <c r="N742" s="403"/>
      <c r="O742" s="403"/>
      <c r="P742" s="70"/>
      <c r="Q742" s="404"/>
      <c r="R742" s="404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</row>
    <row r="743" spans="1:36" s="14" customFormat="1" hidden="1">
      <c r="A743" s="560" t="s">
        <v>1156</v>
      </c>
      <c r="B743" s="114" t="s">
        <v>1203</v>
      </c>
      <c r="C743" s="439"/>
      <c r="D743" s="119" t="s">
        <v>1204</v>
      </c>
      <c r="E743" s="121">
        <v>13000</v>
      </c>
      <c r="F743" s="125">
        <v>46498</v>
      </c>
      <c r="G743" s="350"/>
      <c r="H743" s="125" t="s">
        <v>592</v>
      </c>
      <c r="I743" s="70"/>
      <c r="J743" s="532"/>
      <c r="K743" s="533"/>
      <c r="L743" s="70"/>
      <c r="M743" s="113"/>
      <c r="N743" s="403"/>
      <c r="O743" s="403"/>
      <c r="P743" s="70"/>
      <c r="Q743" s="404"/>
      <c r="R743" s="404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</row>
    <row r="744" spans="1:36" s="14" customFormat="1" hidden="1">
      <c r="A744" s="560" t="s">
        <v>1156</v>
      </c>
      <c r="B744" s="114" t="s">
        <v>1205</v>
      </c>
      <c r="C744" s="439"/>
      <c r="D744" s="119" t="s">
        <v>1206</v>
      </c>
      <c r="E744" s="121">
        <v>17876.560000000001</v>
      </c>
      <c r="F744" s="125">
        <v>46499</v>
      </c>
      <c r="G744" s="350"/>
      <c r="H744" s="125" t="s">
        <v>592</v>
      </c>
      <c r="I744" s="70"/>
      <c r="J744" s="532"/>
      <c r="K744" s="533"/>
      <c r="L744" s="70"/>
      <c r="M744" s="113"/>
      <c r="N744" s="403"/>
      <c r="O744" s="403"/>
      <c r="P744" s="70"/>
      <c r="Q744" s="404"/>
      <c r="R744" s="404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</row>
    <row r="745" spans="1:36" s="14" customFormat="1" hidden="1">
      <c r="A745" s="560" t="s">
        <v>1156</v>
      </c>
      <c r="B745" s="114" t="s">
        <v>1207</v>
      </c>
      <c r="C745" s="439"/>
      <c r="D745" s="119" t="s">
        <v>1208</v>
      </c>
      <c r="E745" s="121">
        <v>13000</v>
      </c>
      <c r="F745" s="125">
        <v>46528</v>
      </c>
      <c r="G745" s="350"/>
      <c r="H745" s="125" t="s">
        <v>592</v>
      </c>
      <c r="I745" s="70"/>
      <c r="J745" s="532"/>
      <c r="K745" s="533"/>
      <c r="L745" s="70"/>
      <c r="M745" s="113"/>
      <c r="N745" s="403"/>
      <c r="O745" s="403"/>
      <c r="P745" s="70"/>
      <c r="Q745" s="404"/>
      <c r="R745" s="404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</row>
    <row r="746" spans="1:36" s="14" customFormat="1" hidden="1">
      <c r="A746" s="560" t="s">
        <v>1156</v>
      </c>
      <c r="B746" s="114" t="s">
        <v>1209</v>
      </c>
      <c r="C746" s="439"/>
      <c r="D746" s="119" t="s">
        <v>1210</v>
      </c>
      <c r="E746" s="121">
        <v>17876.560000000001</v>
      </c>
      <c r="F746" s="125">
        <v>46529</v>
      </c>
      <c r="G746" s="350"/>
      <c r="H746" s="125" t="s">
        <v>592</v>
      </c>
      <c r="I746" s="70"/>
      <c r="J746" s="532"/>
      <c r="K746" s="533"/>
      <c r="L746" s="70"/>
      <c r="M746" s="113"/>
      <c r="N746" s="403"/>
      <c r="O746" s="403"/>
      <c r="P746" s="70"/>
      <c r="Q746" s="404"/>
      <c r="R746" s="404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</row>
    <row r="747" spans="1:36" s="14" customFormat="1" hidden="1">
      <c r="A747" s="560" t="s">
        <v>1211</v>
      </c>
      <c r="B747" s="111" t="s">
        <v>1212</v>
      </c>
      <c r="C747" s="111"/>
      <c r="D747" s="119" t="s">
        <v>355</v>
      </c>
      <c r="E747" s="121">
        <v>300</v>
      </c>
      <c r="F747" s="125">
        <v>46240</v>
      </c>
      <c r="G747" s="351">
        <v>46240</v>
      </c>
      <c r="H747" s="119" t="s">
        <v>19</v>
      </c>
      <c r="I747" s="70"/>
      <c r="J747" s="532"/>
      <c r="K747" s="533"/>
      <c r="L747" s="70"/>
      <c r="M747" s="113"/>
      <c r="N747" s="403"/>
      <c r="O747" s="403"/>
      <c r="P747" s="70"/>
      <c r="Q747" s="404"/>
      <c r="R747" s="404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</row>
    <row r="748" spans="1:36" s="14" customFormat="1" hidden="1">
      <c r="A748" s="560" t="s">
        <v>1211</v>
      </c>
      <c r="B748" s="111" t="s">
        <v>1213</v>
      </c>
      <c r="C748" s="111"/>
      <c r="D748" s="119" t="s">
        <v>19</v>
      </c>
      <c r="E748" s="121">
        <v>1666.93</v>
      </c>
      <c r="F748" s="125">
        <v>46241</v>
      </c>
      <c r="G748" s="351">
        <v>46241</v>
      </c>
      <c r="H748" s="119" t="s">
        <v>19</v>
      </c>
      <c r="I748" s="70"/>
      <c r="J748" s="532"/>
      <c r="K748" s="533"/>
      <c r="L748" s="70"/>
      <c r="M748" s="113"/>
      <c r="N748" s="403"/>
      <c r="O748" s="403"/>
      <c r="P748" s="70"/>
      <c r="Q748" s="404"/>
      <c r="R748" s="404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</row>
    <row r="749" spans="1:36" s="14" customFormat="1" hidden="1">
      <c r="A749" s="560" t="s">
        <v>1211</v>
      </c>
      <c r="B749" s="111" t="s">
        <v>1214</v>
      </c>
      <c r="C749" s="111"/>
      <c r="D749" s="119" t="s">
        <v>1215</v>
      </c>
      <c r="E749" s="121">
        <v>230.62</v>
      </c>
      <c r="F749" s="125">
        <v>46247</v>
      </c>
      <c r="G749" s="351">
        <v>46247</v>
      </c>
      <c r="H749" s="119" t="s">
        <v>19</v>
      </c>
      <c r="I749" s="70"/>
      <c r="J749" s="532"/>
      <c r="K749" s="533"/>
      <c r="L749" s="70"/>
      <c r="M749" s="113"/>
      <c r="N749" s="403"/>
      <c r="O749" s="403"/>
      <c r="P749" s="70"/>
      <c r="Q749" s="404"/>
      <c r="R749" s="404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</row>
    <row r="750" spans="1:36" s="14" customFormat="1" hidden="1">
      <c r="A750" s="560" t="s">
        <v>1211</v>
      </c>
      <c r="B750" s="111" t="s">
        <v>1216</v>
      </c>
      <c r="C750" s="111"/>
      <c r="D750" s="119" t="s">
        <v>1217</v>
      </c>
      <c r="E750" s="121">
        <v>78.23</v>
      </c>
      <c r="F750" s="125">
        <v>46247</v>
      </c>
      <c r="G750" s="351">
        <v>46247</v>
      </c>
      <c r="H750" s="119" t="s">
        <v>19</v>
      </c>
      <c r="I750" s="70"/>
      <c r="J750" s="532"/>
      <c r="K750" s="533"/>
      <c r="L750" s="70"/>
      <c r="M750" s="113"/>
      <c r="N750" s="403"/>
      <c r="O750" s="403"/>
      <c r="P750" s="70"/>
      <c r="Q750" s="404"/>
      <c r="R750" s="404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</row>
    <row r="751" spans="1:36" s="14" customFormat="1" hidden="1">
      <c r="A751" s="560" t="s">
        <v>1211</v>
      </c>
      <c r="B751" s="111" t="s">
        <v>1218</v>
      </c>
      <c r="C751" s="111"/>
      <c r="D751" s="119" t="s">
        <v>1219</v>
      </c>
      <c r="E751" s="121">
        <v>78.23</v>
      </c>
      <c r="F751" s="125">
        <v>46247</v>
      </c>
      <c r="G751" s="351">
        <v>46247</v>
      </c>
      <c r="H751" s="119" t="s">
        <v>19</v>
      </c>
      <c r="I751" s="70"/>
      <c r="J751" s="532"/>
      <c r="K751" s="533"/>
      <c r="L751" s="70"/>
      <c r="M751" s="113"/>
      <c r="N751" s="403"/>
      <c r="O751" s="403"/>
      <c r="P751" s="70"/>
      <c r="Q751" s="404"/>
      <c r="R751" s="404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</row>
    <row r="752" spans="1:36" s="14" customFormat="1" hidden="1">
      <c r="A752" s="560" t="s">
        <v>1211</v>
      </c>
      <c r="B752" s="111" t="s">
        <v>1220</v>
      </c>
      <c r="C752" s="111"/>
      <c r="D752" s="119"/>
      <c r="E752" s="121">
        <v>123.52</v>
      </c>
      <c r="F752" s="125">
        <v>46247</v>
      </c>
      <c r="G752" s="351">
        <v>46247</v>
      </c>
      <c r="H752" s="119" t="s">
        <v>19</v>
      </c>
      <c r="I752" s="70"/>
      <c r="J752" s="532"/>
      <c r="K752" s="533"/>
      <c r="L752" s="70"/>
      <c r="M752" s="113"/>
      <c r="N752" s="403"/>
      <c r="O752" s="403"/>
      <c r="P752" s="70"/>
      <c r="Q752" s="404"/>
      <c r="R752" s="404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</row>
    <row r="753" spans="1:36" s="14" customFormat="1" hidden="1">
      <c r="A753" s="560" t="s">
        <v>1211</v>
      </c>
      <c r="B753" s="111" t="s">
        <v>1221</v>
      </c>
      <c r="C753" s="111"/>
      <c r="D753" s="119"/>
      <c r="E753" s="121">
        <v>1000</v>
      </c>
      <c r="F753" s="125">
        <v>46254</v>
      </c>
      <c r="G753" s="351">
        <v>46254</v>
      </c>
      <c r="H753" s="119" t="s">
        <v>19</v>
      </c>
      <c r="I753" s="70"/>
      <c r="J753" s="532"/>
      <c r="K753" s="533"/>
      <c r="L753" s="70"/>
      <c r="M753" s="113"/>
      <c r="N753" s="403"/>
      <c r="O753" s="403"/>
      <c r="P753" s="70"/>
      <c r="Q753" s="404"/>
      <c r="R753" s="404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</row>
    <row r="754" spans="1:36" s="14" customFormat="1" hidden="1">
      <c r="A754" s="560" t="s">
        <v>1211</v>
      </c>
      <c r="B754" s="111" t="s">
        <v>1222</v>
      </c>
      <c r="C754" s="111"/>
      <c r="D754" s="119"/>
      <c r="E754" s="121">
        <v>27</v>
      </c>
      <c r="F754" s="125">
        <v>46258</v>
      </c>
      <c r="G754" s="351">
        <v>46258</v>
      </c>
      <c r="H754" s="119" t="s">
        <v>19</v>
      </c>
      <c r="I754" s="70"/>
      <c r="J754" s="532"/>
      <c r="K754" s="533"/>
      <c r="L754" s="70"/>
      <c r="M754" s="113"/>
      <c r="N754" s="403"/>
      <c r="O754" s="403"/>
      <c r="P754" s="70"/>
      <c r="Q754" s="404"/>
      <c r="R754" s="404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</row>
    <row r="755" spans="1:36" s="14" customFormat="1" hidden="1">
      <c r="A755" s="560" t="s">
        <v>1211</v>
      </c>
      <c r="B755" s="111" t="s">
        <v>1222</v>
      </c>
      <c r="C755" s="111"/>
      <c r="D755" s="119"/>
      <c r="E755" s="121">
        <v>3</v>
      </c>
      <c r="F755" s="125">
        <v>46258</v>
      </c>
      <c r="G755" s="351">
        <v>46258</v>
      </c>
      <c r="H755" s="119" t="s">
        <v>19</v>
      </c>
      <c r="I755" s="70"/>
      <c r="J755" s="532"/>
      <c r="K755" s="533"/>
      <c r="L755" s="70"/>
      <c r="M755" s="113"/>
      <c r="N755" s="403"/>
      <c r="O755" s="403"/>
      <c r="P755" s="70"/>
      <c r="Q755" s="404"/>
      <c r="R755" s="404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</row>
    <row r="756" spans="1:36" s="14" customFormat="1" hidden="1">
      <c r="A756" s="560" t="s">
        <v>1223</v>
      </c>
      <c r="B756" s="111" t="s">
        <v>1224</v>
      </c>
      <c r="C756" s="111"/>
      <c r="D756" s="119"/>
      <c r="E756" s="121">
        <v>230.62</v>
      </c>
      <c r="F756" s="125">
        <v>46251</v>
      </c>
      <c r="G756" s="351">
        <v>46251</v>
      </c>
      <c r="H756" s="119" t="s">
        <v>19</v>
      </c>
      <c r="I756" s="70"/>
      <c r="J756" s="532"/>
      <c r="K756" s="533"/>
      <c r="L756" s="70"/>
      <c r="M756" s="113"/>
      <c r="N756" s="403"/>
      <c r="O756" s="403"/>
      <c r="P756" s="70"/>
      <c r="Q756" s="404"/>
      <c r="R756" s="404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</row>
    <row r="757" spans="1:36" s="14" customFormat="1" hidden="1">
      <c r="A757" s="560" t="s">
        <v>1223</v>
      </c>
      <c r="B757" s="111" t="s">
        <v>1225</v>
      </c>
      <c r="C757" s="111"/>
      <c r="D757" s="119"/>
      <c r="E757" s="121">
        <v>1294.9000000000001</v>
      </c>
      <c r="F757" s="125">
        <v>46258</v>
      </c>
      <c r="G757" s="351">
        <v>46258</v>
      </c>
      <c r="H757" s="119" t="s">
        <v>19</v>
      </c>
      <c r="I757" s="70"/>
      <c r="J757" s="563"/>
      <c r="K757" s="564"/>
      <c r="L757" s="70"/>
      <c r="M757" s="480"/>
      <c r="N757" s="403"/>
      <c r="O757" s="403"/>
      <c r="P757" s="70"/>
      <c r="Q757" s="404"/>
      <c r="R757" s="404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</row>
    <row r="758" spans="1:36" s="14" customFormat="1" hidden="1">
      <c r="A758" s="560" t="s">
        <v>1223</v>
      </c>
      <c r="B758" s="111" t="s">
        <v>1226</v>
      </c>
      <c r="C758" s="111"/>
      <c r="D758" s="119"/>
      <c r="E758" s="121">
        <v>23127.37</v>
      </c>
      <c r="F758" s="125">
        <v>46265</v>
      </c>
      <c r="G758" s="351">
        <v>46265</v>
      </c>
      <c r="H758" s="119" t="s">
        <v>19</v>
      </c>
      <c r="I758" s="70"/>
      <c r="J758" s="563"/>
      <c r="K758" s="564"/>
      <c r="L758" s="70"/>
      <c r="M758" s="480"/>
      <c r="N758" s="403"/>
      <c r="O758" s="403"/>
      <c r="P758" s="70"/>
      <c r="Q758" s="404"/>
      <c r="R758" s="404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</row>
    <row r="759" spans="1:36" s="14" customFormat="1" hidden="1">
      <c r="A759" s="560" t="s">
        <v>1223</v>
      </c>
      <c r="B759" s="111" t="s">
        <v>1227</v>
      </c>
      <c r="C759" s="111"/>
      <c r="D759" s="119"/>
      <c r="E759" s="121">
        <v>1294.9000000000001</v>
      </c>
      <c r="F759" s="125">
        <v>46266</v>
      </c>
      <c r="G759" s="351">
        <v>46266</v>
      </c>
      <c r="H759" s="119" t="s">
        <v>19</v>
      </c>
      <c r="I759" s="70"/>
      <c r="J759" s="563"/>
      <c r="K759" s="564"/>
      <c r="L759" s="70"/>
      <c r="M759" s="480"/>
      <c r="N759" s="403"/>
      <c r="O759" s="403"/>
      <c r="P759" s="70"/>
      <c r="Q759" s="404"/>
      <c r="R759" s="404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</row>
    <row r="760" spans="1:36" s="14" customFormat="1" hidden="1">
      <c r="A760" s="560" t="s">
        <v>1223</v>
      </c>
      <c r="B760" s="111" t="s">
        <v>1227</v>
      </c>
      <c r="C760" s="111"/>
      <c r="D760" s="119"/>
      <c r="E760" s="121">
        <v>1294</v>
      </c>
      <c r="F760" s="125">
        <v>46275</v>
      </c>
      <c r="G760" s="125">
        <v>46275</v>
      </c>
      <c r="H760" s="119" t="s">
        <v>445</v>
      </c>
      <c r="I760" s="70"/>
      <c r="J760" s="563"/>
      <c r="K760" s="564"/>
      <c r="L760" s="70"/>
      <c r="M760" s="480"/>
      <c r="N760" s="403"/>
      <c r="O760" s="403"/>
      <c r="P760" s="70"/>
      <c r="Q760" s="404"/>
      <c r="R760" s="404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</row>
    <row r="761" spans="1:36" s="14" customFormat="1" hidden="1">
      <c r="A761" s="560" t="s">
        <v>1223</v>
      </c>
      <c r="B761" s="111" t="s">
        <v>1228</v>
      </c>
      <c r="C761" s="111"/>
      <c r="D761" s="119" t="s">
        <v>973</v>
      </c>
      <c r="E761" s="121">
        <v>119.9</v>
      </c>
      <c r="F761" s="125">
        <v>46273</v>
      </c>
      <c r="G761" s="125">
        <v>46288</v>
      </c>
      <c r="H761" s="119" t="s">
        <v>19</v>
      </c>
      <c r="I761" s="70"/>
      <c r="J761" s="563"/>
      <c r="K761" s="564"/>
      <c r="L761" s="70"/>
      <c r="M761" s="480"/>
      <c r="N761" s="403"/>
      <c r="O761" s="403"/>
      <c r="P761" s="70"/>
      <c r="Q761" s="404"/>
      <c r="R761" s="404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</row>
    <row r="762" spans="1:36" s="14" customFormat="1" hidden="1">
      <c r="A762" s="560" t="s">
        <v>1223</v>
      </c>
      <c r="B762" s="111" t="s">
        <v>1229</v>
      </c>
      <c r="C762" s="111"/>
      <c r="D762" s="119" t="s">
        <v>973</v>
      </c>
      <c r="E762" s="121">
        <v>122.34</v>
      </c>
      <c r="F762" s="125">
        <v>46254</v>
      </c>
      <c r="G762" s="125">
        <v>46288</v>
      </c>
      <c r="H762" s="119" t="s">
        <v>19</v>
      </c>
      <c r="I762" s="70"/>
      <c r="J762" s="563"/>
      <c r="K762" s="564"/>
      <c r="L762" s="70"/>
      <c r="M762" s="480"/>
      <c r="N762" s="403"/>
      <c r="O762" s="403"/>
      <c r="P762" s="70"/>
      <c r="Q762" s="404"/>
      <c r="R762" s="404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</row>
    <row r="763" spans="1:36" s="14" customFormat="1">
      <c r="A763" s="437" t="s">
        <v>1223</v>
      </c>
      <c r="B763" s="114" t="s">
        <v>1230</v>
      </c>
      <c r="C763" s="439"/>
      <c r="D763" s="119"/>
      <c r="E763" s="121">
        <v>39278.25</v>
      </c>
      <c r="F763" s="125">
        <v>46295</v>
      </c>
      <c r="G763" s="478" t="s">
        <v>366</v>
      </c>
      <c r="H763" s="125"/>
      <c r="I763" s="70"/>
      <c r="J763" s="563"/>
      <c r="K763" s="564"/>
      <c r="L763" s="70"/>
      <c r="M763" s="480"/>
      <c r="N763" s="403"/>
      <c r="O763" s="403"/>
      <c r="P763" s="70"/>
      <c r="Q763" s="404"/>
      <c r="R763" s="404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</row>
    <row r="764" spans="1:36" s="14" customFormat="1" hidden="1">
      <c r="A764" s="560" t="s">
        <v>1223</v>
      </c>
      <c r="B764" s="114" t="s">
        <v>1231</v>
      </c>
      <c r="C764" s="114"/>
      <c r="D764" s="119"/>
      <c r="E764" s="121">
        <v>150</v>
      </c>
      <c r="F764" s="125">
        <v>46302</v>
      </c>
      <c r="G764" s="350">
        <v>46302</v>
      </c>
      <c r="H764" s="119" t="s">
        <v>19</v>
      </c>
      <c r="I764" s="70"/>
      <c r="J764" s="563"/>
      <c r="K764" s="564"/>
      <c r="L764" s="70"/>
      <c r="M764" s="480"/>
      <c r="N764" s="403"/>
      <c r="O764" s="403"/>
      <c r="P764" s="70"/>
      <c r="Q764" s="404"/>
      <c r="R764" s="404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</row>
    <row r="765" spans="1:36" s="14" customFormat="1" hidden="1">
      <c r="A765" s="560" t="s">
        <v>1223</v>
      </c>
      <c r="B765" s="114" t="s">
        <v>1232</v>
      </c>
      <c r="C765" s="114"/>
      <c r="D765" s="119"/>
      <c r="E765" s="121">
        <f>365.4+33.3+239.92+12</f>
        <v>650.62</v>
      </c>
      <c r="F765" s="125">
        <v>46303</v>
      </c>
      <c r="G765" s="350">
        <v>46303</v>
      </c>
      <c r="H765" s="119" t="s">
        <v>19</v>
      </c>
      <c r="I765" s="70"/>
      <c r="J765" s="563"/>
      <c r="K765" s="564"/>
      <c r="L765" s="70"/>
      <c r="M765" s="480"/>
      <c r="N765" s="403"/>
      <c r="O765" s="403"/>
      <c r="P765" s="70"/>
      <c r="Q765" s="404"/>
      <c r="R765" s="404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</row>
    <row r="766" spans="1:36" s="14" customFormat="1" hidden="1">
      <c r="A766" s="560" t="s">
        <v>1223</v>
      </c>
      <c r="B766" s="114" t="s">
        <v>1226</v>
      </c>
      <c r="C766" s="439"/>
      <c r="D766" s="119"/>
      <c r="E766" s="121"/>
      <c r="F766" s="125">
        <v>46325</v>
      </c>
      <c r="G766" s="350"/>
      <c r="H766" s="125"/>
      <c r="I766" s="70"/>
      <c r="J766" s="563"/>
      <c r="K766" s="564"/>
      <c r="L766" s="70"/>
      <c r="M766" s="480"/>
      <c r="N766" s="403"/>
      <c r="O766" s="403"/>
      <c r="P766" s="70"/>
      <c r="Q766" s="404"/>
      <c r="R766" s="404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</row>
    <row r="767" spans="1:36" s="14" customFormat="1" hidden="1">
      <c r="A767" s="560" t="s">
        <v>1223</v>
      </c>
      <c r="B767" s="114" t="s">
        <v>1226</v>
      </c>
      <c r="C767" s="439"/>
      <c r="D767" s="119"/>
      <c r="E767" s="121"/>
      <c r="F767" s="125">
        <v>46356</v>
      </c>
      <c r="G767" s="350"/>
      <c r="H767" s="125"/>
      <c r="I767" s="70"/>
      <c r="J767" s="563"/>
      <c r="K767" s="564"/>
      <c r="L767" s="70"/>
      <c r="M767" s="480"/>
      <c r="N767" s="403"/>
      <c r="O767" s="403"/>
      <c r="P767" s="70"/>
      <c r="Q767" s="404"/>
      <c r="R767" s="404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</row>
    <row r="768" spans="1:36" s="14" customFormat="1" hidden="1">
      <c r="A768" s="560" t="s">
        <v>1223</v>
      </c>
      <c r="B768" s="114" t="s">
        <v>1226</v>
      </c>
      <c r="C768" s="439"/>
      <c r="D768" s="119"/>
      <c r="E768" s="121"/>
      <c r="F768" s="125">
        <v>46356</v>
      </c>
      <c r="G768" s="350"/>
      <c r="H768" s="125"/>
      <c r="I768" s="70"/>
      <c r="J768" s="563"/>
      <c r="K768" s="564"/>
      <c r="L768" s="70"/>
      <c r="M768" s="480"/>
      <c r="N768" s="403"/>
      <c r="O768" s="403"/>
      <c r="P768" s="70"/>
      <c r="Q768" s="404"/>
      <c r="R768" s="404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</row>
    <row r="769" spans="1:36" s="14" customFormat="1" hidden="1">
      <c r="A769" s="560" t="s">
        <v>1223</v>
      </c>
      <c r="B769" s="111" t="s">
        <v>1233</v>
      </c>
      <c r="C769" s="440"/>
      <c r="D769" s="119"/>
      <c r="E769" s="121"/>
      <c r="F769" s="125">
        <v>46329</v>
      </c>
      <c r="G769" s="125"/>
      <c r="H769" s="119"/>
      <c r="I769" s="70"/>
      <c r="J769" s="563"/>
      <c r="K769" s="564"/>
      <c r="L769" s="70"/>
      <c r="M769" s="480"/>
      <c r="N769" s="403"/>
      <c r="O769" s="403"/>
      <c r="P769" s="70"/>
      <c r="Q769" s="404"/>
      <c r="R769" s="404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</row>
    <row r="770" spans="1:36" s="14" customFormat="1" hidden="1">
      <c r="A770" s="560" t="s">
        <v>1234</v>
      </c>
      <c r="B770" s="111" t="s">
        <v>1235</v>
      </c>
      <c r="C770" s="111"/>
      <c r="D770" s="119"/>
      <c r="E770" s="121">
        <v>50</v>
      </c>
      <c r="F770" s="351">
        <v>46293</v>
      </c>
      <c r="G770" s="125">
        <v>46294</v>
      </c>
      <c r="H770" s="125" t="s">
        <v>19</v>
      </c>
      <c r="I770" s="70"/>
      <c r="J770" s="563"/>
      <c r="K770" s="564"/>
      <c r="L770" s="70"/>
      <c r="M770" s="480"/>
      <c r="N770" s="403"/>
      <c r="O770" s="403"/>
      <c r="P770" s="70"/>
      <c r="Q770" s="404"/>
      <c r="R770" s="404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</row>
    <row r="771" spans="1:36" s="14" customFormat="1" hidden="1">
      <c r="A771" s="560" t="s">
        <v>1236</v>
      </c>
      <c r="B771" s="111" t="s">
        <v>1237</v>
      </c>
      <c r="C771" s="111"/>
      <c r="D771" s="119"/>
      <c r="E771" s="121">
        <v>5000</v>
      </c>
      <c r="F771" s="125">
        <v>46249</v>
      </c>
      <c r="G771" s="351">
        <v>46255</v>
      </c>
      <c r="H771" s="119" t="s">
        <v>19</v>
      </c>
      <c r="I771" s="70"/>
      <c r="J771" s="563"/>
      <c r="K771" s="564"/>
      <c r="L771" s="70"/>
      <c r="M771" s="480"/>
      <c r="N771" s="403"/>
      <c r="O771" s="403"/>
      <c r="P771" s="70"/>
      <c r="Q771" s="404"/>
      <c r="R771" s="404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</row>
    <row r="772" spans="1:36" s="14" customFormat="1" hidden="1">
      <c r="A772" s="560" t="s">
        <v>1236</v>
      </c>
      <c r="B772" s="111" t="s">
        <v>1238</v>
      </c>
      <c r="C772" s="111"/>
      <c r="D772" s="119"/>
      <c r="E772" s="121">
        <v>4999.99</v>
      </c>
      <c r="F772" s="125">
        <v>46249</v>
      </c>
      <c r="G772" s="351">
        <v>46255</v>
      </c>
      <c r="H772" s="119" t="s">
        <v>19</v>
      </c>
      <c r="I772" s="70"/>
      <c r="J772" s="563"/>
      <c r="K772" s="564"/>
      <c r="L772" s="70"/>
      <c r="M772" s="480"/>
      <c r="N772" s="403"/>
      <c r="O772" s="403"/>
      <c r="P772" s="70"/>
      <c r="Q772" s="404"/>
      <c r="R772" s="404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</row>
    <row r="773" spans="1:36" s="14" customFormat="1" hidden="1">
      <c r="A773" s="437" t="s">
        <v>431</v>
      </c>
      <c r="B773" s="114" t="s">
        <v>1239</v>
      </c>
      <c r="C773" s="439"/>
      <c r="D773" s="119"/>
      <c r="E773" s="121" t="s">
        <v>1240</v>
      </c>
      <c r="F773" s="125">
        <v>46312</v>
      </c>
      <c r="G773" s="350">
        <v>46317</v>
      </c>
      <c r="H773" s="498"/>
      <c r="I773" s="70"/>
      <c r="J773" s="532"/>
      <c r="K773" s="533"/>
      <c r="L773" s="70"/>
      <c r="M773" s="113"/>
      <c r="N773" s="403"/>
      <c r="O773" s="403"/>
      <c r="P773" s="70"/>
      <c r="Q773" s="404"/>
      <c r="R773" s="404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</row>
    <row r="774" spans="1:36" s="691" customFormat="1">
      <c r="A774" s="683"/>
      <c r="B774" s="684"/>
      <c r="C774" s="685"/>
      <c r="D774" s="686"/>
      <c r="E774" s="687"/>
      <c r="F774" s="688"/>
      <c r="G774" s="689"/>
      <c r="H774" s="690"/>
      <c r="J774" s="692"/>
      <c r="K774" s="693"/>
      <c r="M774" s="694"/>
      <c r="N774" s="695"/>
      <c r="O774" s="695"/>
      <c r="Q774" s="696"/>
      <c r="R774" s="696"/>
    </row>
    <row r="775" spans="1:36" s="691" customFormat="1">
      <c r="A775" s="683"/>
      <c r="B775" s="684"/>
      <c r="C775" s="685"/>
      <c r="D775" s="686"/>
      <c r="E775" s="687"/>
      <c r="F775" s="688"/>
      <c r="G775" s="689"/>
      <c r="H775" s="690"/>
      <c r="J775" s="692"/>
      <c r="K775" s="693"/>
      <c r="M775" s="694"/>
      <c r="N775" s="695"/>
      <c r="O775" s="695"/>
      <c r="Q775" s="696"/>
      <c r="R775" s="696"/>
    </row>
    <row r="776" spans="1:36" s="670" customFormat="1">
      <c r="A776" s="676" t="s">
        <v>1236</v>
      </c>
      <c r="B776" s="664" t="s">
        <v>1237</v>
      </c>
      <c r="C776" s="665"/>
      <c r="D776" s="666"/>
      <c r="E776" s="667">
        <v>5000</v>
      </c>
      <c r="F776" s="668">
        <v>46280</v>
      </c>
      <c r="G776" s="669" t="s">
        <v>366</v>
      </c>
      <c r="H776" s="666"/>
      <c r="J776" s="678"/>
      <c r="K776" s="679"/>
      <c r="M776" s="680"/>
      <c r="N776" s="674"/>
      <c r="O776" s="674"/>
      <c r="Q776" s="675"/>
      <c r="R776" s="675"/>
    </row>
    <row r="777" spans="1:36" s="670" customFormat="1">
      <c r="A777" s="676" t="s">
        <v>1236</v>
      </c>
      <c r="B777" s="664" t="s">
        <v>1238</v>
      </c>
      <c r="C777" s="665"/>
      <c r="D777" s="666"/>
      <c r="E777" s="667">
        <v>4999.99</v>
      </c>
      <c r="F777" s="668">
        <v>46280</v>
      </c>
      <c r="G777" s="669" t="s">
        <v>366</v>
      </c>
      <c r="H777" s="666"/>
      <c r="J777" s="678"/>
      <c r="K777" s="679"/>
      <c r="M777" s="680"/>
      <c r="N777" s="674"/>
      <c r="O777" s="674"/>
      <c r="Q777" s="675"/>
      <c r="R777" s="675"/>
    </row>
    <row r="778" spans="1:36" s="670" customFormat="1">
      <c r="A778" s="676" t="s">
        <v>1236</v>
      </c>
      <c r="B778" s="681" t="s">
        <v>1237</v>
      </c>
      <c r="C778" s="682"/>
      <c r="D778" s="666"/>
      <c r="E778" s="667">
        <v>5000</v>
      </c>
      <c r="F778" s="668">
        <v>46310</v>
      </c>
      <c r="G778" s="677" t="s">
        <v>366</v>
      </c>
      <c r="H778" s="668"/>
      <c r="J778" s="678"/>
      <c r="K778" s="679"/>
      <c r="M778" s="680"/>
      <c r="N778" s="674"/>
      <c r="O778" s="674"/>
      <c r="Q778" s="675"/>
      <c r="R778" s="675"/>
    </row>
    <row r="779" spans="1:36" s="14" customFormat="1" hidden="1">
      <c r="A779" s="560" t="s">
        <v>1241</v>
      </c>
      <c r="B779" s="111" t="s">
        <v>1242</v>
      </c>
      <c r="C779" s="111"/>
      <c r="D779" s="119"/>
      <c r="E779" s="121">
        <v>850</v>
      </c>
      <c r="F779" s="125">
        <v>46285</v>
      </c>
      <c r="G779" s="125">
        <v>46286</v>
      </c>
      <c r="H779" s="119" t="s">
        <v>19</v>
      </c>
      <c r="J779" s="563"/>
      <c r="K779" s="564"/>
      <c r="M779" s="480"/>
      <c r="N779" s="281"/>
      <c r="O779" s="403"/>
      <c r="P779" s="70"/>
      <c r="Q779" s="404"/>
      <c r="R779" s="404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</row>
    <row r="780" spans="1:36" s="14" customFormat="1" hidden="1">
      <c r="A780" s="560" t="s">
        <v>1241</v>
      </c>
      <c r="B780" s="111" t="s">
        <v>1243</v>
      </c>
      <c r="C780" s="111"/>
      <c r="D780" s="119" t="s">
        <v>1082</v>
      </c>
      <c r="E780" s="121">
        <v>1200</v>
      </c>
      <c r="F780" s="125">
        <v>46285</v>
      </c>
      <c r="G780" s="125">
        <v>46286</v>
      </c>
      <c r="H780" s="119" t="s">
        <v>19</v>
      </c>
      <c r="I780" s="70"/>
      <c r="J780" s="532"/>
      <c r="K780" s="533"/>
      <c r="L780" s="70"/>
      <c r="M780" s="113"/>
      <c r="N780" s="403"/>
      <c r="O780" s="403"/>
      <c r="P780" s="70"/>
      <c r="Q780" s="404"/>
      <c r="R780" s="404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</row>
    <row r="781" spans="1:36" s="14" customFormat="1" hidden="1">
      <c r="A781" s="560" t="s">
        <v>1241</v>
      </c>
      <c r="B781" s="111" t="s">
        <v>1244</v>
      </c>
      <c r="C781" s="111"/>
      <c r="D781" s="119"/>
      <c r="E781" s="121">
        <v>120</v>
      </c>
      <c r="F781" s="125">
        <v>46288</v>
      </c>
      <c r="G781" s="125">
        <v>46288</v>
      </c>
      <c r="H781" s="119" t="s">
        <v>19</v>
      </c>
      <c r="I781" s="70"/>
      <c r="J781" s="532"/>
      <c r="K781" s="533"/>
      <c r="L781" s="70"/>
      <c r="M781" s="113"/>
      <c r="N781" s="403"/>
      <c r="O781" s="403"/>
      <c r="P781" s="70"/>
      <c r="Q781" s="404"/>
      <c r="R781" s="404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</row>
    <row r="782" spans="1:36" s="14" customFormat="1" hidden="1">
      <c r="A782" s="560" t="s">
        <v>1245</v>
      </c>
      <c r="B782" s="111" t="s">
        <v>1246</v>
      </c>
      <c r="C782" s="111"/>
      <c r="D782" s="119" t="s">
        <v>896</v>
      </c>
      <c r="E782" s="121">
        <v>15000</v>
      </c>
      <c r="F782" s="125">
        <v>46237</v>
      </c>
      <c r="G782" s="351">
        <v>46237</v>
      </c>
      <c r="H782" s="119" t="s">
        <v>19</v>
      </c>
      <c r="I782" s="70"/>
      <c r="J782" s="532"/>
      <c r="K782" s="533"/>
      <c r="L782" s="70"/>
      <c r="M782" s="113"/>
      <c r="N782" s="403"/>
      <c r="O782" s="403"/>
      <c r="P782" s="70"/>
      <c r="Q782" s="404"/>
      <c r="R782" s="404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</row>
    <row r="783" spans="1:36" s="14" customFormat="1" hidden="1">
      <c r="A783" s="560" t="s">
        <v>1245</v>
      </c>
      <c r="B783" s="111" t="s">
        <v>1247</v>
      </c>
      <c r="C783" s="111"/>
      <c r="D783" s="119" t="s">
        <v>896</v>
      </c>
      <c r="E783" s="121">
        <v>15000</v>
      </c>
      <c r="F783" s="125">
        <v>46237</v>
      </c>
      <c r="G783" s="351">
        <v>46237</v>
      </c>
      <c r="H783" s="119" t="s">
        <v>19</v>
      </c>
      <c r="I783" s="70"/>
      <c r="J783" s="532"/>
      <c r="K783" s="533"/>
      <c r="L783" s="70"/>
      <c r="M783" s="113"/>
      <c r="N783" s="403"/>
      <c r="O783" s="403"/>
      <c r="P783" s="70"/>
      <c r="Q783" s="404"/>
      <c r="R783" s="404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</row>
    <row r="784" spans="1:36" s="14" customFormat="1" hidden="1">
      <c r="A784" s="560" t="s">
        <v>1245</v>
      </c>
      <c r="B784" s="111" t="s">
        <v>1247</v>
      </c>
      <c r="C784" s="111"/>
      <c r="D784" s="119"/>
      <c r="E784" s="121">
        <v>15000</v>
      </c>
      <c r="F784" s="125">
        <v>46267</v>
      </c>
      <c r="G784" s="125">
        <v>46267</v>
      </c>
      <c r="H784" s="119" t="s">
        <v>19</v>
      </c>
      <c r="I784" s="70"/>
      <c r="J784" s="532"/>
      <c r="K784" s="533"/>
      <c r="L784" s="70"/>
      <c r="M784" s="113"/>
      <c r="N784" s="403"/>
      <c r="O784" s="403"/>
      <c r="P784" s="70"/>
      <c r="Q784" s="404"/>
      <c r="R784" s="404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</row>
    <row r="785" spans="1:36" s="670" customFormat="1">
      <c r="A785" s="676" t="s">
        <v>1245</v>
      </c>
      <c r="B785" s="664" t="s">
        <v>1246</v>
      </c>
      <c r="C785" s="665"/>
      <c r="D785" s="666" t="s">
        <v>896</v>
      </c>
      <c r="E785" s="667">
        <v>15000</v>
      </c>
      <c r="F785" s="668">
        <v>46268</v>
      </c>
      <c r="G785" s="669" t="s">
        <v>366</v>
      </c>
      <c r="H785" s="666"/>
      <c r="J785" s="671"/>
      <c r="K785" s="672"/>
      <c r="M785" s="673"/>
      <c r="N785" s="674"/>
      <c r="O785" s="674"/>
      <c r="Q785" s="675"/>
      <c r="R785" s="675"/>
    </row>
    <row r="786" spans="1:36" s="670" customFormat="1">
      <c r="A786" s="676" t="s">
        <v>1245</v>
      </c>
      <c r="B786" s="664" t="s">
        <v>1246</v>
      </c>
      <c r="C786" s="665"/>
      <c r="D786" s="666" t="s">
        <v>896</v>
      </c>
      <c r="E786" s="667"/>
      <c r="F786" s="668">
        <v>46298</v>
      </c>
      <c r="G786" s="668" t="s">
        <v>366</v>
      </c>
      <c r="H786" s="668"/>
      <c r="J786" s="671"/>
      <c r="K786" s="672"/>
      <c r="M786" s="673"/>
      <c r="N786" s="674"/>
      <c r="O786" s="674"/>
      <c r="Q786" s="675"/>
      <c r="R786" s="675"/>
    </row>
    <row r="787" spans="1:36" s="670" customFormat="1">
      <c r="A787" s="676" t="s">
        <v>1245</v>
      </c>
      <c r="B787" s="664" t="s">
        <v>1247</v>
      </c>
      <c r="C787" s="665"/>
      <c r="D787" s="666" t="s">
        <v>896</v>
      </c>
      <c r="E787" s="667"/>
      <c r="F787" s="668">
        <v>46298</v>
      </c>
      <c r="G787" s="668" t="s">
        <v>366</v>
      </c>
      <c r="H787" s="668"/>
      <c r="J787" s="671"/>
      <c r="K787" s="672"/>
      <c r="M787" s="673"/>
      <c r="N787" s="674"/>
      <c r="O787" s="674"/>
      <c r="Q787" s="675"/>
      <c r="R787" s="675"/>
    </row>
    <row r="788" spans="1:36" s="670" customFormat="1">
      <c r="A788" s="676" t="s">
        <v>1245</v>
      </c>
      <c r="B788" s="681" t="s">
        <v>1248</v>
      </c>
      <c r="C788" s="682"/>
      <c r="D788" s="666"/>
      <c r="E788" s="667">
        <v>10000</v>
      </c>
      <c r="F788" s="668">
        <v>46305</v>
      </c>
      <c r="G788" s="677" t="s">
        <v>366</v>
      </c>
      <c r="H788" s="668"/>
      <c r="J788" s="671"/>
      <c r="K788" s="672"/>
      <c r="M788" s="673"/>
      <c r="N788" s="674"/>
      <c r="O788" s="674"/>
      <c r="Q788" s="675"/>
      <c r="R788" s="675"/>
    </row>
    <row r="789" spans="1:36" s="670" customFormat="1">
      <c r="A789" s="676" t="s">
        <v>1245</v>
      </c>
      <c r="B789" s="681" t="s">
        <v>1237</v>
      </c>
      <c r="C789" s="682"/>
      <c r="D789" s="666"/>
      <c r="E789" s="667">
        <v>5000</v>
      </c>
      <c r="F789" s="668">
        <v>46310</v>
      </c>
      <c r="G789" s="677" t="s">
        <v>366</v>
      </c>
      <c r="H789" s="668"/>
      <c r="J789" s="671"/>
      <c r="K789" s="672"/>
      <c r="M789" s="673"/>
      <c r="N789" s="674"/>
      <c r="O789" s="674"/>
      <c r="Q789" s="675"/>
      <c r="R789" s="675"/>
    </row>
    <row r="790" spans="1:36" s="14" customFormat="1" hidden="1">
      <c r="A790" s="560" t="s">
        <v>1249</v>
      </c>
      <c r="B790" s="111" t="s">
        <v>1250</v>
      </c>
      <c r="C790" s="111"/>
      <c r="D790" s="119" t="s">
        <v>19</v>
      </c>
      <c r="E790" s="121">
        <v>9808.86</v>
      </c>
      <c r="F790" s="125">
        <v>46244</v>
      </c>
      <c r="G790" s="351">
        <v>46244</v>
      </c>
      <c r="H790" s="119" t="s">
        <v>19</v>
      </c>
      <c r="I790" s="70"/>
      <c r="J790" s="532"/>
      <c r="K790" s="533"/>
      <c r="L790" s="70"/>
      <c r="M790" s="113"/>
      <c r="N790" s="403"/>
      <c r="O790" s="403"/>
      <c r="P790" s="70"/>
      <c r="Q790" s="404"/>
      <c r="R790" s="404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</row>
    <row r="791" spans="1:36" s="14" customFormat="1" hidden="1">
      <c r="A791" s="560" t="s">
        <v>1249</v>
      </c>
      <c r="B791" s="111" t="s">
        <v>1251</v>
      </c>
      <c r="C791" s="111"/>
      <c r="D791" s="119"/>
      <c r="E791" s="121">
        <v>779.4</v>
      </c>
      <c r="F791" s="125">
        <v>46263</v>
      </c>
      <c r="G791" s="351">
        <v>46266</v>
      </c>
      <c r="H791" s="119" t="s">
        <v>19</v>
      </c>
      <c r="I791" s="70"/>
      <c r="J791" s="532"/>
      <c r="K791" s="533"/>
      <c r="L791" s="70"/>
      <c r="M791" s="113"/>
      <c r="N791" s="403"/>
      <c r="O791" s="403"/>
      <c r="P791" s="70"/>
      <c r="Q791" s="404"/>
      <c r="R791" s="404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</row>
    <row r="792" spans="1:36" s="14" customFormat="1" hidden="1">
      <c r="A792" s="560" t="s">
        <v>1249</v>
      </c>
      <c r="B792" s="111" t="s">
        <v>1252</v>
      </c>
      <c r="C792" s="111"/>
      <c r="D792" s="119"/>
      <c r="E792" s="121">
        <v>1420.82</v>
      </c>
      <c r="F792" s="125">
        <v>46254</v>
      </c>
      <c r="G792" s="351">
        <v>46254</v>
      </c>
      <c r="H792" s="119" t="s">
        <v>19</v>
      </c>
      <c r="I792" s="70"/>
      <c r="J792" s="532"/>
      <c r="K792" s="533"/>
      <c r="L792" s="70"/>
      <c r="M792" s="113"/>
      <c r="N792" s="403"/>
      <c r="O792" s="403"/>
      <c r="P792" s="70"/>
      <c r="Q792" s="404"/>
      <c r="R792" s="404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</row>
    <row r="793" spans="1:36" s="14" customFormat="1" hidden="1">
      <c r="A793" s="560" t="s">
        <v>1249</v>
      </c>
      <c r="B793" s="111" t="s">
        <v>1253</v>
      </c>
      <c r="C793" s="111"/>
      <c r="D793" s="119"/>
      <c r="E793" s="121">
        <v>4281.78</v>
      </c>
      <c r="F793" s="125">
        <v>46265</v>
      </c>
      <c r="G793" s="351">
        <v>46266</v>
      </c>
      <c r="H793" s="434" t="s">
        <v>19</v>
      </c>
      <c r="I793" s="218"/>
      <c r="J793" s="563"/>
      <c r="K793" s="564"/>
      <c r="M793" s="480"/>
      <c r="N793" s="281"/>
      <c r="O793" s="403"/>
      <c r="P793" s="70"/>
      <c r="Q793" s="404"/>
      <c r="R793" s="404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</row>
    <row r="794" spans="1:36" s="14" customFormat="1" hidden="1">
      <c r="A794" s="560" t="s">
        <v>1249</v>
      </c>
      <c r="B794" s="111" t="s">
        <v>1254</v>
      </c>
      <c r="C794" s="111"/>
      <c r="D794" s="119"/>
      <c r="E794" s="121">
        <v>4281.78</v>
      </c>
      <c r="F794" s="125">
        <v>46265</v>
      </c>
      <c r="G794" s="351">
        <v>46266</v>
      </c>
      <c r="H794" s="434" t="s">
        <v>19</v>
      </c>
      <c r="J794" s="563"/>
      <c r="K794" s="564"/>
      <c r="M794" s="480"/>
      <c r="N794" s="281"/>
      <c r="O794" s="403"/>
      <c r="P794" s="70"/>
      <c r="Q794" s="404"/>
      <c r="R794" s="404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</row>
    <row r="795" spans="1:36" s="14" customFormat="1" hidden="1">
      <c r="A795" s="560" t="s">
        <v>1249</v>
      </c>
      <c r="B795" s="111" t="s">
        <v>1255</v>
      </c>
      <c r="C795" s="111"/>
      <c r="D795" s="119"/>
      <c r="E795" s="121">
        <v>1817.01</v>
      </c>
      <c r="F795" s="125">
        <v>46281</v>
      </c>
      <c r="G795" s="125">
        <v>46281</v>
      </c>
      <c r="H795" s="119" t="s">
        <v>457</v>
      </c>
      <c r="J795" s="563"/>
      <c r="K795" s="564"/>
      <c r="M795" s="480"/>
      <c r="N795" s="281"/>
      <c r="O795" s="403"/>
      <c r="P795" s="70"/>
      <c r="Q795" s="404"/>
      <c r="R795" s="404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</row>
    <row r="796" spans="1:36" s="14" customFormat="1" hidden="1">
      <c r="A796" s="560" t="s">
        <v>1249</v>
      </c>
      <c r="B796" s="111" t="s">
        <v>1256</v>
      </c>
      <c r="C796" s="111"/>
      <c r="D796" s="119" t="s">
        <v>1257</v>
      </c>
      <c r="E796" s="121">
        <v>349.66</v>
      </c>
      <c r="F796" s="125">
        <v>46275</v>
      </c>
      <c r="G796" s="125">
        <v>46288</v>
      </c>
      <c r="H796" s="434" t="s">
        <v>19</v>
      </c>
      <c r="J796" s="563"/>
      <c r="K796" s="564"/>
      <c r="M796" s="480"/>
      <c r="N796" s="281"/>
      <c r="O796" s="403"/>
      <c r="P796" s="70"/>
      <c r="Q796" s="404"/>
      <c r="R796" s="404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</row>
    <row r="797" spans="1:36" s="14" customFormat="1" hidden="1">
      <c r="A797" s="560" t="s">
        <v>1249</v>
      </c>
      <c r="B797" s="111" t="s">
        <v>1258</v>
      </c>
      <c r="C797" s="111"/>
      <c r="D797" s="119" t="s">
        <v>1259</v>
      </c>
      <c r="E797" s="121">
        <v>496.74</v>
      </c>
      <c r="F797" s="125">
        <v>46275</v>
      </c>
      <c r="G797" s="125">
        <v>46288</v>
      </c>
      <c r="H797" s="434" t="s">
        <v>19</v>
      </c>
      <c r="J797" s="563"/>
      <c r="K797" s="564"/>
      <c r="M797" s="480"/>
      <c r="N797" s="281"/>
      <c r="O797" s="403"/>
      <c r="P797" s="70"/>
      <c r="Q797" s="404"/>
      <c r="R797" s="404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</row>
    <row r="798" spans="1:36" s="14" customFormat="1" hidden="1">
      <c r="A798" s="560" t="s">
        <v>1249</v>
      </c>
      <c r="B798" s="111" t="s">
        <v>1260</v>
      </c>
      <c r="C798" s="111"/>
      <c r="D798" s="119" t="s">
        <v>19</v>
      </c>
      <c r="E798" s="121">
        <v>10902.06</v>
      </c>
      <c r="F798" s="125">
        <v>46275</v>
      </c>
      <c r="G798" s="351">
        <v>46290</v>
      </c>
      <c r="H798" s="434" t="s">
        <v>19</v>
      </c>
      <c r="I798" s="197"/>
      <c r="J798" s="563"/>
      <c r="K798" s="564"/>
      <c r="L798" s="53"/>
      <c r="M798" s="480"/>
      <c r="N798" s="281"/>
      <c r="O798" s="403"/>
      <c r="P798" s="70"/>
      <c r="Q798" s="404"/>
      <c r="R798" s="404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</row>
    <row r="799" spans="1:36" s="14" customFormat="1" hidden="1">
      <c r="A799" s="437" t="s">
        <v>1249</v>
      </c>
      <c r="B799" s="114" t="s">
        <v>1261</v>
      </c>
      <c r="C799" s="114"/>
      <c r="D799" s="135"/>
      <c r="E799" s="121">
        <v>4198.3</v>
      </c>
      <c r="F799" s="350">
        <v>46295</v>
      </c>
      <c r="G799" s="351">
        <v>46295</v>
      </c>
      <c r="H799" s="358" t="s">
        <v>19</v>
      </c>
      <c r="I799" s="197"/>
      <c r="J799" s="563"/>
      <c r="K799" s="564"/>
      <c r="L799" s="53"/>
      <c r="M799" s="480"/>
      <c r="N799" s="281"/>
      <c r="O799" s="403"/>
      <c r="P799" s="70"/>
      <c r="Q799" s="404"/>
      <c r="R799" s="404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</row>
    <row r="800" spans="1:36" s="14" customFormat="1" hidden="1">
      <c r="A800" s="437" t="s">
        <v>1249</v>
      </c>
      <c r="B800" s="114" t="s">
        <v>1262</v>
      </c>
      <c r="C800" s="114"/>
      <c r="D800" s="135"/>
      <c r="E800" s="121">
        <v>4198.3</v>
      </c>
      <c r="F800" s="350">
        <v>46295</v>
      </c>
      <c r="G800" s="351">
        <v>46295</v>
      </c>
      <c r="H800" s="358" t="s">
        <v>19</v>
      </c>
      <c r="I800" s="197"/>
      <c r="J800" s="563"/>
      <c r="K800" s="564"/>
      <c r="L800" s="53"/>
      <c r="M800" s="480"/>
      <c r="N800" s="281"/>
      <c r="O800" s="403"/>
      <c r="P800" s="70"/>
      <c r="Q800" s="404"/>
      <c r="R800" s="404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</row>
    <row r="801" spans="1:36" s="14" customFormat="1" hidden="1">
      <c r="A801" s="560" t="s">
        <v>1249</v>
      </c>
      <c r="B801" s="114" t="s">
        <v>1251</v>
      </c>
      <c r="C801" s="439"/>
      <c r="D801" s="119"/>
      <c r="E801" s="121">
        <v>773.14</v>
      </c>
      <c r="F801" s="125">
        <v>46325</v>
      </c>
      <c r="G801" s="350"/>
      <c r="H801" s="358"/>
      <c r="I801" s="197"/>
      <c r="J801" s="563"/>
      <c r="K801" s="564"/>
      <c r="L801" s="53"/>
      <c r="M801" s="480"/>
      <c r="N801" s="281"/>
      <c r="O801" s="403"/>
      <c r="P801" s="70"/>
      <c r="Q801" s="404"/>
      <c r="R801" s="404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</row>
    <row r="802" spans="1:36" s="14" customFormat="1" hidden="1">
      <c r="A802" s="437" t="s">
        <v>1249</v>
      </c>
      <c r="B802" s="114" t="s">
        <v>1263</v>
      </c>
      <c r="C802" s="114"/>
      <c r="D802" s="119" t="s">
        <v>973</v>
      </c>
      <c r="E802" s="121">
        <v>1418.84</v>
      </c>
      <c r="F802" s="125">
        <v>46285</v>
      </c>
      <c r="G802" s="351">
        <v>46308</v>
      </c>
      <c r="H802" s="119" t="s">
        <v>19</v>
      </c>
      <c r="I802" s="70"/>
      <c r="J802" s="532"/>
      <c r="K802" s="533"/>
      <c r="L802" s="70"/>
      <c r="M802" s="113"/>
      <c r="N802" s="403"/>
      <c r="O802" s="403"/>
      <c r="P802" s="70"/>
      <c r="Q802" s="404"/>
      <c r="R802" s="404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</row>
    <row r="803" spans="1:36" s="14" customFormat="1" hidden="1">
      <c r="A803" s="560" t="s">
        <v>1249</v>
      </c>
      <c r="B803" s="111" t="s">
        <v>1264</v>
      </c>
      <c r="C803" s="111"/>
      <c r="D803" s="135"/>
      <c r="E803" s="121">
        <v>808.62</v>
      </c>
      <c r="F803" s="350">
        <v>46294</v>
      </c>
      <c r="G803" s="478">
        <v>46309</v>
      </c>
      <c r="H803" s="119" t="s">
        <v>19</v>
      </c>
      <c r="I803" s="70"/>
      <c r="J803" s="532"/>
      <c r="K803" s="533"/>
      <c r="L803" s="70"/>
      <c r="M803" s="113"/>
      <c r="N803" s="403"/>
      <c r="O803" s="403"/>
      <c r="P803" s="70"/>
      <c r="Q803" s="404"/>
      <c r="R803" s="404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</row>
    <row r="804" spans="1:36" s="14" customFormat="1" hidden="1">
      <c r="A804" s="560" t="s">
        <v>427</v>
      </c>
      <c r="B804" s="111" t="s">
        <v>1265</v>
      </c>
      <c r="C804" s="111"/>
      <c r="D804" s="119" t="s">
        <v>355</v>
      </c>
      <c r="E804" s="121">
        <v>152.62</v>
      </c>
      <c r="F804" s="125">
        <v>46240</v>
      </c>
      <c r="G804" s="351">
        <v>46240</v>
      </c>
      <c r="H804" s="119" t="s">
        <v>19</v>
      </c>
      <c r="I804" s="70"/>
      <c r="J804" s="532"/>
      <c r="K804" s="533"/>
      <c r="L804" s="70"/>
      <c r="M804" s="113"/>
      <c r="N804" s="403"/>
      <c r="O804" s="403"/>
      <c r="P804" s="70"/>
      <c r="Q804" s="404"/>
      <c r="R804" s="404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</row>
    <row r="805" spans="1:36" s="14" customFormat="1" hidden="1">
      <c r="A805" s="560" t="s">
        <v>427</v>
      </c>
      <c r="B805" s="111" t="s">
        <v>428</v>
      </c>
      <c r="C805" s="111"/>
      <c r="D805" s="119"/>
      <c r="E805" s="121">
        <v>1877.56</v>
      </c>
      <c r="F805" s="125">
        <v>46246</v>
      </c>
      <c r="G805" s="351">
        <v>46246</v>
      </c>
      <c r="H805" s="119" t="s">
        <v>19</v>
      </c>
      <c r="I805" s="70"/>
      <c r="J805" s="532"/>
      <c r="K805" s="533"/>
      <c r="L805" s="70"/>
      <c r="M805" s="113"/>
      <c r="N805" s="403"/>
      <c r="O805" s="403"/>
      <c r="P805" s="70"/>
      <c r="Q805" s="404"/>
      <c r="R805" s="404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</row>
    <row r="806" spans="1:36" s="14" customFormat="1" hidden="1">
      <c r="A806" s="560" t="s">
        <v>427</v>
      </c>
      <c r="B806" s="111" t="s">
        <v>1266</v>
      </c>
      <c r="C806" s="111"/>
      <c r="D806" s="119" t="s">
        <v>973</v>
      </c>
      <c r="E806" s="121">
        <v>409.17</v>
      </c>
      <c r="F806" s="125">
        <v>46264</v>
      </c>
      <c r="G806" s="125">
        <v>46273</v>
      </c>
      <c r="H806" s="119" t="s">
        <v>457</v>
      </c>
      <c r="I806" s="70"/>
      <c r="J806" s="532"/>
      <c r="K806" s="533"/>
      <c r="L806" s="70"/>
      <c r="M806" s="113"/>
      <c r="N806" s="403"/>
      <c r="O806" s="403"/>
      <c r="P806" s="70"/>
      <c r="Q806" s="404"/>
      <c r="R806" s="404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</row>
    <row r="807" spans="1:36" s="14" customFormat="1" hidden="1">
      <c r="A807" s="560" t="s">
        <v>427</v>
      </c>
      <c r="B807" s="111" t="s">
        <v>1267</v>
      </c>
      <c r="C807" s="111"/>
      <c r="D807" s="119" t="s">
        <v>355</v>
      </c>
      <c r="E807" s="121">
        <v>152.18</v>
      </c>
      <c r="F807" s="125">
        <v>46274</v>
      </c>
      <c r="G807" s="125">
        <v>46279</v>
      </c>
      <c r="H807" s="119" t="s">
        <v>19</v>
      </c>
      <c r="I807" s="70"/>
      <c r="J807" s="532"/>
      <c r="K807" s="533"/>
      <c r="L807" s="70"/>
      <c r="M807" s="113"/>
      <c r="N807" s="403"/>
      <c r="O807" s="403"/>
      <c r="P807" s="70"/>
      <c r="Q807" s="404"/>
      <c r="R807" s="404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</row>
    <row r="808" spans="1:36" s="14" customFormat="1" hidden="1">
      <c r="A808" s="560" t="s">
        <v>427</v>
      </c>
      <c r="B808" s="111" t="s">
        <v>1268</v>
      </c>
      <c r="C808" s="111"/>
      <c r="D808" s="119" t="s">
        <v>973</v>
      </c>
      <c r="E808" s="121">
        <v>1719.02</v>
      </c>
      <c r="F808" s="125">
        <v>46277</v>
      </c>
      <c r="G808" s="125">
        <v>46288</v>
      </c>
      <c r="H808" s="119" t="s">
        <v>19</v>
      </c>
      <c r="I808" s="70"/>
      <c r="J808" s="532"/>
      <c r="K808" s="533"/>
      <c r="L808" s="70"/>
      <c r="M808" s="113"/>
      <c r="N808" s="403"/>
      <c r="O808" s="403"/>
      <c r="P808" s="70"/>
      <c r="Q808" s="404"/>
      <c r="R808" s="404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</row>
    <row r="809" spans="1:36" s="14" customFormat="1" hidden="1">
      <c r="A809" s="437" t="s">
        <v>427</v>
      </c>
      <c r="B809" s="114" t="s">
        <v>1269</v>
      </c>
      <c r="C809" s="114"/>
      <c r="D809" s="135" t="s">
        <v>973</v>
      </c>
      <c r="E809" s="121">
        <v>400</v>
      </c>
      <c r="F809" s="350">
        <v>46295</v>
      </c>
      <c r="G809" s="350">
        <v>46295</v>
      </c>
      <c r="H809" s="125" t="s">
        <v>19</v>
      </c>
      <c r="I809" s="70"/>
      <c r="J809" s="532"/>
      <c r="K809" s="533"/>
      <c r="L809" s="70"/>
      <c r="M809" s="113"/>
      <c r="N809" s="403"/>
      <c r="O809" s="403"/>
      <c r="P809" s="70"/>
      <c r="Q809" s="404"/>
      <c r="R809" s="404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</row>
    <row r="810" spans="1:36" s="14" customFormat="1" hidden="1">
      <c r="A810" s="560" t="s">
        <v>427</v>
      </c>
      <c r="B810" s="114" t="s">
        <v>1266</v>
      </c>
      <c r="C810" s="439"/>
      <c r="D810" s="119" t="s">
        <v>973</v>
      </c>
      <c r="E810" s="121">
        <v>400</v>
      </c>
      <c r="F810" s="125">
        <v>46325</v>
      </c>
      <c r="G810" s="350"/>
      <c r="H810" s="125"/>
      <c r="I810" s="70"/>
      <c r="J810" s="532"/>
      <c r="K810" s="533"/>
      <c r="L810" s="70"/>
      <c r="M810" s="113"/>
      <c r="N810" s="403"/>
      <c r="O810" s="403"/>
      <c r="P810" s="70"/>
      <c r="Q810" s="404"/>
      <c r="R810" s="404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</row>
    <row r="811" spans="1:36" s="14" customFormat="1" hidden="1">
      <c r="A811" s="560" t="s">
        <v>1270</v>
      </c>
      <c r="B811" s="111" t="s">
        <v>1271</v>
      </c>
      <c r="C811" s="111"/>
      <c r="D811" s="119" t="s">
        <v>355</v>
      </c>
      <c r="E811" s="121">
        <v>12.95</v>
      </c>
      <c r="F811" s="125">
        <v>46238</v>
      </c>
      <c r="G811" s="351">
        <v>46238</v>
      </c>
      <c r="H811" s="119" t="s">
        <v>19</v>
      </c>
      <c r="I811" s="70"/>
      <c r="J811" s="532"/>
      <c r="K811" s="533"/>
      <c r="L811" s="70"/>
      <c r="M811" s="113"/>
      <c r="N811" s="403"/>
      <c r="O811" s="403"/>
      <c r="P811" s="70"/>
      <c r="Q811" s="404"/>
      <c r="R811" s="404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</row>
    <row r="812" spans="1:36" s="14" customFormat="1" hidden="1">
      <c r="A812" s="560" t="s">
        <v>1270</v>
      </c>
      <c r="B812" s="111" t="s">
        <v>1271</v>
      </c>
      <c r="C812" s="111"/>
      <c r="D812" s="119" t="s">
        <v>19</v>
      </c>
      <c r="E812" s="121">
        <v>2.59</v>
      </c>
      <c r="F812" s="125">
        <v>46244</v>
      </c>
      <c r="G812" s="351">
        <v>46244</v>
      </c>
      <c r="H812" s="119" t="s">
        <v>19</v>
      </c>
      <c r="I812" s="70"/>
      <c r="J812" s="532"/>
      <c r="K812" s="533"/>
      <c r="L812" s="70"/>
      <c r="M812" s="113"/>
      <c r="N812" s="403"/>
      <c r="O812" s="403"/>
      <c r="P812" s="70"/>
      <c r="Q812" s="404"/>
      <c r="R812" s="404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</row>
    <row r="813" spans="1:36" s="14" customFormat="1" hidden="1">
      <c r="A813" s="560" t="s">
        <v>1272</v>
      </c>
      <c r="B813" s="111" t="s">
        <v>1273</v>
      </c>
      <c r="C813" s="111"/>
      <c r="D813" s="119"/>
      <c r="E813" s="121">
        <v>12.95</v>
      </c>
      <c r="F813" s="125">
        <v>46252</v>
      </c>
      <c r="G813" s="351">
        <v>46252</v>
      </c>
      <c r="H813" s="434" t="s">
        <v>445</v>
      </c>
      <c r="J813" s="563"/>
      <c r="K813" s="564"/>
      <c r="M813" s="480"/>
      <c r="N813" s="281"/>
      <c r="O813" s="403"/>
      <c r="P813" s="70"/>
      <c r="Q813" s="404"/>
      <c r="R813" s="404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</row>
    <row r="814" spans="1:36" s="14" customFormat="1" hidden="1">
      <c r="A814" s="560" t="s">
        <v>1272</v>
      </c>
      <c r="B814" s="111" t="s">
        <v>1274</v>
      </c>
      <c r="C814" s="111"/>
      <c r="D814" s="119"/>
      <c r="E814" s="121">
        <v>5.56</v>
      </c>
      <c r="F814" s="125">
        <v>46255</v>
      </c>
      <c r="G814" s="351">
        <v>46255</v>
      </c>
      <c r="H814" s="119" t="s">
        <v>19</v>
      </c>
      <c r="I814" s="70"/>
      <c r="J814" s="563"/>
      <c r="K814" s="564"/>
      <c r="L814" s="70"/>
      <c r="M814" s="429"/>
      <c r="N814" s="403"/>
      <c r="O814" s="403"/>
      <c r="P814" s="70"/>
      <c r="Q814" s="404"/>
      <c r="R814" s="404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</row>
    <row r="815" spans="1:36" s="14" customFormat="1" hidden="1">
      <c r="A815" s="560" t="s">
        <v>1272</v>
      </c>
      <c r="B815" s="111" t="s">
        <v>1275</v>
      </c>
      <c r="C815" s="111"/>
      <c r="D815" s="119"/>
      <c r="E815" s="121">
        <v>76</v>
      </c>
      <c r="F815" s="125">
        <v>46258</v>
      </c>
      <c r="G815" s="351">
        <v>46258</v>
      </c>
      <c r="H815" s="119" t="s">
        <v>19</v>
      </c>
      <c r="I815" s="70"/>
      <c r="J815" s="532"/>
      <c r="K815" s="533"/>
      <c r="L815" s="70"/>
      <c r="M815" s="113"/>
      <c r="N815" s="403"/>
      <c r="O815" s="403"/>
      <c r="P815" s="70"/>
      <c r="Q815" s="404"/>
      <c r="R815" s="404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</row>
    <row r="816" spans="1:36" s="14" customFormat="1" hidden="1">
      <c r="A816" s="560" t="s">
        <v>1272</v>
      </c>
      <c r="B816" s="111" t="s">
        <v>1276</v>
      </c>
      <c r="C816" s="111"/>
      <c r="D816" s="119"/>
      <c r="E816" s="121">
        <v>84</v>
      </c>
      <c r="F816" s="125">
        <v>46259</v>
      </c>
      <c r="G816" s="351">
        <v>46259</v>
      </c>
      <c r="H816" s="119" t="s">
        <v>19</v>
      </c>
      <c r="I816" s="70"/>
      <c r="J816" s="532"/>
      <c r="K816" s="533"/>
      <c r="L816" s="70"/>
      <c r="M816" s="113"/>
      <c r="N816" s="403"/>
      <c r="O816" s="403"/>
      <c r="P816" s="70"/>
      <c r="Q816" s="404"/>
      <c r="R816" s="404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</row>
    <row r="817" spans="1:36" s="14" customFormat="1" hidden="1">
      <c r="A817" s="560" t="s">
        <v>1272</v>
      </c>
      <c r="B817" s="111" t="s">
        <v>1273</v>
      </c>
      <c r="C817" s="111"/>
      <c r="D817" s="119"/>
      <c r="E817" s="121">
        <v>7.77</v>
      </c>
      <c r="F817" s="125">
        <v>46265</v>
      </c>
      <c r="G817" s="351">
        <v>46265</v>
      </c>
      <c r="H817" s="119" t="s">
        <v>19</v>
      </c>
      <c r="I817" s="70"/>
      <c r="J817" s="532"/>
      <c r="K817" s="533"/>
      <c r="L817" s="70"/>
      <c r="M817" s="113"/>
      <c r="N817" s="403"/>
      <c r="O817" s="403"/>
      <c r="P817" s="70"/>
      <c r="Q817" s="404"/>
      <c r="R817" s="404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</row>
    <row r="818" spans="1:36" s="14" customFormat="1" hidden="1">
      <c r="A818" s="560" t="s">
        <v>1272</v>
      </c>
      <c r="B818" s="111" t="s">
        <v>1277</v>
      </c>
      <c r="C818" s="111"/>
      <c r="D818" s="119"/>
      <c r="E818" s="121">
        <v>19990.32</v>
      </c>
      <c r="F818" s="125">
        <v>46266</v>
      </c>
      <c r="G818" s="125">
        <v>46266</v>
      </c>
      <c r="H818" s="119" t="s">
        <v>326</v>
      </c>
      <c r="I818" s="70"/>
      <c r="J818" s="532"/>
      <c r="K818" s="533"/>
      <c r="L818" s="70"/>
      <c r="M818" s="113"/>
      <c r="N818" s="403"/>
      <c r="O818" s="403"/>
      <c r="P818" s="70"/>
      <c r="Q818" s="404"/>
      <c r="R818" s="404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</row>
    <row r="819" spans="1:36" s="14" customFormat="1" hidden="1">
      <c r="A819" s="560" t="s">
        <v>1272</v>
      </c>
      <c r="B819" s="111" t="s">
        <v>1278</v>
      </c>
      <c r="C819" s="111"/>
      <c r="D819" s="119"/>
      <c r="E819" s="121">
        <v>7.77</v>
      </c>
      <c r="F819" s="125">
        <v>46274</v>
      </c>
      <c r="G819" s="125">
        <v>46274</v>
      </c>
      <c r="H819" s="119" t="s">
        <v>19</v>
      </c>
      <c r="I819" s="70"/>
      <c r="J819" s="532"/>
      <c r="K819" s="533"/>
      <c r="L819" s="70"/>
      <c r="M819" s="113"/>
      <c r="N819" s="403"/>
      <c r="O819" s="403"/>
      <c r="P819" s="70"/>
      <c r="Q819" s="404"/>
      <c r="R819" s="404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</row>
    <row r="820" spans="1:36" s="14" customFormat="1" hidden="1">
      <c r="A820" s="560" t="s">
        <v>1272</v>
      </c>
      <c r="B820" s="111" t="s">
        <v>1273</v>
      </c>
      <c r="C820" s="111"/>
      <c r="D820" s="119"/>
      <c r="E820" s="121">
        <v>5.18</v>
      </c>
      <c r="F820" s="125">
        <v>46279</v>
      </c>
      <c r="G820" s="125">
        <v>46279</v>
      </c>
      <c r="H820" s="119" t="s">
        <v>19</v>
      </c>
      <c r="I820" s="70"/>
      <c r="J820" s="532"/>
      <c r="K820" s="533"/>
      <c r="L820" s="70"/>
      <c r="M820" s="113"/>
      <c r="N820" s="403"/>
      <c r="O820" s="403"/>
      <c r="P820" s="70"/>
      <c r="Q820" s="404"/>
      <c r="R820" s="404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</row>
    <row r="821" spans="1:36" s="14" customFormat="1" hidden="1">
      <c r="A821" s="560" t="s">
        <v>1272</v>
      </c>
      <c r="B821" s="111" t="s">
        <v>1273</v>
      </c>
      <c r="C821" s="111"/>
      <c r="D821" s="119"/>
      <c r="E821" s="121">
        <v>2.59</v>
      </c>
      <c r="F821" s="125">
        <v>46281</v>
      </c>
      <c r="G821" s="125">
        <v>46281</v>
      </c>
      <c r="H821" s="119" t="s">
        <v>19</v>
      </c>
      <c r="I821" s="70"/>
      <c r="J821" s="532"/>
      <c r="K821" s="533"/>
      <c r="L821" s="70"/>
      <c r="M821" s="113"/>
      <c r="N821" s="403"/>
      <c r="O821" s="403"/>
      <c r="P821" s="70"/>
      <c r="Q821" s="404"/>
      <c r="R821" s="404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</row>
    <row r="822" spans="1:36" s="14" customFormat="1" hidden="1">
      <c r="A822" s="560" t="s">
        <v>1272</v>
      </c>
      <c r="B822" s="111" t="s">
        <v>1273</v>
      </c>
      <c r="C822" s="111"/>
      <c r="D822" s="119"/>
      <c r="E822" s="121">
        <v>2.59</v>
      </c>
      <c r="F822" s="125">
        <v>46282</v>
      </c>
      <c r="G822" s="125">
        <v>46282</v>
      </c>
      <c r="H822" s="119" t="s">
        <v>19</v>
      </c>
      <c r="I822" s="70"/>
      <c r="J822" s="429"/>
      <c r="K822" s="70"/>
      <c r="L822" s="70"/>
      <c r="M822" s="429"/>
      <c r="N822" s="403"/>
      <c r="O822" s="403"/>
      <c r="P822" s="70"/>
      <c r="Q822" s="404"/>
      <c r="R822" s="404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</row>
    <row r="823" spans="1:36" s="14" customFormat="1" hidden="1">
      <c r="A823" s="560" t="s">
        <v>1272</v>
      </c>
      <c r="B823" s="111" t="s">
        <v>1273</v>
      </c>
      <c r="C823" s="111"/>
      <c r="D823" s="119"/>
      <c r="E823" s="121">
        <v>10.36</v>
      </c>
      <c r="F823" s="125">
        <v>46285</v>
      </c>
      <c r="G823" s="125">
        <v>46286</v>
      </c>
      <c r="H823" s="119" t="s">
        <v>19</v>
      </c>
      <c r="I823" s="70"/>
      <c r="J823" s="532"/>
      <c r="K823" s="533"/>
      <c r="L823" s="70"/>
      <c r="M823" s="113"/>
      <c r="N823" s="403"/>
      <c r="O823" s="403"/>
      <c r="P823" s="70"/>
      <c r="Q823" s="404"/>
      <c r="R823" s="404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</row>
    <row r="824" spans="1:36" s="14" customFormat="1" hidden="1">
      <c r="A824" s="560" t="s">
        <v>1272</v>
      </c>
      <c r="B824" s="111" t="s">
        <v>1273</v>
      </c>
      <c r="C824" s="111"/>
      <c r="D824" s="119"/>
      <c r="E824" s="121">
        <v>5.18</v>
      </c>
      <c r="F824" s="125">
        <v>46287</v>
      </c>
      <c r="G824" s="125">
        <v>46287</v>
      </c>
      <c r="H824" s="119" t="s">
        <v>19</v>
      </c>
      <c r="I824" s="70"/>
      <c r="J824" s="532"/>
      <c r="K824" s="533"/>
      <c r="L824" s="70"/>
      <c r="M824" s="113"/>
      <c r="N824" s="403"/>
      <c r="O824" s="403"/>
      <c r="P824" s="70"/>
      <c r="Q824" s="404"/>
      <c r="R824" s="404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</row>
    <row r="825" spans="1:36" s="14" customFormat="1" hidden="1">
      <c r="A825" s="560" t="s">
        <v>1272</v>
      </c>
      <c r="B825" s="111" t="s">
        <v>1279</v>
      </c>
      <c r="C825" s="111"/>
      <c r="D825" s="119"/>
      <c r="E825" s="121">
        <v>2810.68</v>
      </c>
      <c r="F825" s="125" t="s">
        <v>1280</v>
      </c>
      <c r="G825" s="125" t="s">
        <v>1280</v>
      </c>
      <c r="H825" s="119" t="s">
        <v>326</v>
      </c>
      <c r="I825" s="70"/>
      <c r="J825" s="532"/>
      <c r="K825" s="533"/>
      <c r="L825" s="70"/>
      <c r="M825" s="113"/>
      <c r="N825" s="403"/>
      <c r="O825" s="403"/>
      <c r="P825" s="70"/>
      <c r="Q825" s="404"/>
      <c r="R825" s="404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</row>
    <row r="826" spans="1:36" s="14" customFormat="1" hidden="1">
      <c r="A826" s="560" t="s">
        <v>1272</v>
      </c>
      <c r="B826" s="111" t="s">
        <v>1281</v>
      </c>
      <c r="C826" s="111"/>
      <c r="D826" s="119"/>
      <c r="E826" s="121">
        <v>7.48</v>
      </c>
      <c r="F826" s="125" t="s">
        <v>1280</v>
      </c>
      <c r="G826" s="125" t="s">
        <v>1280</v>
      </c>
      <c r="H826" s="119" t="s">
        <v>326</v>
      </c>
      <c r="I826" s="70"/>
      <c r="J826" s="532"/>
      <c r="K826" s="533"/>
      <c r="L826" s="70"/>
      <c r="M826" s="113"/>
      <c r="N826" s="403"/>
      <c r="O826" s="403"/>
      <c r="P826" s="70"/>
      <c r="Q826" s="404"/>
      <c r="R826" s="404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</row>
    <row r="827" spans="1:36" s="14" customFormat="1" hidden="1">
      <c r="A827" s="560" t="s">
        <v>1272</v>
      </c>
      <c r="B827" s="111" t="s">
        <v>1282</v>
      </c>
      <c r="C827" s="111"/>
      <c r="D827" s="119"/>
      <c r="E827" s="121">
        <v>117</v>
      </c>
      <c r="F827" s="125" t="s">
        <v>1283</v>
      </c>
      <c r="G827" s="125" t="s">
        <v>1283</v>
      </c>
      <c r="H827" s="119" t="s">
        <v>326</v>
      </c>
      <c r="I827" s="70"/>
      <c r="J827" s="532"/>
      <c r="K827" s="533"/>
      <c r="L827" s="70"/>
      <c r="M827" s="113"/>
      <c r="N827" s="403"/>
      <c r="O827" s="403"/>
      <c r="P827" s="70"/>
      <c r="Q827" s="404"/>
      <c r="R827" s="404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</row>
    <row r="828" spans="1:36" s="14" customFormat="1" hidden="1">
      <c r="A828" s="560" t="s">
        <v>1272</v>
      </c>
      <c r="B828" s="111" t="s">
        <v>1284</v>
      </c>
      <c r="C828" s="111"/>
      <c r="D828" s="119"/>
      <c r="E828" s="121">
        <v>166.61</v>
      </c>
      <c r="F828" s="125" t="s">
        <v>1283</v>
      </c>
      <c r="G828" s="125" t="s">
        <v>1283</v>
      </c>
      <c r="H828" s="119" t="s">
        <v>326</v>
      </c>
      <c r="I828" s="70"/>
      <c r="J828" s="532"/>
      <c r="K828" s="533"/>
      <c r="L828" s="70"/>
      <c r="M828" s="113"/>
      <c r="N828" s="403"/>
      <c r="O828" s="403"/>
      <c r="P828" s="70"/>
      <c r="Q828" s="404"/>
      <c r="R828" s="404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</row>
    <row r="829" spans="1:36" s="14" customFormat="1" hidden="1">
      <c r="A829" s="560" t="s">
        <v>1272</v>
      </c>
      <c r="B829" s="111" t="s">
        <v>1285</v>
      </c>
      <c r="C829" s="111"/>
      <c r="D829" s="119"/>
      <c r="E829" s="121">
        <v>1270</v>
      </c>
      <c r="F829" s="125" t="s">
        <v>1286</v>
      </c>
      <c r="G829" s="125" t="s">
        <v>1286</v>
      </c>
      <c r="H829" s="119" t="s">
        <v>326</v>
      </c>
      <c r="I829" s="70"/>
      <c r="J829" s="532"/>
      <c r="K829" s="533"/>
      <c r="L829" s="70"/>
      <c r="M829" s="113"/>
      <c r="N829" s="403"/>
      <c r="O829" s="403"/>
      <c r="P829" s="70"/>
      <c r="Q829" s="404"/>
      <c r="R829" s="404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</row>
    <row r="830" spans="1:36" s="14" customFormat="1" hidden="1">
      <c r="A830" s="560" t="s">
        <v>1272</v>
      </c>
      <c r="B830" s="114" t="s">
        <v>1287</v>
      </c>
      <c r="C830" s="114"/>
      <c r="D830" s="119"/>
      <c r="E830" s="121">
        <v>30.58</v>
      </c>
      <c r="F830" s="125">
        <v>46297</v>
      </c>
      <c r="G830" s="350">
        <v>46297</v>
      </c>
      <c r="H830" s="125" t="s">
        <v>19</v>
      </c>
      <c r="I830" s="70"/>
      <c r="J830" s="532"/>
      <c r="K830" s="533"/>
      <c r="L830" s="70"/>
      <c r="M830" s="113"/>
      <c r="N830" s="403"/>
      <c r="O830" s="403"/>
      <c r="P830" s="70"/>
      <c r="Q830" s="404"/>
      <c r="R830" s="404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</row>
    <row r="831" spans="1:36" s="14" customFormat="1" hidden="1">
      <c r="A831" s="560" t="s">
        <v>1272</v>
      </c>
      <c r="B831" s="111" t="s">
        <v>1288</v>
      </c>
      <c r="C831" s="111"/>
      <c r="D831" s="119" t="s">
        <v>19</v>
      </c>
      <c r="E831" s="121">
        <v>84</v>
      </c>
      <c r="F831" s="351">
        <v>46290</v>
      </c>
      <c r="G831" s="125">
        <v>46290</v>
      </c>
      <c r="H831" s="125" t="s">
        <v>19</v>
      </c>
      <c r="I831" s="70"/>
      <c r="J831" s="532"/>
      <c r="K831" s="533"/>
      <c r="L831" s="70"/>
      <c r="M831" s="113"/>
      <c r="N831" s="403"/>
      <c r="O831" s="403"/>
      <c r="P831" s="70"/>
      <c r="Q831" s="404"/>
      <c r="R831" s="404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</row>
    <row r="832" spans="1:36" s="14" customFormat="1" hidden="1">
      <c r="A832" s="560" t="s">
        <v>1272</v>
      </c>
      <c r="B832" s="111" t="s">
        <v>1289</v>
      </c>
      <c r="C832" s="111"/>
      <c r="D832" s="119"/>
      <c r="E832" s="121">
        <v>12.95</v>
      </c>
      <c r="F832" s="351">
        <v>46293</v>
      </c>
      <c r="G832" s="125">
        <v>46293</v>
      </c>
      <c r="H832" s="125" t="s">
        <v>19</v>
      </c>
      <c r="I832" s="70"/>
      <c r="J832" s="532"/>
      <c r="K832" s="533"/>
      <c r="L832" s="70"/>
      <c r="M832" s="113"/>
      <c r="N832" s="403"/>
      <c r="O832" s="403"/>
      <c r="P832" s="70"/>
      <c r="Q832" s="404"/>
      <c r="R832" s="404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</row>
    <row r="833" spans="1:36" s="14" customFormat="1" hidden="1">
      <c r="A833" s="560" t="s">
        <v>1272</v>
      </c>
      <c r="B833" s="114" t="s">
        <v>1290</v>
      </c>
      <c r="C833" s="114"/>
      <c r="D833" s="119"/>
      <c r="E833" s="121">
        <v>11.35</v>
      </c>
      <c r="F833" s="125">
        <v>46295</v>
      </c>
      <c r="G833" s="350">
        <v>46295</v>
      </c>
      <c r="H833" s="125" t="s">
        <v>326</v>
      </c>
      <c r="I833" s="70"/>
      <c r="J833" s="532"/>
      <c r="K833" s="533"/>
      <c r="L833" s="70"/>
      <c r="M833" s="113"/>
      <c r="N833" s="403"/>
      <c r="O833" s="403"/>
      <c r="P833" s="70"/>
      <c r="Q833" s="404"/>
      <c r="R833" s="404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</row>
    <row r="834" spans="1:36" s="14" customFormat="1" hidden="1">
      <c r="A834" s="560" t="s">
        <v>1272</v>
      </c>
      <c r="B834" s="114" t="s">
        <v>1291</v>
      </c>
      <c r="C834" s="114"/>
      <c r="D834" s="119"/>
      <c r="E834" s="121">
        <v>245.61</v>
      </c>
      <c r="F834" s="125">
        <v>46295</v>
      </c>
      <c r="G834" s="350">
        <v>46295</v>
      </c>
      <c r="H834" s="125" t="s">
        <v>326</v>
      </c>
      <c r="I834" s="70"/>
      <c r="J834" s="532"/>
      <c r="K834" s="533"/>
      <c r="L834" s="70"/>
      <c r="M834" s="113"/>
      <c r="N834" s="403"/>
      <c r="O834" s="403"/>
      <c r="P834" s="70"/>
      <c r="Q834" s="404"/>
      <c r="R834" s="404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</row>
    <row r="835" spans="1:36" s="14" customFormat="1" hidden="1">
      <c r="A835" s="560" t="s">
        <v>1272</v>
      </c>
      <c r="B835" s="114" t="s">
        <v>1292</v>
      </c>
      <c r="C835" s="114"/>
      <c r="D835" s="119"/>
      <c r="E835" s="121">
        <v>15.54</v>
      </c>
      <c r="F835" s="125">
        <v>46309</v>
      </c>
      <c r="G835" s="125">
        <v>46309</v>
      </c>
      <c r="H835" s="119" t="s">
        <v>19</v>
      </c>
      <c r="I835" s="70"/>
      <c r="J835" s="532"/>
      <c r="K835" s="533"/>
      <c r="L835" s="70"/>
      <c r="M835" s="113"/>
      <c r="N835" s="403"/>
      <c r="O835" s="403"/>
      <c r="P835" s="70"/>
      <c r="Q835" s="404"/>
      <c r="R835" s="404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</row>
    <row r="836" spans="1:36" s="14" customFormat="1" hidden="1">
      <c r="A836" s="560" t="s">
        <v>1272</v>
      </c>
      <c r="B836" s="114" t="s">
        <v>1293</v>
      </c>
      <c r="C836" s="114"/>
      <c r="D836" s="119"/>
      <c r="E836" s="121">
        <v>5.56</v>
      </c>
      <c r="F836" s="125">
        <v>46309</v>
      </c>
      <c r="G836" s="125">
        <v>46309</v>
      </c>
      <c r="H836" s="119" t="s">
        <v>19</v>
      </c>
      <c r="I836" s="70"/>
      <c r="J836" s="532"/>
      <c r="K836" s="533"/>
      <c r="L836" s="70"/>
      <c r="M836" s="113"/>
      <c r="N836" s="403"/>
      <c r="O836" s="403"/>
      <c r="P836" s="70"/>
      <c r="Q836" s="404"/>
      <c r="R836" s="404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</row>
    <row r="837" spans="1:36" s="14" customFormat="1" hidden="1">
      <c r="A837" s="560" t="s">
        <v>1272</v>
      </c>
      <c r="B837" s="114" t="s">
        <v>1294</v>
      </c>
      <c r="C837" s="114"/>
      <c r="D837" s="119"/>
      <c r="E837" s="121">
        <v>1400</v>
      </c>
      <c r="F837" s="125">
        <v>46309</v>
      </c>
      <c r="G837" s="125">
        <v>46309</v>
      </c>
      <c r="H837" s="119" t="s">
        <v>19</v>
      </c>
      <c r="I837" s="70"/>
      <c r="J837" s="532"/>
      <c r="K837" s="533"/>
      <c r="L837" s="70"/>
      <c r="M837" s="113"/>
      <c r="N837" s="403"/>
      <c r="O837" s="403"/>
      <c r="P837" s="70"/>
      <c r="Q837" s="404"/>
      <c r="R837" s="404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</row>
    <row r="838" spans="1:36" s="14" customFormat="1" hidden="1">
      <c r="A838" s="560" t="s">
        <v>1272</v>
      </c>
      <c r="B838" s="111" t="s">
        <v>1295</v>
      </c>
      <c r="C838" s="111"/>
      <c r="D838" s="119"/>
      <c r="E838" s="121">
        <v>7.77</v>
      </c>
      <c r="F838" s="125">
        <v>46314</v>
      </c>
      <c r="G838" s="125">
        <v>46314</v>
      </c>
      <c r="H838" s="125" t="s">
        <v>19</v>
      </c>
      <c r="I838" s="70"/>
      <c r="J838" s="532"/>
      <c r="K838" s="533"/>
      <c r="L838" s="70"/>
      <c r="M838" s="113"/>
      <c r="N838" s="403"/>
      <c r="O838" s="403"/>
      <c r="P838" s="70"/>
      <c r="Q838" s="404"/>
      <c r="R838" s="404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</row>
    <row r="839" spans="1:36" s="14" customFormat="1" hidden="1">
      <c r="A839" s="560" t="s">
        <v>1272</v>
      </c>
      <c r="B839" s="114" t="s">
        <v>1296</v>
      </c>
      <c r="C839" s="114"/>
      <c r="D839" s="119"/>
      <c r="E839" s="121">
        <v>10.36</v>
      </c>
      <c r="F839" s="125" t="s">
        <v>551</v>
      </c>
      <c r="G839" s="350" t="s">
        <v>551</v>
      </c>
      <c r="H839" s="119" t="s">
        <v>19</v>
      </c>
      <c r="I839" s="70"/>
      <c r="J839" s="532"/>
      <c r="K839" s="533"/>
      <c r="L839" s="70"/>
      <c r="M839" s="113"/>
      <c r="N839" s="403"/>
      <c r="O839" s="403"/>
      <c r="P839" s="70"/>
      <c r="Q839" s="404"/>
      <c r="R839" s="404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</row>
    <row r="840" spans="1:36" s="14" customFormat="1" hidden="1">
      <c r="A840" s="560" t="s">
        <v>431</v>
      </c>
      <c r="B840" s="111" t="s">
        <v>1297</v>
      </c>
      <c r="C840" s="111"/>
      <c r="D840" s="119"/>
      <c r="E840" s="121">
        <v>206.66</v>
      </c>
      <c r="F840" s="125">
        <v>46251</v>
      </c>
      <c r="G840" s="351">
        <v>46255</v>
      </c>
      <c r="H840" s="119" t="s">
        <v>19</v>
      </c>
      <c r="I840" s="70"/>
      <c r="J840" s="532"/>
      <c r="K840" s="533"/>
      <c r="L840" s="70"/>
      <c r="M840" s="113"/>
      <c r="N840" s="403"/>
      <c r="O840" s="403"/>
      <c r="P840" s="70"/>
      <c r="Q840" s="404"/>
      <c r="R840" s="404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</row>
    <row r="841" spans="1:36" s="14" customFormat="1" hidden="1">
      <c r="A841" s="560" t="s">
        <v>1298</v>
      </c>
      <c r="B841" s="111" t="s">
        <v>1299</v>
      </c>
      <c r="C841" s="111"/>
      <c r="D841" s="119" t="s">
        <v>355</v>
      </c>
      <c r="E841" s="121">
        <v>25000</v>
      </c>
      <c r="F841" s="125">
        <v>46238</v>
      </c>
      <c r="G841" s="351">
        <v>46238</v>
      </c>
      <c r="H841" s="119" t="s">
        <v>19</v>
      </c>
      <c r="I841" s="70"/>
      <c r="J841" s="532"/>
      <c r="K841" s="533"/>
      <c r="L841" s="70"/>
      <c r="M841" s="113"/>
      <c r="N841" s="403"/>
      <c r="O841" s="403"/>
      <c r="P841" s="70"/>
      <c r="Q841" s="404"/>
      <c r="R841" s="404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</row>
    <row r="842" spans="1:36" s="14" customFormat="1" hidden="1">
      <c r="A842" s="560" t="s">
        <v>1298</v>
      </c>
      <c r="B842" s="111" t="s">
        <v>1300</v>
      </c>
      <c r="C842" s="111"/>
      <c r="D842" s="119"/>
      <c r="E842" s="121">
        <v>12000</v>
      </c>
      <c r="F842" s="125">
        <v>46262</v>
      </c>
      <c r="G842" s="351">
        <v>46262</v>
      </c>
      <c r="H842" s="119" t="s">
        <v>19</v>
      </c>
      <c r="I842" s="70"/>
      <c r="J842" s="532"/>
      <c r="K842" s="533"/>
      <c r="L842" s="70"/>
      <c r="M842" s="113"/>
      <c r="N842" s="403"/>
      <c r="O842" s="403"/>
      <c r="P842" s="70"/>
      <c r="Q842" s="404"/>
      <c r="R842" s="404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</row>
    <row r="843" spans="1:36" s="14" customFormat="1" hidden="1">
      <c r="A843" s="560" t="s">
        <v>1298</v>
      </c>
      <c r="B843" s="111" t="s">
        <v>1301</v>
      </c>
      <c r="C843" s="111"/>
      <c r="D843" s="119"/>
      <c r="E843" s="121">
        <v>5000</v>
      </c>
      <c r="F843" s="351">
        <v>46295</v>
      </c>
      <c r="G843" s="351">
        <v>46295</v>
      </c>
      <c r="H843" s="125" t="s">
        <v>19</v>
      </c>
      <c r="I843" s="70"/>
      <c r="J843" s="532"/>
      <c r="K843" s="533"/>
      <c r="L843" s="70"/>
      <c r="M843" s="113"/>
      <c r="N843" s="403"/>
      <c r="O843" s="403"/>
      <c r="P843" s="70"/>
      <c r="Q843" s="404"/>
      <c r="R843" s="404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</row>
    <row r="844" spans="1:36" s="14" customFormat="1" hidden="1">
      <c r="A844" s="560" t="s">
        <v>1298</v>
      </c>
      <c r="B844" s="111" t="s">
        <v>1302</v>
      </c>
      <c r="C844" s="111"/>
      <c r="D844" s="119"/>
      <c r="E844" s="121">
        <v>1637.51</v>
      </c>
      <c r="F844" s="351">
        <v>46280</v>
      </c>
      <c r="G844" s="125">
        <v>46295</v>
      </c>
      <c r="H844" s="125" t="s">
        <v>19</v>
      </c>
      <c r="I844" s="70"/>
      <c r="J844" s="532"/>
      <c r="K844" s="533"/>
      <c r="L844" s="70"/>
      <c r="M844" s="113"/>
      <c r="N844" s="403"/>
      <c r="O844" s="403"/>
      <c r="P844" s="70"/>
      <c r="Q844" s="404"/>
      <c r="R844" s="404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</row>
    <row r="845" spans="1:36" s="14" customFormat="1" hidden="1">
      <c r="A845" s="560" t="s">
        <v>1303</v>
      </c>
      <c r="B845" s="111" t="s">
        <v>1304</v>
      </c>
      <c r="C845" s="111"/>
      <c r="D845" s="119" t="s">
        <v>355</v>
      </c>
      <c r="E845" s="121">
        <v>106</v>
      </c>
      <c r="F845" s="125">
        <v>46238</v>
      </c>
      <c r="G845" s="351">
        <v>46238</v>
      </c>
      <c r="H845" s="119" t="s">
        <v>19</v>
      </c>
      <c r="I845" s="70"/>
      <c r="J845" s="532"/>
      <c r="K845" s="533"/>
      <c r="L845" s="70"/>
      <c r="M845" s="113"/>
      <c r="N845" s="403"/>
      <c r="O845" s="403"/>
      <c r="P845" s="70"/>
      <c r="Q845" s="404"/>
      <c r="R845" s="404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</row>
    <row r="846" spans="1:36" s="14" customFormat="1" hidden="1">
      <c r="A846" s="560" t="s">
        <v>1303</v>
      </c>
      <c r="B846" s="111" t="s">
        <v>1305</v>
      </c>
      <c r="C846" s="111"/>
      <c r="D846" s="119" t="s">
        <v>355</v>
      </c>
      <c r="E846" s="121">
        <v>11.8</v>
      </c>
      <c r="F846" s="125">
        <v>46239</v>
      </c>
      <c r="G846" s="351">
        <v>46239</v>
      </c>
      <c r="H846" s="119" t="s">
        <v>19</v>
      </c>
      <c r="I846" s="70"/>
      <c r="J846" s="532"/>
      <c r="K846" s="533"/>
      <c r="L846" s="70"/>
      <c r="M846" s="113"/>
      <c r="N846" s="403"/>
      <c r="O846" s="403"/>
      <c r="P846" s="70"/>
      <c r="Q846" s="404"/>
      <c r="R846" s="404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</row>
    <row r="847" spans="1:36" s="14" customFormat="1" hidden="1">
      <c r="A847" s="560" t="s">
        <v>1303</v>
      </c>
      <c r="B847" s="111" t="s">
        <v>1306</v>
      </c>
      <c r="C847" s="111"/>
      <c r="D847" s="119" t="s">
        <v>355</v>
      </c>
      <c r="E847" s="121">
        <v>168.02</v>
      </c>
      <c r="F847" s="125">
        <v>46255</v>
      </c>
      <c r="G847" s="351">
        <v>46255</v>
      </c>
      <c r="H847" s="119" t="s">
        <v>19</v>
      </c>
      <c r="I847" s="70"/>
      <c r="J847" s="532"/>
      <c r="K847" s="533"/>
      <c r="L847" s="70"/>
      <c r="M847" s="113"/>
      <c r="N847" s="403"/>
      <c r="O847" s="403"/>
      <c r="P847" s="70"/>
      <c r="Q847" s="404"/>
      <c r="R847" s="404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</row>
    <row r="848" spans="1:36" s="14" customFormat="1" hidden="1">
      <c r="A848" s="560" t="s">
        <v>436</v>
      </c>
      <c r="B848" s="111" t="s">
        <v>1307</v>
      </c>
      <c r="C848" s="111"/>
      <c r="D848" s="119"/>
      <c r="E848" s="121">
        <v>40.799999999999997</v>
      </c>
      <c r="F848" s="125">
        <v>46266</v>
      </c>
      <c r="G848" s="351">
        <v>46266</v>
      </c>
      <c r="H848" s="119" t="s">
        <v>19</v>
      </c>
      <c r="I848" s="70"/>
      <c r="J848" s="532"/>
      <c r="K848" s="533"/>
      <c r="L848" s="70"/>
      <c r="M848" s="113"/>
      <c r="N848" s="403"/>
      <c r="O848" s="403"/>
      <c r="P848" s="70"/>
      <c r="Q848" s="404"/>
      <c r="R848" s="404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</row>
    <row r="849" spans="1:36" s="14" customFormat="1" hidden="1">
      <c r="A849" s="560" t="s">
        <v>436</v>
      </c>
      <c r="B849" s="111" t="s">
        <v>1308</v>
      </c>
      <c r="C849" s="111"/>
      <c r="D849" s="119"/>
      <c r="E849" s="121">
        <v>18</v>
      </c>
      <c r="F849" s="125">
        <v>46266</v>
      </c>
      <c r="G849" s="351">
        <v>46266</v>
      </c>
      <c r="H849" s="119" t="s">
        <v>19</v>
      </c>
      <c r="I849" s="70"/>
      <c r="J849" s="532"/>
      <c r="K849" s="533"/>
      <c r="L849" s="70"/>
      <c r="M849" s="113"/>
      <c r="N849" s="403"/>
      <c r="O849" s="403"/>
      <c r="P849" s="70"/>
      <c r="Q849" s="404"/>
      <c r="R849" s="404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</row>
    <row r="850" spans="1:36" s="14" customFormat="1" hidden="1">
      <c r="A850" s="560" t="s">
        <v>436</v>
      </c>
      <c r="B850" s="111" t="s">
        <v>1309</v>
      </c>
      <c r="C850" s="111"/>
      <c r="D850" s="119"/>
      <c r="E850" s="121">
        <v>100</v>
      </c>
      <c r="F850" s="125">
        <v>46275</v>
      </c>
      <c r="G850" s="125">
        <v>46275</v>
      </c>
      <c r="H850" s="119" t="s">
        <v>445</v>
      </c>
      <c r="I850" s="70"/>
      <c r="J850" s="532"/>
      <c r="K850" s="533"/>
      <c r="L850" s="70"/>
      <c r="M850" s="113"/>
      <c r="N850" s="403"/>
      <c r="O850" s="403"/>
      <c r="P850" s="70"/>
      <c r="Q850" s="404"/>
      <c r="R850" s="404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</row>
    <row r="851" spans="1:36" s="14" customFormat="1" hidden="1">
      <c r="A851" s="437" t="s">
        <v>436</v>
      </c>
      <c r="B851" s="114" t="s">
        <v>1310</v>
      </c>
      <c r="C851" s="114"/>
      <c r="D851" s="135"/>
      <c r="E851" s="121">
        <v>277.38</v>
      </c>
      <c r="F851" s="350">
        <v>46296</v>
      </c>
      <c r="G851" s="351">
        <v>46296</v>
      </c>
      <c r="H851" s="119" t="s">
        <v>445</v>
      </c>
      <c r="I851" s="70"/>
      <c r="J851" s="532"/>
      <c r="K851" s="533"/>
      <c r="L851" s="70"/>
      <c r="M851" s="113"/>
      <c r="N851" s="403"/>
      <c r="O851" s="403"/>
      <c r="P851" s="70"/>
      <c r="Q851" s="404"/>
      <c r="R851" s="404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</row>
    <row r="852" spans="1:36" s="14" customFormat="1" hidden="1">
      <c r="A852" s="560" t="s">
        <v>436</v>
      </c>
      <c r="B852" s="111" t="s">
        <v>1311</v>
      </c>
      <c r="C852" s="111"/>
      <c r="D852" s="119" t="s">
        <v>19</v>
      </c>
      <c r="E852" s="121">
        <v>50</v>
      </c>
      <c r="F852" s="351">
        <v>46290</v>
      </c>
      <c r="G852" s="125">
        <v>46290</v>
      </c>
      <c r="H852" s="125" t="s">
        <v>19</v>
      </c>
      <c r="I852" s="70"/>
      <c r="J852" s="532"/>
      <c r="K852" s="533"/>
      <c r="L852" s="70"/>
      <c r="M852" s="113"/>
      <c r="N852" s="403"/>
      <c r="O852" s="403"/>
      <c r="P852" s="70"/>
      <c r="Q852" s="404"/>
      <c r="R852" s="404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</row>
    <row r="853" spans="1:36" s="14" customFormat="1" hidden="1">
      <c r="A853" s="560" t="s">
        <v>436</v>
      </c>
      <c r="B853" s="114" t="s">
        <v>1312</v>
      </c>
      <c r="C853" s="114"/>
      <c r="D853" s="119"/>
      <c r="E853" s="121">
        <v>25.09</v>
      </c>
      <c r="F853" s="125">
        <v>46300</v>
      </c>
      <c r="G853" s="350">
        <v>46300</v>
      </c>
      <c r="H853" s="125" t="s">
        <v>19</v>
      </c>
      <c r="I853" s="70"/>
      <c r="J853" s="532"/>
      <c r="K853" s="533"/>
      <c r="L853" s="70"/>
      <c r="M853" s="113"/>
      <c r="N853" s="403"/>
      <c r="O853" s="403"/>
      <c r="P853" s="70"/>
      <c r="Q853" s="404"/>
      <c r="R853" s="404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</row>
    <row r="854" spans="1:36" s="14" customFormat="1" hidden="1">
      <c r="A854" s="560" t="s">
        <v>436</v>
      </c>
      <c r="B854" s="114" t="s">
        <v>1313</v>
      </c>
      <c r="C854" s="114"/>
      <c r="D854" s="119"/>
      <c r="E854" s="121">
        <v>18.739999999999998</v>
      </c>
      <c r="F854" s="125">
        <v>46301</v>
      </c>
      <c r="G854" s="350">
        <v>46301</v>
      </c>
      <c r="H854" s="125" t="s">
        <v>19</v>
      </c>
      <c r="I854" s="70"/>
      <c r="J854" s="532"/>
      <c r="K854" s="533"/>
      <c r="L854" s="70"/>
      <c r="M854" s="113"/>
      <c r="N854" s="403"/>
      <c r="O854" s="403"/>
      <c r="P854" s="70"/>
      <c r="Q854" s="404"/>
      <c r="R854" s="404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</row>
    <row r="855" spans="1:36" s="14" customFormat="1" hidden="1">
      <c r="A855" s="437" t="s">
        <v>436</v>
      </c>
      <c r="B855" s="114" t="s">
        <v>1314</v>
      </c>
      <c r="C855" s="114"/>
      <c r="D855" s="119"/>
      <c r="E855" s="121">
        <v>274</v>
      </c>
      <c r="F855" s="350">
        <v>46308</v>
      </c>
      <c r="G855" s="350">
        <v>46310</v>
      </c>
      <c r="H855" s="125" t="s">
        <v>19</v>
      </c>
      <c r="I855" s="70"/>
      <c r="J855" s="532"/>
      <c r="K855" s="533"/>
      <c r="L855" s="70"/>
      <c r="M855" s="113"/>
      <c r="N855" s="403"/>
      <c r="O855" s="403"/>
      <c r="P855" s="70"/>
      <c r="Q855" s="404"/>
      <c r="R855" s="404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</row>
    <row r="856" spans="1:36" s="14" customFormat="1" hidden="1">
      <c r="A856" s="560" t="s">
        <v>436</v>
      </c>
      <c r="B856" s="114" t="s">
        <v>1315</v>
      </c>
      <c r="C856" s="114"/>
      <c r="D856" s="119"/>
      <c r="E856" s="121">
        <v>25.09</v>
      </c>
      <c r="F856" s="125" t="s">
        <v>548</v>
      </c>
      <c r="G856" s="350" t="s">
        <v>548</v>
      </c>
      <c r="H856" s="125" t="s">
        <v>19</v>
      </c>
      <c r="I856" s="70"/>
      <c r="J856" s="532"/>
      <c r="K856" s="533"/>
      <c r="L856" s="70"/>
      <c r="M856" s="113"/>
      <c r="N856" s="403"/>
      <c r="O856" s="403"/>
      <c r="P856" s="70"/>
      <c r="Q856" s="404"/>
      <c r="R856" s="404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</row>
    <row r="857" spans="1:36" s="14" customFormat="1" hidden="1">
      <c r="A857" s="560" t="s">
        <v>1316</v>
      </c>
      <c r="B857" s="114" t="s">
        <v>1317</v>
      </c>
      <c r="C857" s="114"/>
      <c r="D857" s="119"/>
      <c r="E857" s="121">
        <v>140</v>
      </c>
      <c r="F857" s="125">
        <v>46296</v>
      </c>
      <c r="G857" s="350">
        <v>46296</v>
      </c>
      <c r="H857" s="125" t="s">
        <v>445</v>
      </c>
      <c r="I857" s="70"/>
      <c r="J857" s="532"/>
      <c r="K857" s="533"/>
      <c r="L857" s="70"/>
      <c r="M857" s="113"/>
      <c r="N857" s="403"/>
      <c r="O857" s="403"/>
      <c r="P857" s="70"/>
      <c r="Q857" s="404"/>
      <c r="R857" s="404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</row>
    <row r="858" spans="1:36" s="14" customFormat="1" hidden="1">
      <c r="A858" s="560" t="s">
        <v>1318</v>
      </c>
      <c r="B858" s="111" t="s">
        <v>1319</v>
      </c>
      <c r="C858" s="111"/>
      <c r="D858" s="119"/>
      <c r="E858" s="121">
        <v>322.39</v>
      </c>
      <c r="F858" s="125">
        <v>46265</v>
      </c>
      <c r="G858" s="351">
        <v>46265</v>
      </c>
      <c r="H858" s="119" t="s">
        <v>19</v>
      </c>
      <c r="I858" s="70"/>
      <c r="J858" s="532"/>
      <c r="K858" s="533"/>
      <c r="L858" s="70"/>
      <c r="M858" s="113"/>
      <c r="N858" s="403"/>
      <c r="O858" s="403"/>
      <c r="P858" s="70"/>
      <c r="Q858" s="404"/>
      <c r="R858" s="404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</row>
    <row r="859" spans="1:36" s="14" customFormat="1" hidden="1">
      <c r="A859" s="560" t="s">
        <v>1318</v>
      </c>
      <c r="B859" s="114" t="s">
        <v>1320</v>
      </c>
      <c r="C859" s="114"/>
      <c r="D859" s="119"/>
      <c r="E859" s="121">
        <v>373.24</v>
      </c>
      <c r="F859" s="125" t="s">
        <v>556</v>
      </c>
      <c r="G859" s="350" t="s">
        <v>556</v>
      </c>
      <c r="H859" s="119" t="s">
        <v>19</v>
      </c>
      <c r="I859" s="70"/>
      <c r="J859" s="532"/>
      <c r="K859" s="533"/>
      <c r="L859" s="70"/>
      <c r="M859" s="113"/>
      <c r="N859" s="403"/>
      <c r="O859" s="403"/>
      <c r="P859" s="70"/>
      <c r="Q859" s="404"/>
      <c r="R859" s="404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</row>
    <row r="860" spans="1:36" s="14" customFormat="1" hidden="1">
      <c r="A860" s="560" t="s">
        <v>1321</v>
      </c>
      <c r="B860" s="111" t="s">
        <v>1322</v>
      </c>
      <c r="C860" s="111"/>
      <c r="D860" s="119"/>
      <c r="E860" s="121">
        <v>53</v>
      </c>
      <c r="F860" s="125">
        <v>46246</v>
      </c>
      <c r="G860" s="351">
        <v>46246</v>
      </c>
      <c r="H860" s="119" t="s">
        <v>19</v>
      </c>
      <c r="I860" s="70"/>
      <c r="J860" s="429"/>
      <c r="K860" s="70"/>
      <c r="L860" s="70"/>
      <c r="M860" s="429"/>
      <c r="N860" s="403"/>
      <c r="O860" s="403"/>
      <c r="P860" s="70"/>
      <c r="Q860" s="404"/>
      <c r="R860" s="404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</row>
    <row r="861" spans="1:36" s="14" customFormat="1" hidden="1">
      <c r="A861" s="560" t="s">
        <v>1321</v>
      </c>
      <c r="B861" s="111" t="s">
        <v>1323</v>
      </c>
      <c r="C861" s="111"/>
      <c r="D861" s="119"/>
      <c r="E861" s="121">
        <v>561.1</v>
      </c>
      <c r="F861" s="125">
        <v>46246</v>
      </c>
      <c r="G861" s="351">
        <v>46246</v>
      </c>
      <c r="H861" s="119" t="s">
        <v>19</v>
      </c>
      <c r="I861" s="70"/>
      <c r="J861" s="429"/>
      <c r="K861" s="70"/>
      <c r="L861" s="70"/>
      <c r="M861" s="429"/>
      <c r="N861" s="403"/>
      <c r="O861" s="403"/>
      <c r="P861" s="70"/>
      <c r="Q861" s="404"/>
      <c r="R861" s="404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</row>
    <row r="862" spans="1:36" s="14" customFormat="1" hidden="1">
      <c r="A862" s="560" t="s">
        <v>1321</v>
      </c>
      <c r="B862" s="111" t="s">
        <v>1324</v>
      </c>
      <c r="C862" s="111"/>
      <c r="D862" s="119"/>
      <c r="E862" s="121">
        <v>250.85</v>
      </c>
      <c r="F862" s="125">
        <v>46246</v>
      </c>
      <c r="G862" s="351">
        <v>46246</v>
      </c>
      <c r="H862" s="119" t="s">
        <v>19</v>
      </c>
      <c r="I862" s="70"/>
      <c r="J862" s="429"/>
      <c r="K862" s="70"/>
      <c r="L862" s="70"/>
      <c r="M862" s="429"/>
      <c r="N862" s="403"/>
      <c r="O862" s="403"/>
      <c r="P862" s="70"/>
      <c r="Q862" s="404"/>
      <c r="R862" s="404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</row>
    <row r="863" spans="1:36" s="14" customFormat="1" hidden="1">
      <c r="A863" s="560" t="s">
        <v>1321</v>
      </c>
      <c r="B863" s="111" t="s">
        <v>1325</v>
      </c>
      <c r="C863" s="111"/>
      <c r="D863" s="119"/>
      <c r="E863" s="121">
        <v>442.5</v>
      </c>
      <c r="F863" s="125">
        <v>46246</v>
      </c>
      <c r="G863" s="351">
        <v>46246</v>
      </c>
      <c r="H863" s="119" t="s">
        <v>19</v>
      </c>
      <c r="I863" s="70"/>
      <c r="J863" s="429"/>
      <c r="K863" s="70"/>
      <c r="L863" s="70"/>
      <c r="M863" s="429"/>
      <c r="N863" s="403"/>
      <c r="O863" s="403"/>
      <c r="P863" s="70"/>
      <c r="Q863" s="404"/>
      <c r="R863" s="404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</row>
    <row r="864" spans="1:36" s="14" customFormat="1" hidden="1">
      <c r="A864" s="560" t="s">
        <v>1321</v>
      </c>
      <c r="B864" s="111" t="s">
        <v>1326</v>
      </c>
      <c r="C864" s="111"/>
      <c r="D864" s="119"/>
      <c r="E864" s="121">
        <v>17.8</v>
      </c>
      <c r="F864" s="125">
        <v>46247</v>
      </c>
      <c r="G864" s="351">
        <v>46247</v>
      </c>
      <c r="H864" s="119" t="s">
        <v>19</v>
      </c>
      <c r="I864" s="70"/>
      <c r="J864" s="429"/>
      <c r="K864" s="70"/>
      <c r="L864" s="70"/>
      <c r="M864" s="429"/>
      <c r="N864" s="403"/>
      <c r="O864" s="403"/>
      <c r="P864" s="70"/>
      <c r="Q864" s="404"/>
      <c r="R864" s="404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</row>
    <row r="865" spans="1:36" s="14" customFormat="1" hidden="1">
      <c r="A865" s="560" t="s">
        <v>1321</v>
      </c>
      <c r="B865" s="111" t="s">
        <v>1327</v>
      </c>
      <c r="C865" s="111"/>
      <c r="D865" s="119"/>
      <c r="E865" s="121">
        <v>635.26</v>
      </c>
      <c r="F865" s="125">
        <v>46247</v>
      </c>
      <c r="G865" s="351">
        <v>46247</v>
      </c>
      <c r="H865" s="119" t="s">
        <v>19</v>
      </c>
      <c r="I865" s="70"/>
      <c r="J865" s="429"/>
      <c r="K865" s="70"/>
      <c r="L865" s="70"/>
      <c r="M865" s="429"/>
      <c r="N865" s="403"/>
      <c r="O865" s="403"/>
      <c r="P865" s="70"/>
      <c r="Q865" s="404"/>
      <c r="R865" s="404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</row>
    <row r="866" spans="1:36" s="670" customFormat="1">
      <c r="A866" s="663" t="s">
        <v>1149</v>
      </c>
      <c r="B866" s="664" t="s">
        <v>1328</v>
      </c>
      <c r="C866" s="665"/>
      <c r="D866" s="666" t="s">
        <v>1329</v>
      </c>
      <c r="E866" s="667">
        <f>20102.7</f>
        <v>20102.7</v>
      </c>
      <c r="F866" s="668">
        <v>46259</v>
      </c>
      <c r="G866" s="669" t="s">
        <v>366</v>
      </c>
      <c r="H866" s="666"/>
      <c r="J866" s="671"/>
      <c r="K866" s="672"/>
      <c r="M866" s="673"/>
      <c r="N866" s="674"/>
      <c r="O866" s="674"/>
      <c r="Q866" s="675"/>
      <c r="R866" s="675"/>
    </row>
    <row r="867" spans="1:36" s="14" customFormat="1" hidden="1">
      <c r="A867" s="560" t="s">
        <v>1149</v>
      </c>
      <c r="B867" s="111" t="s">
        <v>1330</v>
      </c>
      <c r="C867" s="111"/>
      <c r="D867" s="119" t="s">
        <v>1331</v>
      </c>
      <c r="E867" s="121">
        <v>11000</v>
      </c>
      <c r="F867" s="125">
        <v>46257</v>
      </c>
      <c r="G867" s="351">
        <v>46258</v>
      </c>
      <c r="H867" s="119" t="s">
        <v>445</v>
      </c>
      <c r="I867" s="70"/>
      <c r="J867" s="532"/>
      <c r="K867" s="533"/>
      <c r="L867" s="70"/>
      <c r="M867" s="113"/>
      <c r="N867" s="403"/>
      <c r="O867" s="403"/>
      <c r="P867" s="70"/>
      <c r="Q867" s="404"/>
      <c r="R867" s="404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</row>
    <row r="868" spans="1:36" s="14" customFormat="1" hidden="1">
      <c r="A868" s="560" t="s">
        <v>1149</v>
      </c>
      <c r="B868" s="111" t="s">
        <v>1332</v>
      </c>
      <c r="C868" s="111"/>
      <c r="D868" s="119" t="s">
        <v>1331</v>
      </c>
      <c r="E868" s="121">
        <v>11000.01</v>
      </c>
      <c r="F868" s="125">
        <v>46257</v>
      </c>
      <c r="G868" s="351">
        <v>46258</v>
      </c>
      <c r="H868" s="119" t="s">
        <v>445</v>
      </c>
      <c r="I868" s="70"/>
      <c r="J868" s="532"/>
      <c r="K868" s="533"/>
      <c r="L868" s="70"/>
      <c r="M868" s="113"/>
      <c r="N868" s="403"/>
      <c r="O868" s="403"/>
      <c r="P868" s="70"/>
      <c r="Q868" s="404"/>
      <c r="R868" s="404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</row>
    <row r="869" spans="1:36" s="670" customFormat="1">
      <c r="A869" s="676" t="s">
        <v>1149</v>
      </c>
      <c r="B869" s="664" t="s">
        <v>1333</v>
      </c>
      <c r="C869" s="665"/>
      <c r="D869" s="666" t="s">
        <v>1154</v>
      </c>
      <c r="E869" s="667">
        <v>11000</v>
      </c>
      <c r="F869" s="668">
        <v>46288</v>
      </c>
      <c r="G869" s="669" t="s">
        <v>366</v>
      </c>
      <c r="H869" s="666"/>
      <c r="J869" s="671"/>
      <c r="K869" s="672"/>
      <c r="M869" s="673"/>
      <c r="N869" s="674"/>
      <c r="O869" s="674"/>
      <c r="Q869" s="675"/>
      <c r="R869" s="675"/>
    </row>
    <row r="870" spans="1:36" s="670" customFormat="1">
      <c r="A870" s="676" t="s">
        <v>1149</v>
      </c>
      <c r="B870" s="664" t="s">
        <v>1334</v>
      </c>
      <c r="C870" s="665"/>
      <c r="D870" s="666" t="s">
        <v>1154</v>
      </c>
      <c r="E870" s="667">
        <v>11000.01</v>
      </c>
      <c r="F870" s="668">
        <v>46288</v>
      </c>
      <c r="G870" s="669" t="s">
        <v>366</v>
      </c>
      <c r="H870" s="666"/>
      <c r="J870" s="671"/>
      <c r="K870" s="672"/>
      <c r="M870" s="673"/>
      <c r="N870" s="674"/>
      <c r="O870" s="674"/>
      <c r="Q870" s="675"/>
      <c r="R870" s="675"/>
    </row>
    <row r="871" spans="1:36" s="670" customFormat="1">
      <c r="A871" s="676" t="s">
        <v>1149</v>
      </c>
      <c r="B871" s="664" t="s">
        <v>1152</v>
      </c>
      <c r="C871" s="665"/>
      <c r="D871" s="666"/>
      <c r="E871" s="667">
        <v>20102.7</v>
      </c>
      <c r="F871" s="668">
        <v>46290</v>
      </c>
      <c r="G871" s="669" t="s">
        <v>366</v>
      </c>
      <c r="H871" s="666"/>
      <c r="J871" s="671"/>
      <c r="K871" s="672"/>
      <c r="M871" s="673"/>
      <c r="N871" s="674"/>
      <c r="O871" s="674"/>
      <c r="Q871" s="675"/>
      <c r="R871" s="675"/>
    </row>
    <row r="872" spans="1:36" s="670" customFormat="1">
      <c r="A872" s="663" t="s">
        <v>1149</v>
      </c>
      <c r="B872" s="664" t="s">
        <v>1335</v>
      </c>
      <c r="C872" s="665"/>
      <c r="D872" s="666" t="s">
        <v>1154</v>
      </c>
      <c r="E872" s="667">
        <v>11000</v>
      </c>
      <c r="F872" s="668">
        <v>46318</v>
      </c>
      <c r="G872" s="677"/>
      <c r="H872" s="666"/>
      <c r="J872" s="671"/>
      <c r="K872" s="672"/>
      <c r="M872" s="673"/>
      <c r="N872" s="674"/>
      <c r="O872" s="674"/>
      <c r="Q872" s="675"/>
      <c r="R872" s="675"/>
    </row>
    <row r="873" spans="1:36" s="670" customFormat="1">
      <c r="A873" s="663" t="s">
        <v>1149</v>
      </c>
      <c r="B873" s="664" t="s">
        <v>1336</v>
      </c>
      <c r="C873" s="665"/>
      <c r="D873" s="666" t="s">
        <v>1154</v>
      </c>
      <c r="E873" s="667">
        <v>11000.01</v>
      </c>
      <c r="F873" s="668">
        <v>46318</v>
      </c>
      <c r="G873" s="677"/>
      <c r="H873" s="666"/>
      <c r="J873" s="671"/>
      <c r="K873" s="672"/>
      <c r="M873" s="673"/>
      <c r="N873" s="674"/>
      <c r="O873" s="674"/>
      <c r="Q873" s="675"/>
      <c r="R873" s="675"/>
    </row>
    <row r="874" spans="1:36" s="14" customFormat="1">
      <c r="A874" s="431"/>
      <c r="B874" s="70"/>
      <c r="C874" s="441"/>
      <c r="D874" s="412"/>
      <c r="E874" s="432"/>
      <c r="F874" s="88"/>
      <c r="G874" s="157"/>
      <c r="H874" s="412"/>
      <c r="I874" s="70"/>
      <c r="J874" s="429"/>
      <c r="K874" s="70"/>
      <c r="L874" s="70"/>
      <c r="M874" s="429"/>
      <c r="N874" s="403"/>
      <c r="O874" s="403"/>
      <c r="P874" s="70"/>
      <c r="Q874" s="404"/>
      <c r="R874" s="404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</row>
    <row r="875" spans="1:36" s="14" customFormat="1">
      <c r="A875" s="431"/>
      <c r="B875" s="70"/>
      <c r="C875" s="441"/>
      <c r="D875" s="412"/>
      <c r="E875" s="432"/>
      <c r="F875" s="88"/>
      <c r="G875" s="157"/>
      <c r="H875" s="412"/>
      <c r="I875" s="70"/>
      <c r="J875" s="429"/>
      <c r="K875" s="70"/>
      <c r="L875" s="70"/>
      <c r="M875" s="429"/>
      <c r="N875" s="403"/>
      <c r="O875" s="403"/>
      <c r="P875" s="70"/>
      <c r="Q875" s="404"/>
      <c r="R875" s="404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</row>
    <row r="876" spans="1:36" s="14" customFormat="1">
      <c r="A876" s="431"/>
      <c r="B876" s="70"/>
      <c r="C876" s="441"/>
      <c r="D876" s="412"/>
      <c r="E876" s="432"/>
      <c r="F876" s="88"/>
      <c r="G876" s="157"/>
      <c r="H876" s="412"/>
      <c r="I876" s="70"/>
      <c r="J876" s="429"/>
      <c r="K876" s="70"/>
      <c r="L876" s="70"/>
      <c r="M876" s="429"/>
      <c r="N876" s="403"/>
      <c r="O876" s="403"/>
      <c r="P876" s="70"/>
      <c r="Q876" s="404"/>
      <c r="R876" s="404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</row>
    <row r="877" spans="1:36" s="14" customFormat="1">
      <c r="A877" s="431"/>
      <c r="B877" s="70"/>
      <c r="C877" s="441"/>
      <c r="D877" s="412"/>
      <c r="E877" s="432"/>
      <c r="F877" s="88"/>
      <c r="G877" s="157"/>
      <c r="H877" s="412"/>
      <c r="I877" s="70"/>
      <c r="J877" s="429"/>
      <c r="K877" s="70"/>
      <c r="L877" s="70"/>
      <c r="M877" s="429"/>
      <c r="N877" s="403"/>
      <c r="O877" s="403"/>
      <c r="P877" s="70"/>
      <c r="Q877" s="404"/>
      <c r="R877" s="404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</row>
    <row r="878" spans="1:36" s="14" customFormat="1">
      <c r="A878" s="431"/>
      <c r="B878" s="70"/>
      <c r="C878" s="441"/>
      <c r="D878" s="412"/>
      <c r="E878" s="432"/>
      <c r="F878" s="88"/>
      <c r="G878" s="157"/>
      <c r="H878" s="412"/>
      <c r="I878" s="70"/>
      <c r="J878" s="429"/>
      <c r="K878" s="70"/>
      <c r="L878" s="70"/>
      <c r="M878" s="429"/>
      <c r="N878" s="403"/>
      <c r="O878" s="403"/>
      <c r="P878" s="70"/>
      <c r="Q878" s="404"/>
      <c r="R878" s="404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</row>
    <row r="879" spans="1:36" s="14" customFormat="1">
      <c r="A879" s="431"/>
      <c r="B879" s="70"/>
      <c r="C879" s="441"/>
      <c r="D879" s="412"/>
      <c r="E879" s="432"/>
      <c r="F879" s="88"/>
      <c r="G879" s="157"/>
      <c r="H879" s="412"/>
      <c r="I879" s="70"/>
      <c r="J879" s="429"/>
      <c r="K879" s="70"/>
      <c r="L879" s="70"/>
      <c r="M879" s="429"/>
      <c r="N879" s="403"/>
      <c r="O879" s="403"/>
      <c r="P879" s="70"/>
      <c r="Q879" s="404"/>
      <c r="R879" s="404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</row>
    <row r="880" spans="1:36" s="14" customFormat="1">
      <c r="A880" s="431"/>
      <c r="B880" s="70"/>
      <c r="C880" s="441"/>
      <c r="D880" s="412"/>
      <c r="E880" s="432"/>
      <c r="F880" s="88"/>
      <c r="G880" s="157"/>
      <c r="H880" s="412"/>
      <c r="I880" s="70"/>
      <c r="J880" s="429"/>
      <c r="K880" s="70"/>
      <c r="L880" s="70"/>
      <c r="M880" s="429"/>
      <c r="N880" s="403"/>
      <c r="O880" s="403"/>
      <c r="P880" s="70"/>
      <c r="Q880" s="404"/>
      <c r="R880" s="404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</row>
    <row r="881" spans="1:36" s="14" customFormat="1">
      <c r="A881" s="431"/>
      <c r="B881" s="70"/>
      <c r="C881" s="441"/>
      <c r="D881" s="412"/>
      <c r="E881" s="432"/>
      <c r="F881" s="88"/>
      <c r="G881" s="157"/>
      <c r="H881" s="412"/>
      <c r="I881" s="70"/>
      <c r="J881" s="429"/>
      <c r="K881" s="70"/>
      <c r="L881" s="70"/>
      <c r="M881" s="429"/>
      <c r="N881" s="403"/>
      <c r="O881" s="403"/>
      <c r="P881" s="70"/>
      <c r="Q881" s="404"/>
      <c r="R881" s="404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</row>
    <row r="882" spans="1:36" s="14" customFormat="1">
      <c r="A882" s="431"/>
      <c r="B882" s="70"/>
      <c r="C882" s="441"/>
      <c r="D882" s="412"/>
      <c r="E882" s="432"/>
      <c r="F882" s="88"/>
      <c r="G882" s="157"/>
      <c r="H882" s="412"/>
      <c r="I882" s="70"/>
      <c r="J882" s="429"/>
      <c r="K882" s="70"/>
      <c r="L882" s="70"/>
      <c r="M882" s="429"/>
      <c r="N882" s="403"/>
      <c r="O882" s="403"/>
      <c r="P882" s="70"/>
      <c r="Q882" s="404"/>
      <c r="R882" s="404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</row>
    <row r="883" spans="1:36" s="14" customFormat="1">
      <c r="A883" s="431"/>
      <c r="B883" s="70"/>
      <c r="C883" s="441"/>
      <c r="D883" s="412"/>
      <c r="E883" s="432"/>
      <c r="F883" s="88"/>
      <c r="G883" s="157"/>
      <c r="H883" s="412"/>
      <c r="I883" s="70"/>
      <c r="J883" s="429"/>
      <c r="K883" s="70"/>
      <c r="L883" s="70"/>
      <c r="M883" s="429"/>
      <c r="N883" s="403"/>
      <c r="O883" s="403"/>
      <c r="P883" s="70"/>
      <c r="Q883" s="404"/>
      <c r="R883" s="404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</row>
    <row r="884" spans="1:36" s="14" customFormat="1">
      <c r="A884" s="431"/>
      <c r="B884" s="70"/>
      <c r="C884" s="441"/>
      <c r="D884" s="412"/>
      <c r="E884" s="432"/>
      <c r="F884" s="88"/>
      <c r="G884" s="157"/>
      <c r="H884" s="412"/>
      <c r="I884" s="70"/>
      <c r="J884" s="429"/>
      <c r="K884" s="70"/>
      <c r="L884" s="70"/>
      <c r="M884" s="429"/>
      <c r="N884" s="403"/>
      <c r="O884" s="403"/>
      <c r="P884" s="70"/>
      <c r="Q884" s="404"/>
      <c r="R884" s="404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</row>
  </sheetData>
  <autoFilter ref="A2:M873" xr:uid="{F6BEF891-CC21-41DF-9018-C0BE2F784FF4}">
    <filterColumn colId="5">
      <filters blank="1">
        <dateGroupItem year="2026" month="8" dateTimeGrouping="month"/>
        <dateGroupItem year="2026" month="9" dateTimeGrouping="month"/>
        <dateGroupItem year="2026" month="10" day="1" dateTimeGrouping="day"/>
        <dateGroupItem year="2026" month="10" day="2" dateTimeGrouping="day"/>
        <dateGroupItem year="2026" month="10" day="3" dateTimeGrouping="day"/>
        <dateGroupItem year="2026" month="10" day="5" dateTimeGrouping="day"/>
        <dateGroupItem year="2026" month="10" day="7" dateTimeGrouping="day"/>
        <dateGroupItem year="2026" month="10" day="8" dateTimeGrouping="day"/>
        <dateGroupItem year="2026" month="10" day="10" dateTimeGrouping="day"/>
        <dateGroupItem year="2026" month="10" day="11" dateTimeGrouping="day"/>
        <dateGroupItem year="2026" month="10" day="15" dateTimeGrouping="day"/>
        <dateGroupItem year="2026" month="10" day="17" dateTimeGrouping="day"/>
        <dateGroupItem year="2026" month="10" day="18" dateTimeGrouping="day"/>
        <dateGroupItem year="2026" month="10" day="19" dateTimeGrouping="day"/>
        <dateGroupItem year="2026" month="10" day="20" dateTimeGrouping="day"/>
        <dateGroupItem year="2026" month="10" day="21" dateTimeGrouping="day"/>
        <dateGroupItem year="2026" month="10" day="22" dateTimeGrouping="day"/>
        <dateGroupItem year="2026" month="10" day="23" dateTimeGrouping="day"/>
      </filters>
    </filterColumn>
    <filterColumn colId="6">
      <filters blank="1">
        <filter val="EM ATRASO"/>
      </filters>
    </filterColumn>
    <filterColumn colId="7">
      <filters blank="1">
        <filter val="PRIORIDADE"/>
      </filters>
    </filterColumn>
    <filterColumn colId="9" showButton="0"/>
  </autoFilter>
  <sortState xmlns:xlrd2="http://schemas.microsoft.com/office/spreadsheetml/2017/richdata2" ref="A3:H260">
    <sortCondition ref="F3:F260"/>
  </sortState>
  <mergeCells count="663">
    <mergeCell ref="J716:K716"/>
    <mergeCell ref="J726:K726"/>
    <mergeCell ref="J727:K727"/>
    <mergeCell ref="J728:K728"/>
    <mergeCell ref="J681:K681"/>
    <mergeCell ref="J682:K682"/>
    <mergeCell ref="J683:K683"/>
    <mergeCell ref="J684:K684"/>
    <mergeCell ref="J685:K685"/>
    <mergeCell ref="J686:K686"/>
    <mergeCell ref="J687:K687"/>
    <mergeCell ref="J712:K712"/>
    <mergeCell ref="J713:K713"/>
    <mergeCell ref="J679:K679"/>
    <mergeCell ref="J680:K680"/>
    <mergeCell ref="J663:K663"/>
    <mergeCell ref="J665:K665"/>
    <mergeCell ref="J666:K666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7:K667"/>
    <mergeCell ref="J669:K669"/>
    <mergeCell ref="J672:K672"/>
    <mergeCell ref="J673:K673"/>
    <mergeCell ref="J674:K674"/>
    <mergeCell ref="J675:K675"/>
    <mergeCell ref="J676:K676"/>
    <mergeCell ref="J677:K677"/>
    <mergeCell ref="J678:K678"/>
    <mergeCell ref="J539:K539"/>
    <mergeCell ref="J540:K540"/>
    <mergeCell ref="J520:K520"/>
    <mergeCell ref="J481:K481"/>
    <mergeCell ref="J518:K518"/>
    <mergeCell ref="J476:K476"/>
    <mergeCell ref="J541:K541"/>
    <mergeCell ref="J502:K502"/>
    <mergeCell ref="J503:K503"/>
    <mergeCell ref="J504:K504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30:K530"/>
    <mergeCell ref="J531:K531"/>
    <mergeCell ref="J532:K532"/>
    <mergeCell ref="J534:K534"/>
    <mergeCell ref="J536:K536"/>
    <mergeCell ref="J538:K538"/>
    <mergeCell ref="J464:K464"/>
    <mergeCell ref="J465:K465"/>
    <mergeCell ref="J466:K466"/>
    <mergeCell ref="J467:K467"/>
    <mergeCell ref="J454:K454"/>
    <mergeCell ref="J455:K455"/>
    <mergeCell ref="J456:K456"/>
    <mergeCell ref="J477:K477"/>
    <mergeCell ref="J478:K478"/>
    <mergeCell ref="J521:K521"/>
    <mergeCell ref="J522:K522"/>
    <mergeCell ref="J523:K523"/>
    <mergeCell ref="J524:K524"/>
    <mergeCell ref="J525:K525"/>
    <mergeCell ref="J526:K526"/>
    <mergeCell ref="J527:K527"/>
    <mergeCell ref="J519:K519"/>
    <mergeCell ref="J473:K473"/>
    <mergeCell ref="J474:K474"/>
    <mergeCell ref="J475:K475"/>
    <mergeCell ref="J537:K537"/>
    <mergeCell ref="J443:K443"/>
    <mergeCell ref="J444:K444"/>
    <mergeCell ref="J445:K445"/>
    <mergeCell ref="J457:K457"/>
    <mergeCell ref="J458:K458"/>
    <mergeCell ref="J459:K459"/>
    <mergeCell ref="J470:K470"/>
    <mergeCell ref="J471:K471"/>
    <mergeCell ref="J472:K472"/>
    <mergeCell ref="J449:K449"/>
    <mergeCell ref="J450:K450"/>
    <mergeCell ref="J451:K451"/>
    <mergeCell ref="J452:K452"/>
    <mergeCell ref="J453:K453"/>
    <mergeCell ref="J460:K460"/>
    <mergeCell ref="J461:K461"/>
    <mergeCell ref="J462:K462"/>
    <mergeCell ref="J463:K463"/>
    <mergeCell ref="J446:K446"/>
    <mergeCell ref="J447:K447"/>
    <mergeCell ref="J448:K448"/>
    <mergeCell ref="J422:K422"/>
    <mergeCell ref="J425:K425"/>
    <mergeCell ref="J426:K426"/>
    <mergeCell ref="J438:K438"/>
    <mergeCell ref="J427:K427"/>
    <mergeCell ref="J428:K428"/>
    <mergeCell ref="J429:K429"/>
    <mergeCell ref="J430:K430"/>
    <mergeCell ref="J431:K431"/>
    <mergeCell ref="J432:K432"/>
    <mergeCell ref="J439:K439"/>
    <mergeCell ref="J440:K440"/>
    <mergeCell ref="J441:K441"/>
    <mergeCell ref="J442:K442"/>
    <mergeCell ref="J404:K404"/>
    <mergeCell ref="J405:K405"/>
    <mergeCell ref="J406:K406"/>
    <mergeCell ref="J407:K407"/>
    <mergeCell ref="J409:K409"/>
    <mergeCell ref="J410:K410"/>
    <mergeCell ref="J411:K411"/>
    <mergeCell ref="J434:K434"/>
    <mergeCell ref="J420:K420"/>
    <mergeCell ref="J421:K421"/>
    <mergeCell ref="J419:K419"/>
    <mergeCell ref="J408:K408"/>
    <mergeCell ref="J412:K412"/>
    <mergeCell ref="J413:K413"/>
    <mergeCell ref="J415:K415"/>
    <mergeCell ref="J418:K418"/>
    <mergeCell ref="J424:K424"/>
    <mergeCell ref="J435:K435"/>
    <mergeCell ref="J436:K436"/>
    <mergeCell ref="J437:K437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381:K381"/>
    <mergeCell ref="J382:K382"/>
    <mergeCell ref="J384:K384"/>
    <mergeCell ref="J385:K385"/>
    <mergeCell ref="J388:K388"/>
    <mergeCell ref="J391:K391"/>
    <mergeCell ref="J392:K392"/>
    <mergeCell ref="J393:K393"/>
    <mergeCell ref="J394:K394"/>
    <mergeCell ref="J383:K383"/>
    <mergeCell ref="J386:K386"/>
    <mergeCell ref="J387:K387"/>
    <mergeCell ref="J389:K389"/>
    <mergeCell ref="J335:K335"/>
    <mergeCell ref="J336:K336"/>
    <mergeCell ref="J337:K337"/>
    <mergeCell ref="J338:K338"/>
    <mergeCell ref="J339:K339"/>
    <mergeCell ref="J369:K369"/>
    <mergeCell ref="J370:K370"/>
    <mergeCell ref="J371:K371"/>
    <mergeCell ref="J372:K372"/>
    <mergeCell ref="J363:K363"/>
    <mergeCell ref="J364:K364"/>
    <mergeCell ref="J358:K358"/>
    <mergeCell ref="J368:K368"/>
    <mergeCell ref="J361:K361"/>
    <mergeCell ref="J362:K362"/>
    <mergeCell ref="J327:K327"/>
    <mergeCell ref="J328:K328"/>
    <mergeCell ref="J329:K329"/>
    <mergeCell ref="J330:K330"/>
    <mergeCell ref="J331:K331"/>
    <mergeCell ref="J323:K323"/>
    <mergeCell ref="J324:K324"/>
    <mergeCell ref="J325:K325"/>
    <mergeCell ref="J334:K334"/>
    <mergeCell ref="J312:K312"/>
    <mergeCell ref="J313:K313"/>
    <mergeCell ref="J314:K314"/>
    <mergeCell ref="J315:K315"/>
    <mergeCell ref="J316:K316"/>
    <mergeCell ref="J317:K317"/>
    <mergeCell ref="J301:K301"/>
    <mergeCell ref="J306:K306"/>
    <mergeCell ref="J367:K367"/>
    <mergeCell ref="J354:K354"/>
    <mergeCell ref="J356:K356"/>
    <mergeCell ref="J357:K357"/>
    <mergeCell ref="J359:K359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32:K332"/>
    <mergeCell ref="J333:K333"/>
    <mergeCell ref="J360:K360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69:K269"/>
    <mergeCell ref="J270:K270"/>
    <mergeCell ref="J272:K272"/>
    <mergeCell ref="J276:K276"/>
    <mergeCell ref="J277:K277"/>
    <mergeCell ref="J278:K278"/>
    <mergeCell ref="J279:K279"/>
    <mergeCell ref="J280:K280"/>
    <mergeCell ref="J281:K281"/>
    <mergeCell ref="J273:K273"/>
    <mergeCell ref="J274:K274"/>
    <mergeCell ref="J275:K275"/>
    <mergeCell ref="J253:K253"/>
    <mergeCell ref="J254:K254"/>
    <mergeCell ref="J255:K255"/>
    <mergeCell ref="J256:K256"/>
    <mergeCell ref="J257:K257"/>
    <mergeCell ref="J258:K258"/>
    <mergeCell ref="J259:K259"/>
    <mergeCell ref="J261:K261"/>
    <mergeCell ref="J262:K262"/>
    <mergeCell ref="J260:K260"/>
    <mergeCell ref="J200:K200"/>
    <mergeCell ref="J201:K201"/>
    <mergeCell ref="J202:K202"/>
    <mergeCell ref="J203:K203"/>
    <mergeCell ref="J204:K204"/>
    <mergeCell ref="J205:K205"/>
    <mergeCell ref="J190:K190"/>
    <mergeCell ref="J191:K191"/>
    <mergeCell ref="J192:K192"/>
    <mergeCell ref="J173:K173"/>
    <mergeCell ref="J174:K174"/>
    <mergeCell ref="J175:K175"/>
    <mergeCell ref="J176:K176"/>
    <mergeCell ref="J189:K189"/>
    <mergeCell ref="J188:K188"/>
    <mergeCell ref="J199:K199"/>
    <mergeCell ref="J193:K193"/>
    <mergeCell ref="J194:K194"/>
    <mergeCell ref="J195:K195"/>
    <mergeCell ref="J196:K196"/>
    <mergeCell ref="J197:K197"/>
    <mergeCell ref="J198:K198"/>
    <mergeCell ref="J141:K141"/>
    <mergeCell ref="J142:K142"/>
    <mergeCell ref="J143:K143"/>
    <mergeCell ref="J144:K144"/>
    <mergeCell ref="J145:K145"/>
    <mergeCell ref="J136:K136"/>
    <mergeCell ref="J137:K137"/>
    <mergeCell ref="J138:K138"/>
    <mergeCell ref="J139:K139"/>
    <mergeCell ref="J140:K140"/>
    <mergeCell ref="J154:K154"/>
    <mergeCell ref="J155:K155"/>
    <mergeCell ref="J157:K157"/>
    <mergeCell ref="J158:K158"/>
    <mergeCell ref="J150:K150"/>
    <mergeCell ref="J151:K151"/>
    <mergeCell ref="J152:K152"/>
    <mergeCell ref="J153:K153"/>
    <mergeCell ref="J146:K146"/>
    <mergeCell ref="J147:K147"/>
    <mergeCell ref="J148:K148"/>
    <mergeCell ref="J149:K149"/>
    <mergeCell ref="J159:K15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77:K177"/>
    <mergeCell ref="J178:K178"/>
    <mergeCell ref="J179:K179"/>
    <mergeCell ref="J169:K169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70:K170"/>
    <mergeCell ref="J171:K171"/>
    <mergeCell ref="J172:K172"/>
    <mergeCell ref="J128:K128"/>
    <mergeCell ref="J129:K129"/>
    <mergeCell ref="J130:K130"/>
    <mergeCell ref="J131:K131"/>
    <mergeCell ref="J135:K135"/>
    <mergeCell ref="J123:K123"/>
    <mergeCell ref="J124:K124"/>
    <mergeCell ref="J126:K126"/>
    <mergeCell ref="J127:K127"/>
    <mergeCell ref="J125:K125"/>
    <mergeCell ref="J118:K118"/>
    <mergeCell ref="J119:K119"/>
    <mergeCell ref="J120:K120"/>
    <mergeCell ref="J121:K121"/>
    <mergeCell ref="J122:K122"/>
    <mergeCell ref="J112:K112"/>
    <mergeCell ref="J113:K113"/>
    <mergeCell ref="J114:K114"/>
    <mergeCell ref="J116:K116"/>
    <mergeCell ref="J117:K117"/>
    <mergeCell ref="J107:K107"/>
    <mergeCell ref="J108:K108"/>
    <mergeCell ref="J109:K109"/>
    <mergeCell ref="J110:K110"/>
    <mergeCell ref="J111:K111"/>
    <mergeCell ref="J102:K102"/>
    <mergeCell ref="J103:K103"/>
    <mergeCell ref="J104:K104"/>
    <mergeCell ref="J105:K105"/>
    <mergeCell ref="J106:K106"/>
    <mergeCell ref="J97:K97"/>
    <mergeCell ref="J98:K98"/>
    <mergeCell ref="J99:K99"/>
    <mergeCell ref="J100:K100"/>
    <mergeCell ref="J101:K101"/>
    <mergeCell ref="J92:K92"/>
    <mergeCell ref="J93:K93"/>
    <mergeCell ref="J94:K94"/>
    <mergeCell ref="J95:K95"/>
    <mergeCell ref="J96:K96"/>
    <mergeCell ref="J87:K87"/>
    <mergeCell ref="J88:K88"/>
    <mergeCell ref="J89:K89"/>
    <mergeCell ref="J90:K90"/>
    <mergeCell ref="J91:K91"/>
    <mergeCell ref="J82:K82"/>
    <mergeCell ref="J83:K83"/>
    <mergeCell ref="J84:K84"/>
    <mergeCell ref="J85:K85"/>
    <mergeCell ref="J86:K86"/>
    <mergeCell ref="J77:K77"/>
    <mergeCell ref="J78:K78"/>
    <mergeCell ref="J79:K79"/>
    <mergeCell ref="J80:K80"/>
    <mergeCell ref="J81:K81"/>
    <mergeCell ref="J72:K72"/>
    <mergeCell ref="J73:K73"/>
    <mergeCell ref="J74:K74"/>
    <mergeCell ref="J75:K75"/>
    <mergeCell ref="J76:K76"/>
    <mergeCell ref="J50:K50"/>
    <mergeCell ref="J51:K51"/>
    <mergeCell ref="J67:K67"/>
    <mergeCell ref="J68:K68"/>
    <mergeCell ref="J69:K69"/>
    <mergeCell ref="J70:K70"/>
    <mergeCell ref="J71:K71"/>
    <mergeCell ref="J63:K63"/>
    <mergeCell ref="J64:K64"/>
    <mergeCell ref="J65:K65"/>
    <mergeCell ref="J66:K66"/>
    <mergeCell ref="J40:K40"/>
    <mergeCell ref="J42:K42"/>
    <mergeCell ref="J44:K44"/>
    <mergeCell ref="J62:K62"/>
    <mergeCell ref="J45:K45"/>
    <mergeCell ref="J46:K46"/>
    <mergeCell ref="J35:K35"/>
    <mergeCell ref="J36:K36"/>
    <mergeCell ref="J37:K37"/>
    <mergeCell ref="J38:K38"/>
    <mergeCell ref="J39:K39"/>
    <mergeCell ref="J52:K52"/>
    <mergeCell ref="J53:K53"/>
    <mergeCell ref="J57:K57"/>
    <mergeCell ref="J58:K58"/>
    <mergeCell ref="J59:K59"/>
    <mergeCell ref="J60:K60"/>
    <mergeCell ref="J61:K61"/>
    <mergeCell ref="J54:K54"/>
    <mergeCell ref="J55:K55"/>
    <mergeCell ref="J56:K56"/>
    <mergeCell ref="J47:K47"/>
    <mergeCell ref="J48:K48"/>
    <mergeCell ref="J49:K49"/>
    <mergeCell ref="J20:K20"/>
    <mergeCell ref="J21:K21"/>
    <mergeCell ref="J30:K30"/>
    <mergeCell ref="J31:K31"/>
    <mergeCell ref="J32:K32"/>
    <mergeCell ref="J33:K33"/>
    <mergeCell ref="J34:K34"/>
    <mergeCell ref="J25:K25"/>
    <mergeCell ref="J26:K26"/>
    <mergeCell ref="J27:K27"/>
    <mergeCell ref="J29:K29"/>
    <mergeCell ref="J28:K28"/>
    <mergeCell ref="J3:K3"/>
    <mergeCell ref="J4:K4"/>
    <mergeCell ref="J5:K5"/>
    <mergeCell ref="J6:K6"/>
    <mergeCell ref="A1:F1"/>
    <mergeCell ref="J1:K1"/>
    <mergeCell ref="J2:K2"/>
    <mergeCell ref="J160:K160"/>
    <mergeCell ref="J12:K12"/>
    <mergeCell ref="J13:K13"/>
    <mergeCell ref="J14:K14"/>
    <mergeCell ref="J15:K15"/>
    <mergeCell ref="J16:K16"/>
    <mergeCell ref="J7:K7"/>
    <mergeCell ref="J8:K8"/>
    <mergeCell ref="J9:K9"/>
    <mergeCell ref="J10:K10"/>
    <mergeCell ref="J11:K11"/>
    <mergeCell ref="J22:K22"/>
    <mergeCell ref="J23:K23"/>
    <mergeCell ref="J24:K24"/>
    <mergeCell ref="J17:K17"/>
    <mergeCell ref="J18:K18"/>
    <mergeCell ref="J19:K19"/>
    <mergeCell ref="J223:K223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52:K252"/>
    <mergeCell ref="J263:K263"/>
    <mergeCell ref="J264:K264"/>
    <mergeCell ref="J265:K265"/>
    <mergeCell ref="J266:K266"/>
    <mergeCell ref="J267:K267"/>
    <mergeCell ref="J268:K268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46:K246"/>
    <mergeCell ref="J248:K248"/>
    <mergeCell ref="J249:K249"/>
    <mergeCell ref="J250:K250"/>
    <mergeCell ref="J251:K251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90:K290"/>
    <mergeCell ref="J291:K291"/>
    <mergeCell ref="J292:K292"/>
    <mergeCell ref="J293:K293"/>
    <mergeCell ref="J294:K294"/>
    <mergeCell ref="J295:K295"/>
    <mergeCell ref="J326:K326"/>
    <mergeCell ref="J307:K307"/>
    <mergeCell ref="J308:K308"/>
    <mergeCell ref="J319:K319"/>
    <mergeCell ref="J322:K322"/>
    <mergeCell ref="J302:K302"/>
    <mergeCell ref="J303:K303"/>
    <mergeCell ref="J304:K304"/>
    <mergeCell ref="J305:K305"/>
    <mergeCell ref="J318:K318"/>
    <mergeCell ref="J296:K296"/>
    <mergeCell ref="J297:K297"/>
    <mergeCell ref="J299:K299"/>
    <mergeCell ref="J300:K300"/>
    <mergeCell ref="J298:K298"/>
    <mergeCell ref="J309:K309"/>
    <mergeCell ref="J310:K310"/>
    <mergeCell ref="J311:K311"/>
    <mergeCell ref="J375:K375"/>
    <mergeCell ref="J376:K376"/>
    <mergeCell ref="J377:K377"/>
    <mergeCell ref="J378:K378"/>
    <mergeCell ref="J379:K379"/>
    <mergeCell ref="J380:K380"/>
    <mergeCell ref="J350:K350"/>
    <mergeCell ref="J351:K351"/>
    <mergeCell ref="J340:K340"/>
    <mergeCell ref="J352:K352"/>
    <mergeCell ref="J353:K353"/>
    <mergeCell ref="J365:K365"/>
    <mergeCell ref="J366:K366"/>
    <mergeCell ref="J355:K355"/>
    <mergeCell ref="J373:K373"/>
    <mergeCell ref="J374:K374"/>
    <mergeCell ref="J563:K563"/>
    <mergeCell ref="J564:K564"/>
    <mergeCell ref="J565:K565"/>
    <mergeCell ref="J566:K566"/>
    <mergeCell ref="J567:K567"/>
    <mergeCell ref="J468:K468"/>
    <mergeCell ref="J469:K469"/>
    <mergeCell ref="J501:K501"/>
    <mergeCell ref="J505:K505"/>
    <mergeCell ref="J506:K506"/>
    <mergeCell ref="J499:K499"/>
    <mergeCell ref="J492:K492"/>
    <mergeCell ref="J493:K493"/>
    <mergeCell ref="J494:K494"/>
    <mergeCell ref="J495:K495"/>
    <mergeCell ref="J496:K496"/>
    <mergeCell ref="J497:K497"/>
    <mergeCell ref="J498:K498"/>
    <mergeCell ref="J500:K500"/>
    <mergeCell ref="J529:K529"/>
    <mergeCell ref="J479:K479"/>
    <mergeCell ref="J480:K480"/>
    <mergeCell ref="J535:K535"/>
    <mergeCell ref="J552:K552"/>
    <mergeCell ref="J553:K553"/>
    <mergeCell ref="J554:K554"/>
    <mergeCell ref="J555:K555"/>
    <mergeCell ref="J556:K556"/>
    <mergeCell ref="J557:K557"/>
    <mergeCell ref="J558:K558"/>
    <mergeCell ref="J561:K561"/>
    <mergeCell ref="J562:K562"/>
    <mergeCell ref="J559:K559"/>
    <mergeCell ref="J560:K560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69:K569"/>
    <mergeCell ref="J570:K570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600:K600"/>
    <mergeCell ref="J601:K601"/>
    <mergeCell ref="J602:K602"/>
    <mergeCell ref="J603:K603"/>
    <mergeCell ref="J604:K604"/>
    <mergeCell ref="J605:K605"/>
    <mergeCell ref="J606:K606"/>
    <mergeCell ref="J598:K598"/>
    <mergeCell ref="J568:K568"/>
    <mergeCell ref="J571:K571"/>
    <mergeCell ref="J625:K625"/>
    <mergeCell ref="J626:K626"/>
    <mergeCell ref="J627:K627"/>
    <mergeCell ref="J628:K628"/>
    <mergeCell ref="J599:K599"/>
    <mergeCell ref="J607:K607"/>
    <mergeCell ref="J608:K608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6:K776"/>
    <mergeCell ref="J777:K777"/>
    <mergeCell ref="J814:K814"/>
    <mergeCell ref="J800:K800"/>
    <mergeCell ref="J801:K801"/>
    <mergeCell ref="J813:K813"/>
    <mergeCell ref="J778:K778"/>
    <mergeCell ref="J779:K779"/>
    <mergeCell ref="J793:K793"/>
    <mergeCell ref="J794:K794"/>
    <mergeCell ref="J795:K795"/>
    <mergeCell ref="J796:K796"/>
    <mergeCell ref="J797:K797"/>
    <mergeCell ref="J798:K798"/>
    <mergeCell ref="J799:K799"/>
  </mergeCells>
  <phoneticPr fontId="27" type="noConversion"/>
  <hyperlinks>
    <hyperlink ref="J179" r:id="rId1" xr:uid="{868E9EF3-4129-42D5-A9E5-6FA22AA13479}"/>
    <hyperlink ref="J159" r:id="rId2" xr:uid="{D1CADFED-F2A2-4897-A5FE-45A2E5FA6B1D}"/>
    <hyperlink ref="J236" r:id="rId3" xr:uid="{32E1F11F-BB7F-4A03-A637-A4E23A2CD122}"/>
    <hyperlink ref="C13" r:id="rId4" xr:uid="{CAD9D975-DF5B-4F2A-AB86-3447A6421E74}"/>
  </hyperlinks>
  <pageMargins left="0.51181102362204722" right="0.51181102362204722" top="0.78740157480314965" bottom="0.78740157480314965" header="0.31496062992125984" footer="0.31496062992125984"/>
  <pageSetup paperSize="9" scale="13" orientation="landscape" verticalDpi="30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398A-8B0B-4315-BCA9-54F3B8F2C5C9}">
  <dimension ref="A1:AJ16"/>
  <sheetViews>
    <sheetView topLeftCell="A3" workbookViewId="0">
      <selection activeCell="A10" sqref="A10:XFD10"/>
    </sheetView>
  </sheetViews>
  <sheetFormatPr defaultRowHeight="30" customHeight="1"/>
  <cols>
    <col min="1" max="1" width="31.28515625" bestFit="1" customWidth="1"/>
    <col min="2" max="2" width="88.7109375" bestFit="1" customWidth="1"/>
    <col min="3" max="3" width="17.5703125" bestFit="1" customWidth="1"/>
    <col min="4" max="4" width="8.85546875" bestFit="1" customWidth="1"/>
    <col min="5" max="5" width="14.28515625" bestFit="1" customWidth="1"/>
    <col min="6" max="6" width="12.140625" bestFit="1" customWidth="1"/>
    <col min="7" max="7" width="20.42578125" bestFit="1" customWidth="1"/>
    <col min="8" max="8" width="10" bestFit="1" customWidth="1"/>
    <col min="13" max="13" width="49.7109375" bestFit="1" customWidth="1"/>
  </cols>
  <sheetData>
    <row r="1" spans="1:36" ht="30" customHeight="1">
      <c r="A1" s="573" t="s">
        <v>350</v>
      </c>
      <c r="B1" s="574"/>
      <c r="C1" s="575"/>
      <c r="D1" s="576"/>
      <c r="E1" s="577"/>
      <c r="F1" s="578"/>
      <c r="G1" s="156" t="s">
        <v>351</v>
      </c>
      <c r="H1" s="401">
        <f ca="1">TODAY()</f>
        <v>46318</v>
      </c>
      <c r="I1" s="70"/>
      <c r="J1" s="579" t="s">
        <v>352</v>
      </c>
      <c r="K1" s="580"/>
      <c r="L1" s="70"/>
      <c r="M1" s="402"/>
      <c r="N1" s="403"/>
      <c r="O1" s="403"/>
      <c r="P1" s="70"/>
      <c r="Q1" s="404"/>
      <c r="R1" s="404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</row>
    <row r="2" spans="1:36" ht="30" customHeight="1">
      <c r="A2" s="406" t="s">
        <v>353</v>
      </c>
      <c r="B2" s="407" t="s">
        <v>354</v>
      </c>
      <c r="C2" s="438" t="s">
        <v>355</v>
      </c>
      <c r="D2" s="407" t="s">
        <v>356</v>
      </c>
      <c r="E2" s="408" t="s">
        <v>357</v>
      </c>
      <c r="F2" s="409" t="s">
        <v>358</v>
      </c>
      <c r="G2" s="410" t="s">
        <v>359</v>
      </c>
      <c r="H2" s="411" t="s">
        <v>360</v>
      </c>
      <c r="I2" s="412"/>
      <c r="J2" s="581" t="s">
        <v>361</v>
      </c>
      <c r="K2" s="582"/>
      <c r="L2" s="412"/>
      <c r="M2" s="413" t="s">
        <v>362</v>
      </c>
      <c r="N2" s="414"/>
      <c r="O2" s="414"/>
      <c r="P2" s="412"/>
      <c r="Q2" s="414"/>
      <c r="R2" s="414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</row>
    <row r="3" spans="1:36" ht="30" customHeight="1">
      <c r="A3" s="433" t="s">
        <v>363</v>
      </c>
      <c r="B3" s="114" t="s">
        <v>364</v>
      </c>
      <c r="C3" s="442">
        <v>21644802000104</v>
      </c>
      <c r="D3" s="135" t="s">
        <v>365</v>
      </c>
      <c r="E3" s="121">
        <v>22077.79</v>
      </c>
      <c r="F3" s="350">
        <v>46305</v>
      </c>
      <c r="G3" s="350" t="s">
        <v>366</v>
      </c>
      <c r="H3" s="135"/>
      <c r="I3" s="326"/>
      <c r="J3" s="563"/>
      <c r="K3" s="564"/>
      <c r="L3" s="326"/>
      <c r="M3" s="224" t="s">
        <v>367</v>
      </c>
      <c r="N3" s="320"/>
      <c r="O3" s="320"/>
      <c r="P3" s="326"/>
      <c r="Q3" s="328"/>
      <c r="R3" s="328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</row>
    <row r="4" spans="1:36" ht="30" customHeight="1">
      <c r="A4" s="433" t="s">
        <v>373</v>
      </c>
      <c r="B4" s="437" t="s">
        <v>378</v>
      </c>
      <c r="C4" s="443"/>
      <c r="D4" s="114"/>
      <c r="E4" s="110">
        <v>100</v>
      </c>
      <c r="F4" s="478">
        <v>46310</v>
      </c>
      <c r="G4" s="350" t="s">
        <v>366</v>
      </c>
      <c r="H4" s="119"/>
      <c r="I4" s="326"/>
      <c r="J4" s="563"/>
      <c r="K4" s="564"/>
      <c r="L4" s="122"/>
      <c r="M4" s="560"/>
      <c r="N4" s="320"/>
      <c r="O4" s="320"/>
      <c r="P4" s="326"/>
      <c r="Q4" s="328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</row>
    <row r="5" spans="1:36" ht="30" customHeight="1">
      <c r="A5" s="433" t="s">
        <v>373</v>
      </c>
      <c r="B5" s="445" t="s">
        <v>379</v>
      </c>
      <c r="C5" s="444"/>
      <c r="D5" s="446"/>
      <c r="E5" s="110">
        <v>410</v>
      </c>
      <c r="F5" s="478">
        <v>46310</v>
      </c>
      <c r="G5" s="350" t="s">
        <v>366</v>
      </c>
      <c r="H5" s="119"/>
      <c r="I5" s="326"/>
      <c r="J5" s="563"/>
      <c r="K5" s="564"/>
      <c r="L5" s="122"/>
      <c r="M5" s="560"/>
      <c r="N5" s="320"/>
      <c r="O5" s="320"/>
      <c r="P5" s="326"/>
      <c r="Q5" s="328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  <c r="AG5" s="326"/>
      <c r="AH5" s="326"/>
      <c r="AI5" s="326"/>
      <c r="AJ5" s="326"/>
    </row>
    <row r="6" spans="1:36" ht="30" customHeight="1">
      <c r="A6" s="433" t="s">
        <v>380</v>
      </c>
      <c r="B6" s="256" t="s">
        <v>388</v>
      </c>
      <c r="C6" s="444"/>
      <c r="D6" s="325"/>
      <c r="E6" s="121">
        <v>2506.33</v>
      </c>
      <c r="F6" s="350">
        <v>46310</v>
      </c>
      <c r="G6" s="350" t="s">
        <v>366</v>
      </c>
      <c r="H6" s="498"/>
      <c r="I6" s="326"/>
      <c r="J6" s="563"/>
      <c r="K6" s="564"/>
      <c r="L6" s="122"/>
      <c r="M6" s="526" t="s">
        <v>49</v>
      </c>
      <c r="N6" s="320"/>
      <c r="O6" s="320"/>
      <c r="P6" s="326"/>
      <c r="Q6" s="328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6"/>
      <c r="AD6" s="326"/>
      <c r="AE6" s="326"/>
      <c r="AF6" s="326"/>
      <c r="AG6" s="326"/>
      <c r="AH6" s="326"/>
      <c r="AI6" s="326"/>
      <c r="AJ6" s="326"/>
    </row>
    <row r="7" spans="1:36" ht="30" customHeight="1">
      <c r="A7" s="433" t="s">
        <v>398</v>
      </c>
      <c r="B7" s="114" t="s">
        <v>406</v>
      </c>
      <c r="C7" s="442"/>
      <c r="D7" s="135"/>
      <c r="E7" s="121">
        <v>4473.33</v>
      </c>
      <c r="F7" s="350">
        <v>46296</v>
      </c>
      <c r="G7" s="478" t="s">
        <v>366</v>
      </c>
      <c r="H7" s="119"/>
      <c r="I7" s="326"/>
      <c r="J7" s="563"/>
      <c r="K7" s="564"/>
      <c r="L7" s="122"/>
      <c r="M7" s="480" t="s">
        <v>76</v>
      </c>
      <c r="N7" s="320"/>
      <c r="O7" s="320"/>
      <c r="P7" s="326"/>
      <c r="Q7" s="328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G7" s="326"/>
      <c r="AH7" s="326"/>
      <c r="AI7" s="326"/>
      <c r="AJ7" s="326"/>
    </row>
    <row r="8" spans="1:36" ht="30" customHeight="1">
      <c r="A8" s="433" t="s">
        <v>398</v>
      </c>
      <c r="B8" s="114" t="s">
        <v>420</v>
      </c>
      <c r="C8" s="442" t="s">
        <v>413</v>
      </c>
      <c r="D8" s="135"/>
      <c r="E8" s="121">
        <v>238.69</v>
      </c>
      <c r="F8" s="350">
        <v>46316</v>
      </c>
      <c r="G8" s="350" t="s">
        <v>366</v>
      </c>
      <c r="H8" s="498"/>
      <c r="I8" s="326"/>
      <c r="J8" s="563"/>
      <c r="K8" s="564"/>
      <c r="L8" s="122"/>
      <c r="M8" s="526" t="s">
        <v>112</v>
      </c>
      <c r="N8" s="320"/>
      <c r="O8" s="320"/>
      <c r="P8" s="326"/>
      <c r="Q8" s="328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</row>
    <row r="9" spans="1:36" ht="30" customHeight="1">
      <c r="A9" s="433" t="s">
        <v>433</v>
      </c>
      <c r="B9" s="114" t="s">
        <v>434</v>
      </c>
      <c r="C9" s="442" t="s">
        <v>435</v>
      </c>
      <c r="D9" s="135"/>
      <c r="E9" s="121">
        <v>490.23</v>
      </c>
      <c r="F9" s="350">
        <v>46317</v>
      </c>
      <c r="G9" s="478" t="s">
        <v>366</v>
      </c>
      <c r="H9" s="521"/>
      <c r="I9" s="70"/>
      <c r="J9" s="532"/>
      <c r="K9" s="533"/>
      <c r="L9" s="427"/>
      <c r="M9" s="126"/>
      <c r="N9" s="403"/>
      <c r="O9" s="403"/>
      <c r="P9" s="70"/>
      <c r="Q9" s="404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</row>
    <row r="10" spans="1:36" ht="30" customHeight="1">
      <c r="A10" s="437" t="s">
        <v>570</v>
      </c>
      <c r="B10" s="114" t="s">
        <v>591</v>
      </c>
      <c r="C10" s="439"/>
      <c r="D10" s="119"/>
      <c r="E10" s="121">
        <v>11900</v>
      </c>
      <c r="F10" s="350">
        <v>46287</v>
      </c>
      <c r="G10" s="478" t="s">
        <v>366</v>
      </c>
      <c r="H10" s="498" t="s">
        <v>592</v>
      </c>
      <c r="I10" s="70"/>
      <c r="J10" s="563" t="s">
        <v>593</v>
      </c>
      <c r="K10" s="564"/>
      <c r="L10" s="427"/>
      <c r="M10" s="113"/>
      <c r="N10" s="403"/>
      <c r="O10" s="403"/>
      <c r="P10" s="70"/>
      <c r="Q10" s="404"/>
      <c r="R10" s="404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</row>
    <row r="11" spans="1:36" ht="30" customHeight="1">
      <c r="A11" s="437" t="s">
        <v>570</v>
      </c>
      <c r="B11" s="114" t="s">
        <v>594</v>
      </c>
      <c r="C11" s="439"/>
      <c r="D11" s="119"/>
      <c r="E11" s="121">
        <v>5100</v>
      </c>
      <c r="F11" s="350">
        <v>46287</v>
      </c>
      <c r="G11" s="478" t="s">
        <v>366</v>
      </c>
      <c r="H11" s="498" t="s">
        <v>592</v>
      </c>
      <c r="I11" s="70"/>
      <c r="J11" s="563"/>
      <c r="K11" s="564"/>
      <c r="L11" s="427"/>
      <c r="M11" s="113"/>
      <c r="N11" s="403"/>
      <c r="O11" s="403"/>
      <c r="P11" s="70"/>
      <c r="Q11" s="404"/>
      <c r="R11" s="404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</row>
    <row r="12" spans="1:36" ht="30" customHeight="1">
      <c r="A12" s="437" t="s">
        <v>570</v>
      </c>
      <c r="B12" s="114" t="s">
        <v>595</v>
      </c>
      <c r="C12" s="439"/>
      <c r="D12" s="119"/>
      <c r="E12" s="121">
        <v>11900</v>
      </c>
      <c r="F12" s="350">
        <v>46287</v>
      </c>
      <c r="G12" s="478" t="s">
        <v>366</v>
      </c>
      <c r="H12" s="498" t="s">
        <v>592</v>
      </c>
      <c r="I12" s="70"/>
      <c r="J12" s="563"/>
      <c r="K12" s="564"/>
      <c r="L12" s="427"/>
      <c r="M12" s="113"/>
      <c r="N12" s="403"/>
      <c r="O12" s="403"/>
      <c r="P12" s="70"/>
      <c r="Q12" s="404"/>
      <c r="R12" s="404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</row>
    <row r="13" spans="1:36" ht="30" customHeight="1">
      <c r="A13" s="437" t="s">
        <v>570</v>
      </c>
      <c r="B13" s="114" t="s">
        <v>596</v>
      </c>
      <c r="C13" s="439"/>
      <c r="D13" s="119"/>
      <c r="E13" s="121">
        <v>5100</v>
      </c>
      <c r="F13" s="350">
        <v>46287</v>
      </c>
      <c r="G13" s="478" t="s">
        <v>366</v>
      </c>
      <c r="H13" s="498" t="s">
        <v>592</v>
      </c>
      <c r="I13" s="70"/>
      <c r="J13" s="563"/>
      <c r="K13" s="564"/>
      <c r="L13" s="427"/>
      <c r="M13" s="113"/>
      <c r="N13" s="403"/>
      <c r="O13" s="403"/>
      <c r="P13" s="70"/>
      <c r="Q13" s="404"/>
      <c r="R13" s="404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</row>
    <row r="14" spans="1:36" ht="30" customHeight="1">
      <c r="A14" s="560" t="s">
        <v>570</v>
      </c>
      <c r="B14" s="114" t="s">
        <v>598</v>
      </c>
      <c r="C14" s="439"/>
      <c r="D14" s="119"/>
      <c r="E14" s="121">
        <f>4100*30%</f>
        <v>1230</v>
      </c>
      <c r="F14" s="125">
        <v>46314</v>
      </c>
      <c r="G14" s="350"/>
      <c r="H14" s="498" t="s">
        <v>592</v>
      </c>
      <c r="I14" s="70"/>
      <c r="J14" s="563"/>
      <c r="K14" s="564"/>
      <c r="L14" s="427"/>
      <c r="M14" s="113"/>
      <c r="N14" s="403"/>
      <c r="O14" s="403"/>
      <c r="P14" s="70"/>
      <c r="Q14" s="404"/>
      <c r="R14" s="404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</row>
    <row r="15" spans="1:36" ht="30" customHeight="1">
      <c r="A15" s="437" t="s">
        <v>570</v>
      </c>
      <c r="B15" s="114" t="s">
        <v>599</v>
      </c>
      <c r="C15" s="439"/>
      <c r="D15" s="119"/>
      <c r="E15" s="121">
        <f>11900+2996.4+5100</f>
        <v>19996.400000000001</v>
      </c>
      <c r="F15" s="125">
        <v>46312</v>
      </c>
      <c r="G15" s="350"/>
      <c r="H15" s="498" t="s">
        <v>592</v>
      </c>
      <c r="I15" s="70"/>
      <c r="J15" s="563"/>
      <c r="K15" s="564"/>
      <c r="L15" s="427"/>
      <c r="M15" s="113"/>
      <c r="N15" s="403"/>
      <c r="O15" s="403"/>
      <c r="P15" s="70"/>
      <c r="Q15" s="404"/>
      <c r="R15" s="404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</row>
    <row r="16" spans="1:36" ht="30" customHeight="1">
      <c r="A16" s="437" t="s">
        <v>570</v>
      </c>
      <c r="B16" s="114" t="s">
        <v>600</v>
      </c>
      <c r="C16" s="439"/>
      <c r="D16" s="119"/>
      <c r="E16" s="121">
        <f>11900+2996.4+5100</f>
        <v>19996.400000000001</v>
      </c>
      <c r="F16" s="125">
        <v>46312</v>
      </c>
      <c r="G16" s="350"/>
      <c r="H16" s="498" t="s">
        <v>592</v>
      </c>
      <c r="I16" s="70"/>
      <c r="J16" s="572" t="s">
        <v>601</v>
      </c>
      <c r="K16" s="564"/>
      <c r="L16" s="427"/>
      <c r="M16" s="113"/>
      <c r="N16" s="403"/>
      <c r="O16" s="403"/>
      <c r="P16" s="70"/>
      <c r="Q16" s="404"/>
      <c r="R16" s="404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</row>
  </sheetData>
  <mergeCells count="16">
    <mergeCell ref="J14:K14"/>
    <mergeCell ref="J15:K15"/>
    <mergeCell ref="J16:K16"/>
    <mergeCell ref="J7:K7"/>
    <mergeCell ref="J8:K8"/>
    <mergeCell ref="J10:K10"/>
    <mergeCell ref="J11:K11"/>
    <mergeCell ref="J12:K12"/>
    <mergeCell ref="J13:K13"/>
    <mergeCell ref="J3:K3"/>
    <mergeCell ref="J4:K4"/>
    <mergeCell ref="J5:K5"/>
    <mergeCell ref="J6:K6"/>
    <mergeCell ref="A1:F1"/>
    <mergeCell ref="J1:K1"/>
    <mergeCell ref="J2:K2"/>
  </mergeCells>
  <hyperlinks>
    <hyperlink ref="J16" r:id="rId1" xr:uid="{8CF04ADC-93AA-4074-AFE2-816FA113E94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D19C-3D4E-4E26-90CB-BE85887CB3D9}">
  <dimension ref="A1:AL642"/>
  <sheetViews>
    <sheetView zoomScale="85" zoomScaleNormal="85" workbookViewId="0">
      <pane ySplit="2" topLeftCell="A42" activePane="bottomLeft" state="frozen"/>
      <selection pane="bottomLeft" activeCell="B381" sqref="B381"/>
      <selection activeCell="A2" sqref="A2"/>
    </sheetView>
  </sheetViews>
  <sheetFormatPr defaultRowHeight="15"/>
  <cols>
    <col min="1" max="1" width="18.7109375" style="75" customWidth="1"/>
    <col min="2" max="2" width="70.85546875" style="75" customWidth="1"/>
    <col min="3" max="3" width="15.7109375" style="280" customWidth="1"/>
    <col min="4" max="4" width="14.42578125" style="4" customWidth="1"/>
    <col min="5" max="5" width="19.7109375" style="98" customWidth="1"/>
    <col min="6" max="6" width="23.140625" style="31" customWidth="1"/>
    <col min="7" max="7" width="16.28515625" style="2" customWidth="1"/>
    <col min="8" max="8" width="20.85546875" style="2" customWidth="1"/>
    <col min="9" max="9" width="17.85546875" style="22" customWidth="1"/>
    <col min="10" max="10" width="38.85546875" style="75" customWidth="1"/>
    <col min="11" max="11" width="22.140625" style="34" customWidth="1"/>
    <col min="12" max="12" width="2.42578125" customWidth="1"/>
    <col min="13" max="13" width="11" bestFit="1" customWidth="1"/>
    <col min="14" max="14" width="5.42578125" bestFit="1" customWidth="1"/>
    <col min="15" max="15" width="2.7109375" customWidth="1"/>
    <col min="16" max="16" width="79" style="26" customWidth="1"/>
  </cols>
  <sheetData>
    <row r="1" spans="1:38" ht="31.15" customHeight="1">
      <c r="A1" s="640" t="s">
        <v>1337</v>
      </c>
      <c r="B1" s="640"/>
      <c r="C1" s="641"/>
      <c r="D1" s="640"/>
      <c r="E1" s="640"/>
      <c r="F1" s="640"/>
      <c r="G1" s="640"/>
      <c r="H1" s="504" t="s">
        <v>1</v>
      </c>
      <c r="I1" s="505"/>
      <c r="J1" s="200">
        <f ca="1">TODAY()</f>
        <v>46318</v>
      </c>
      <c r="K1" s="236"/>
      <c r="M1" s="644" t="s">
        <v>2</v>
      </c>
      <c r="N1" s="645"/>
      <c r="P1" s="241"/>
    </row>
    <row r="2" spans="1:38" s="99" customFormat="1">
      <c r="A2" s="506" t="s">
        <v>1338</v>
      </c>
      <c r="B2" s="201" t="s">
        <v>1339</v>
      </c>
      <c r="C2" s="506" t="s">
        <v>1340</v>
      </c>
      <c r="D2" s="505" t="s">
        <v>1341</v>
      </c>
      <c r="E2" s="507" t="s">
        <v>357</v>
      </c>
      <c r="F2" s="505" t="s">
        <v>360</v>
      </c>
      <c r="G2" s="508" t="s">
        <v>1342</v>
      </c>
      <c r="H2" s="508" t="s">
        <v>358</v>
      </c>
      <c r="I2" s="508" t="s">
        <v>1343</v>
      </c>
      <c r="J2" s="201" t="s">
        <v>1344</v>
      </c>
      <c r="K2" s="237" t="s">
        <v>1345</v>
      </c>
      <c r="M2" s="642" t="s">
        <v>10</v>
      </c>
      <c r="N2" s="643"/>
      <c r="P2" s="561" t="s">
        <v>362</v>
      </c>
    </row>
    <row r="3" spans="1:38" ht="15.75">
      <c r="A3" s="111" t="s">
        <v>1346</v>
      </c>
      <c r="B3" s="114" t="s">
        <v>1347</v>
      </c>
      <c r="C3" s="267" t="s">
        <v>1348</v>
      </c>
      <c r="D3" s="154">
        <v>0.7</v>
      </c>
      <c r="E3" s="118">
        <v>7600</v>
      </c>
      <c r="F3" s="118"/>
      <c r="G3" s="108">
        <v>46261</v>
      </c>
      <c r="H3" s="117">
        <v>46261</v>
      </c>
      <c r="I3" s="117">
        <v>46261</v>
      </c>
      <c r="J3" s="103" t="s">
        <v>1349</v>
      </c>
      <c r="K3" s="215" t="s">
        <v>1350</v>
      </c>
      <c r="L3" s="14"/>
      <c r="M3" s="122"/>
      <c r="N3" s="122"/>
      <c r="O3" s="14"/>
      <c r="P3" s="195"/>
    </row>
    <row r="4" spans="1:38" ht="19.899999999999999" customHeight="1">
      <c r="A4" s="111" t="s">
        <v>1346</v>
      </c>
      <c r="B4" s="114" t="s">
        <v>1351</v>
      </c>
      <c r="C4" s="267" t="s">
        <v>1348</v>
      </c>
      <c r="D4" s="154">
        <v>0.3</v>
      </c>
      <c r="E4" s="118">
        <v>1400</v>
      </c>
      <c r="F4" s="151" t="s">
        <v>19</v>
      </c>
      <c r="G4" s="108">
        <v>46261</v>
      </c>
      <c r="H4" s="117">
        <v>46269</v>
      </c>
      <c r="I4" s="117">
        <v>46274</v>
      </c>
      <c r="J4" s="111" t="s">
        <v>1352</v>
      </c>
      <c r="K4" s="103" t="s">
        <v>1350</v>
      </c>
      <c r="M4" s="122"/>
      <c r="N4" s="122"/>
      <c r="P4" s="113"/>
    </row>
    <row r="5" spans="1:38" ht="15.75">
      <c r="A5" s="111" t="s">
        <v>1346</v>
      </c>
      <c r="B5" s="128" t="s">
        <v>1353</v>
      </c>
      <c r="C5" s="347" t="s">
        <v>1348</v>
      </c>
      <c r="D5" s="185" t="s">
        <v>1354</v>
      </c>
      <c r="E5" s="174">
        <v>446.23</v>
      </c>
      <c r="F5" s="107"/>
      <c r="G5" s="186">
        <v>46261</v>
      </c>
      <c r="H5" s="184">
        <v>46261</v>
      </c>
      <c r="I5" s="184">
        <v>46261</v>
      </c>
      <c r="J5" s="353" t="s">
        <v>1211</v>
      </c>
      <c r="K5" s="103" t="s">
        <v>1350</v>
      </c>
      <c r="M5" s="122"/>
      <c r="N5" s="122"/>
      <c r="P5" s="113"/>
    </row>
    <row r="6" spans="1:38" ht="15.75">
      <c r="A6" s="111" t="s">
        <v>1346</v>
      </c>
      <c r="B6" s="111" t="s">
        <v>1355</v>
      </c>
      <c r="C6" s="104" t="s">
        <v>1348</v>
      </c>
      <c r="D6" s="154">
        <v>0.7</v>
      </c>
      <c r="E6" s="118">
        <v>6078.94</v>
      </c>
      <c r="F6" s="161">
        <v>-6741.17</v>
      </c>
      <c r="G6" s="108">
        <v>46260</v>
      </c>
      <c r="H6" s="117">
        <v>46261</v>
      </c>
      <c r="I6" s="108">
        <v>46261</v>
      </c>
      <c r="J6" s="112" t="s">
        <v>1356</v>
      </c>
      <c r="K6" s="103" t="s">
        <v>1350</v>
      </c>
      <c r="M6" s="122"/>
      <c r="N6" s="122"/>
      <c r="P6" s="113"/>
    </row>
    <row r="7" spans="1:38" ht="15.75">
      <c r="A7" s="111" t="s">
        <v>1346</v>
      </c>
      <c r="B7" s="111" t="s">
        <v>1357</v>
      </c>
      <c r="C7" s="104" t="s">
        <v>1348</v>
      </c>
      <c r="D7" s="154">
        <v>0.3</v>
      </c>
      <c r="E7" s="118">
        <v>1519.73</v>
      </c>
      <c r="F7" s="151" t="s">
        <v>19</v>
      </c>
      <c r="G7" s="108">
        <v>46260</v>
      </c>
      <c r="H7" s="117">
        <v>46269</v>
      </c>
      <c r="I7" s="117">
        <v>46274</v>
      </c>
      <c r="J7" s="111" t="s">
        <v>1358</v>
      </c>
      <c r="K7" s="103" t="s">
        <v>1350</v>
      </c>
      <c r="M7" s="122"/>
      <c r="N7" s="122"/>
      <c r="P7" s="113"/>
    </row>
    <row r="8" spans="1:38" ht="15.75">
      <c r="A8" s="111" t="s">
        <v>1346</v>
      </c>
      <c r="B8" s="128" t="s">
        <v>1359</v>
      </c>
      <c r="C8" s="279" t="s">
        <v>1348</v>
      </c>
      <c r="D8" s="185" t="s">
        <v>1354</v>
      </c>
      <c r="E8" s="174">
        <v>401.33</v>
      </c>
      <c r="F8" s="108">
        <v>46260</v>
      </c>
      <c r="G8" s="186">
        <v>46260</v>
      </c>
      <c r="H8" s="184">
        <v>46261</v>
      </c>
      <c r="I8" s="186">
        <v>46261</v>
      </c>
      <c r="J8" s="187" t="s">
        <v>1211</v>
      </c>
      <c r="K8" s="103" t="s">
        <v>1350</v>
      </c>
      <c r="L8" s="134"/>
      <c r="M8" s="122"/>
      <c r="N8" s="122"/>
      <c r="P8" s="113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</row>
    <row r="9" spans="1:38" ht="15.75">
      <c r="A9" s="111" t="s">
        <v>1346</v>
      </c>
      <c r="B9" s="111" t="s">
        <v>1360</v>
      </c>
      <c r="C9" s="104" t="s">
        <v>1361</v>
      </c>
      <c r="D9" s="154">
        <v>0.7</v>
      </c>
      <c r="E9" s="118">
        <v>6068.33</v>
      </c>
      <c r="F9" s="151"/>
      <c r="G9" s="108">
        <v>46260</v>
      </c>
      <c r="H9" s="117">
        <v>46260</v>
      </c>
      <c r="I9" s="108">
        <v>46260</v>
      </c>
      <c r="J9" s="103" t="s">
        <v>1362</v>
      </c>
      <c r="K9" s="103" t="s">
        <v>1350</v>
      </c>
      <c r="M9" s="122"/>
      <c r="N9" s="122"/>
      <c r="P9" s="113"/>
    </row>
    <row r="10" spans="1:38" ht="15.75">
      <c r="A10" s="111" t="s">
        <v>1346</v>
      </c>
      <c r="B10" s="111" t="s">
        <v>1363</v>
      </c>
      <c r="C10" s="104" t="s">
        <v>1361</v>
      </c>
      <c r="D10" s="154">
        <v>0.3</v>
      </c>
      <c r="E10" s="118">
        <v>1517.08</v>
      </c>
      <c r="F10" s="151" t="s">
        <v>19</v>
      </c>
      <c r="G10" s="108">
        <v>46260</v>
      </c>
      <c r="H10" s="117">
        <v>46269</v>
      </c>
      <c r="I10" s="117">
        <v>46274</v>
      </c>
      <c r="J10" s="111" t="s">
        <v>1364</v>
      </c>
      <c r="K10" s="103" t="s">
        <v>1350</v>
      </c>
      <c r="M10" s="122"/>
      <c r="N10" s="122"/>
      <c r="P10" s="113"/>
    </row>
    <row r="11" spans="1:38" ht="15.75">
      <c r="A11" s="111" t="s">
        <v>1346</v>
      </c>
      <c r="B11" s="128" t="s">
        <v>1365</v>
      </c>
      <c r="C11" s="279" t="s">
        <v>1361</v>
      </c>
      <c r="D11" s="185" t="s">
        <v>1354</v>
      </c>
      <c r="E11" s="174">
        <v>272.39</v>
      </c>
      <c r="F11" s="141"/>
      <c r="G11" s="186">
        <v>46260</v>
      </c>
      <c r="H11" s="184">
        <v>46260</v>
      </c>
      <c r="I11" s="186">
        <v>46260</v>
      </c>
      <c r="J11" s="187" t="s">
        <v>1211</v>
      </c>
      <c r="K11" s="103" t="s">
        <v>1350</v>
      </c>
      <c r="M11" s="122"/>
      <c r="N11" s="122"/>
      <c r="P11" s="113"/>
    </row>
    <row r="12" spans="1:38" ht="15.75">
      <c r="A12" s="111" t="s">
        <v>1346</v>
      </c>
      <c r="B12" s="111" t="s">
        <v>1366</v>
      </c>
      <c r="C12" s="104" t="s">
        <v>1367</v>
      </c>
      <c r="D12" s="154">
        <v>0.7</v>
      </c>
      <c r="E12" s="118">
        <v>5954.58</v>
      </c>
      <c r="F12" s="151"/>
      <c r="G12" s="108">
        <v>46260</v>
      </c>
      <c r="H12" s="117">
        <v>46260</v>
      </c>
      <c r="I12" s="108">
        <v>46260</v>
      </c>
      <c r="J12" s="103" t="s">
        <v>1368</v>
      </c>
      <c r="K12" s="103" t="s">
        <v>1350</v>
      </c>
      <c r="M12" s="122"/>
      <c r="N12" s="122"/>
      <c r="P12" s="113"/>
    </row>
    <row r="13" spans="1:38" ht="15.75" customHeight="1">
      <c r="A13" s="111" t="s">
        <v>1369</v>
      </c>
      <c r="B13" s="114" t="s">
        <v>1370</v>
      </c>
      <c r="C13" s="267" t="s">
        <v>1371</v>
      </c>
      <c r="D13" s="136"/>
      <c r="E13" s="118">
        <v>10200</v>
      </c>
      <c r="F13" s="117"/>
      <c r="G13" s="117">
        <v>46296</v>
      </c>
      <c r="H13" s="117">
        <v>46296</v>
      </c>
      <c r="I13" s="117">
        <v>46296</v>
      </c>
      <c r="J13" s="267" t="s">
        <v>1372</v>
      </c>
      <c r="K13" s="136"/>
      <c r="L13" s="233"/>
      <c r="M13" s="117"/>
      <c r="N13" s="117"/>
      <c r="O13" s="282"/>
      <c r="P13" s="129"/>
    </row>
    <row r="14" spans="1:38" ht="15.6" customHeight="1">
      <c r="A14" s="111" t="s">
        <v>1346</v>
      </c>
      <c r="B14" s="111" t="s">
        <v>1373</v>
      </c>
      <c r="C14" s="104" t="s">
        <v>1367</v>
      </c>
      <c r="D14" s="154">
        <v>0.3</v>
      </c>
      <c r="E14" s="118">
        <v>1488.64</v>
      </c>
      <c r="F14" s="151" t="s">
        <v>19</v>
      </c>
      <c r="G14" s="108">
        <v>46260</v>
      </c>
      <c r="H14" s="117">
        <v>46269</v>
      </c>
      <c r="I14" s="117">
        <v>46274</v>
      </c>
      <c r="J14" s="111" t="s">
        <v>1374</v>
      </c>
      <c r="K14" s="103" t="s">
        <v>1350</v>
      </c>
      <c r="M14" s="122"/>
      <c r="N14" s="122"/>
      <c r="P14" s="113"/>
    </row>
    <row r="15" spans="1:38" ht="15.75">
      <c r="A15" s="103" t="s">
        <v>1375</v>
      </c>
      <c r="B15" s="104" t="s">
        <v>281</v>
      </c>
      <c r="C15" s="105" t="s">
        <v>285</v>
      </c>
      <c r="D15" s="105">
        <v>94</v>
      </c>
      <c r="E15" s="106">
        <v>5000</v>
      </c>
      <c r="F15" s="107" t="s">
        <v>19</v>
      </c>
      <c r="G15" s="108">
        <v>46171</v>
      </c>
      <c r="H15" s="108">
        <v>46205</v>
      </c>
      <c r="I15" s="108">
        <v>46205</v>
      </c>
      <c r="J15" s="109" t="s">
        <v>1376</v>
      </c>
      <c r="K15" s="113" t="s">
        <v>1377</v>
      </c>
      <c r="L15" s="14"/>
      <c r="M15" s="108"/>
      <c r="N15" s="149"/>
      <c r="O15" s="14"/>
      <c r="P15" s="560"/>
    </row>
    <row r="16" spans="1:38" ht="15.75">
      <c r="A16" s="103" t="s">
        <v>1375</v>
      </c>
      <c r="B16" s="104" t="s">
        <v>281</v>
      </c>
      <c r="C16" s="105" t="s">
        <v>285</v>
      </c>
      <c r="D16" s="105">
        <v>95</v>
      </c>
      <c r="E16" s="106">
        <v>5000</v>
      </c>
      <c r="F16" s="107" t="s">
        <v>19</v>
      </c>
      <c r="G16" s="108">
        <v>46171</v>
      </c>
      <c r="H16" s="108">
        <v>46205</v>
      </c>
      <c r="I16" s="108">
        <v>46205</v>
      </c>
      <c r="J16" s="109" t="s">
        <v>1376</v>
      </c>
      <c r="K16" s="113" t="s">
        <v>1377</v>
      </c>
      <c r="L16" s="14"/>
      <c r="M16" s="108"/>
      <c r="N16" s="149"/>
      <c r="O16" s="14"/>
      <c r="P16" s="560"/>
    </row>
    <row r="17" spans="1:38" ht="15.75">
      <c r="A17" s="103" t="s">
        <v>1375</v>
      </c>
      <c r="B17" s="104" t="s">
        <v>281</v>
      </c>
      <c r="C17" s="105" t="s">
        <v>284</v>
      </c>
      <c r="D17" s="105">
        <v>96</v>
      </c>
      <c r="E17" s="106">
        <v>5000</v>
      </c>
      <c r="F17" s="107" t="s">
        <v>19</v>
      </c>
      <c r="G17" s="108">
        <v>46171</v>
      </c>
      <c r="H17" s="108">
        <v>46205</v>
      </c>
      <c r="I17" s="108">
        <v>46205</v>
      </c>
      <c r="J17" s="109" t="s">
        <v>1376</v>
      </c>
      <c r="K17" s="113" t="s">
        <v>1377</v>
      </c>
      <c r="L17" s="14"/>
      <c r="M17" s="108"/>
      <c r="N17" s="149"/>
      <c r="O17" s="14"/>
      <c r="P17" s="560"/>
    </row>
    <row r="18" spans="1:38" ht="15.75">
      <c r="A18" s="103" t="s">
        <v>1375</v>
      </c>
      <c r="B18" s="104" t="s">
        <v>281</v>
      </c>
      <c r="C18" s="105" t="s">
        <v>284</v>
      </c>
      <c r="D18" s="105">
        <v>97</v>
      </c>
      <c r="E18" s="106">
        <v>5000</v>
      </c>
      <c r="F18" s="107" t="s">
        <v>19</v>
      </c>
      <c r="G18" s="108">
        <v>46171</v>
      </c>
      <c r="H18" s="108">
        <v>46205</v>
      </c>
      <c r="I18" s="108">
        <v>46205</v>
      </c>
      <c r="J18" s="109" t="s">
        <v>1376</v>
      </c>
      <c r="K18" s="113" t="s">
        <v>1377</v>
      </c>
      <c r="L18" s="14"/>
      <c r="M18" s="108"/>
      <c r="N18" s="149"/>
      <c r="O18" s="14"/>
      <c r="P18" s="560"/>
    </row>
    <row r="19" spans="1:38" ht="15.75">
      <c r="A19" s="111" t="s">
        <v>1346</v>
      </c>
      <c r="B19" s="128" t="s">
        <v>1378</v>
      </c>
      <c r="C19" s="279" t="s">
        <v>1367</v>
      </c>
      <c r="D19" s="185" t="s">
        <v>1354</v>
      </c>
      <c r="E19" s="174">
        <v>397.25</v>
      </c>
      <c r="F19" s="151"/>
      <c r="G19" s="186">
        <v>46260</v>
      </c>
      <c r="H19" s="184">
        <v>46260</v>
      </c>
      <c r="I19" s="184">
        <v>46260</v>
      </c>
      <c r="J19" s="187" t="s">
        <v>1211</v>
      </c>
      <c r="K19" s="103" t="s">
        <v>1350</v>
      </c>
      <c r="M19" s="122"/>
      <c r="N19" s="122"/>
      <c r="P19" s="113"/>
    </row>
    <row r="20" spans="1:38" ht="15.75">
      <c r="A20" s="111" t="s">
        <v>1346</v>
      </c>
      <c r="B20" s="111" t="s">
        <v>1379</v>
      </c>
      <c r="C20" s="104" t="s">
        <v>1371</v>
      </c>
      <c r="D20" s="154">
        <v>0.3</v>
      </c>
      <c r="E20" s="118">
        <v>1500</v>
      </c>
      <c r="F20" s="151" t="s">
        <v>19</v>
      </c>
      <c r="G20" s="108">
        <v>46260</v>
      </c>
      <c r="H20" s="117">
        <v>46282</v>
      </c>
      <c r="I20" s="117">
        <v>46283</v>
      </c>
      <c r="J20" s="103"/>
      <c r="K20" s="103" t="s">
        <v>1350</v>
      </c>
      <c r="L20" s="14"/>
      <c r="M20" s="108"/>
      <c r="N20" s="149"/>
      <c r="O20" s="14"/>
      <c r="P20" s="560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spans="1:38" ht="15.75">
      <c r="A21" s="103" t="s">
        <v>1375</v>
      </c>
      <c r="B21" s="104" t="s">
        <v>281</v>
      </c>
      <c r="C21" s="105" t="s">
        <v>282</v>
      </c>
      <c r="D21" s="105">
        <v>98</v>
      </c>
      <c r="E21" s="106">
        <v>5000</v>
      </c>
      <c r="F21" s="107" t="s">
        <v>19</v>
      </c>
      <c r="G21" s="108">
        <v>46171</v>
      </c>
      <c r="H21" s="108">
        <v>46205</v>
      </c>
      <c r="I21" s="108">
        <v>46205</v>
      </c>
      <c r="J21" s="109" t="s">
        <v>1376</v>
      </c>
      <c r="K21" s="113" t="s">
        <v>1377</v>
      </c>
      <c r="L21" s="14"/>
      <c r="M21" s="108"/>
      <c r="N21" s="149"/>
      <c r="O21" s="14"/>
      <c r="P21" s="560"/>
    </row>
    <row r="22" spans="1:38" ht="15.75">
      <c r="A22" s="103" t="s">
        <v>1375</v>
      </c>
      <c r="B22" s="104" t="s">
        <v>281</v>
      </c>
      <c r="C22" s="105" t="s">
        <v>282</v>
      </c>
      <c r="D22" s="105">
        <v>99</v>
      </c>
      <c r="E22" s="106">
        <v>5000</v>
      </c>
      <c r="F22" s="107" t="s">
        <v>19</v>
      </c>
      <c r="G22" s="108">
        <v>46171</v>
      </c>
      <c r="H22" s="108">
        <v>46205</v>
      </c>
      <c r="I22" s="108">
        <v>46205</v>
      </c>
      <c r="J22" s="109" t="s">
        <v>1376</v>
      </c>
      <c r="K22" s="113" t="s">
        <v>1377</v>
      </c>
      <c r="L22" s="14"/>
      <c r="M22" s="108"/>
      <c r="N22" s="149"/>
      <c r="O22" s="14"/>
      <c r="P22" s="560"/>
    </row>
    <row r="23" spans="1:38" ht="15.75">
      <c r="A23" s="111" t="s">
        <v>1346</v>
      </c>
      <c r="B23" s="111" t="s">
        <v>1380</v>
      </c>
      <c r="C23" s="104" t="s">
        <v>1371</v>
      </c>
      <c r="D23" s="154">
        <v>0.7</v>
      </c>
      <c r="E23" s="174">
        <v>1000</v>
      </c>
      <c r="F23" s="151"/>
      <c r="G23" s="108">
        <v>46260</v>
      </c>
      <c r="H23" s="117">
        <v>46282</v>
      </c>
      <c r="I23" s="180" t="s">
        <v>1381</v>
      </c>
      <c r="J23" s="111"/>
      <c r="K23" s="103" t="s">
        <v>1350</v>
      </c>
      <c r="M23" s="122"/>
      <c r="N23" s="122"/>
      <c r="P23" s="113"/>
    </row>
    <row r="24" spans="1:38" ht="15.75">
      <c r="A24" s="103" t="s">
        <v>1375</v>
      </c>
      <c r="B24" s="104" t="s">
        <v>281</v>
      </c>
      <c r="C24" s="105" t="s">
        <v>286</v>
      </c>
      <c r="D24" s="105">
        <v>102</v>
      </c>
      <c r="E24" s="110">
        <v>5700</v>
      </c>
      <c r="F24" s="107" t="s">
        <v>19</v>
      </c>
      <c r="G24" s="108">
        <v>46175</v>
      </c>
      <c r="H24" s="108">
        <v>46205</v>
      </c>
      <c r="I24" s="108">
        <v>46205</v>
      </c>
      <c r="J24" s="109" t="s">
        <v>1382</v>
      </c>
      <c r="K24" s="113" t="s">
        <v>1377</v>
      </c>
      <c r="L24" s="14"/>
      <c r="M24" s="108"/>
      <c r="N24" s="149"/>
      <c r="O24" s="14"/>
      <c r="P24" s="560"/>
    </row>
    <row r="25" spans="1:38" ht="15.75">
      <c r="A25" s="111" t="s">
        <v>1346</v>
      </c>
      <c r="B25" s="111" t="s">
        <v>1380</v>
      </c>
      <c r="C25" s="104" t="s">
        <v>1371</v>
      </c>
      <c r="D25" s="154">
        <v>0.7</v>
      </c>
      <c r="E25" s="118">
        <v>2500</v>
      </c>
      <c r="F25" s="151" t="s">
        <v>19</v>
      </c>
      <c r="G25" s="108">
        <v>46260</v>
      </c>
      <c r="H25" s="117">
        <v>46290</v>
      </c>
      <c r="I25" s="117">
        <v>46290</v>
      </c>
      <c r="J25" s="103"/>
      <c r="K25" s="103" t="s">
        <v>1350</v>
      </c>
      <c r="L25" s="14"/>
      <c r="M25" s="108"/>
      <c r="N25" s="149"/>
      <c r="O25" s="14"/>
      <c r="P25" s="560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spans="1:38" ht="15.75">
      <c r="A26" s="111" t="s">
        <v>1346</v>
      </c>
      <c r="B26" s="114" t="s">
        <v>1383</v>
      </c>
      <c r="C26" s="267" t="s">
        <v>1384</v>
      </c>
      <c r="D26" s="177" t="s">
        <v>1385</v>
      </c>
      <c r="E26" s="118">
        <v>300</v>
      </c>
      <c r="F26" s="151"/>
      <c r="G26" s="180">
        <v>46281</v>
      </c>
      <c r="H26" s="180">
        <f>G26+5</f>
        <v>46286</v>
      </c>
      <c r="I26" s="117" t="s">
        <v>1386</v>
      </c>
      <c r="J26" s="103"/>
      <c r="K26" s="103" t="s">
        <v>1350</v>
      </c>
      <c r="M26" s="108"/>
      <c r="N26" s="149"/>
      <c r="O26" s="14"/>
      <c r="P26" s="560"/>
    </row>
    <row r="27" spans="1:38" ht="15.75">
      <c r="A27" s="111" t="s">
        <v>1346</v>
      </c>
      <c r="B27" s="111" t="s">
        <v>1387</v>
      </c>
      <c r="C27" s="104" t="s">
        <v>1361</v>
      </c>
      <c r="D27" s="154">
        <v>0.7</v>
      </c>
      <c r="E27" s="118">
        <v>5460</v>
      </c>
      <c r="F27" s="151" t="s">
        <v>19</v>
      </c>
      <c r="G27" s="152">
        <v>46261</v>
      </c>
      <c r="H27" s="117">
        <v>46262</v>
      </c>
      <c r="I27" s="108">
        <v>46262</v>
      </c>
      <c r="J27" s="111" t="s">
        <v>1388</v>
      </c>
      <c r="K27" s="103" t="s">
        <v>1350</v>
      </c>
      <c r="L27" s="14"/>
      <c r="M27" s="108"/>
      <c r="N27" s="149"/>
      <c r="O27" s="14"/>
      <c r="P27" s="560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spans="1:38" ht="15.75">
      <c r="A28" s="111" t="s">
        <v>1346</v>
      </c>
      <c r="B28" s="111" t="s">
        <v>1389</v>
      </c>
      <c r="C28" s="104" t="s">
        <v>1361</v>
      </c>
      <c r="D28" s="154">
        <v>0.3</v>
      </c>
      <c r="E28" s="118">
        <v>2340</v>
      </c>
      <c r="F28" s="151" t="s">
        <v>19</v>
      </c>
      <c r="G28" s="117">
        <v>46265</v>
      </c>
      <c r="H28" s="180">
        <v>46293</v>
      </c>
      <c r="I28" s="180">
        <v>46282</v>
      </c>
      <c r="J28" s="111"/>
      <c r="K28" s="103" t="s">
        <v>1350</v>
      </c>
      <c r="L28" s="197"/>
      <c r="M28" s="119"/>
      <c r="N28" s="154"/>
      <c r="O28" s="233"/>
      <c r="P28" s="117"/>
    </row>
    <row r="29" spans="1:38" ht="15.75">
      <c r="A29" s="111" t="s">
        <v>1346</v>
      </c>
      <c r="B29" s="111" t="s">
        <v>1390</v>
      </c>
      <c r="C29" s="104" t="s">
        <v>1371</v>
      </c>
      <c r="D29" s="154">
        <v>0.7</v>
      </c>
      <c r="E29" s="118">
        <v>4460</v>
      </c>
      <c r="F29" s="151" t="s">
        <v>19</v>
      </c>
      <c r="G29" s="152">
        <v>46262</v>
      </c>
      <c r="H29" s="117">
        <v>46265</v>
      </c>
      <c r="I29" s="117">
        <v>46265</v>
      </c>
      <c r="J29" s="187" t="s">
        <v>1391</v>
      </c>
      <c r="K29" s="103" t="s">
        <v>1350</v>
      </c>
      <c r="M29" s="122"/>
      <c r="N29" s="122"/>
      <c r="P29" s="113"/>
    </row>
    <row r="30" spans="1:38" ht="15.75">
      <c r="A30" s="111" t="s">
        <v>1346</v>
      </c>
      <c r="B30" s="111" t="s">
        <v>1392</v>
      </c>
      <c r="C30" s="104" t="s">
        <v>1371</v>
      </c>
      <c r="D30" s="154">
        <v>0.3</v>
      </c>
      <c r="E30" s="118">
        <v>1245</v>
      </c>
      <c r="F30" s="151" t="s">
        <v>19</v>
      </c>
      <c r="G30" s="180">
        <v>46293</v>
      </c>
      <c r="H30" s="180">
        <v>46293</v>
      </c>
      <c r="I30" s="184">
        <v>46294</v>
      </c>
      <c r="J30" s="103" t="s">
        <v>1393</v>
      </c>
      <c r="K30" s="103" t="s">
        <v>1350</v>
      </c>
      <c r="M30" s="108"/>
      <c r="N30" s="149"/>
      <c r="O30" s="14"/>
      <c r="P30" s="560"/>
    </row>
    <row r="31" spans="1:38" ht="15.75">
      <c r="A31" s="111" t="s">
        <v>1346</v>
      </c>
      <c r="B31" s="111" t="s">
        <v>1392</v>
      </c>
      <c r="C31" s="104" t="s">
        <v>1371</v>
      </c>
      <c r="D31" s="154">
        <v>0.3</v>
      </c>
      <c r="E31" s="174">
        <v>1095</v>
      </c>
      <c r="F31" s="118"/>
      <c r="G31" s="180">
        <v>46293</v>
      </c>
      <c r="H31" s="180">
        <v>46293</v>
      </c>
      <c r="I31" s="180" t="s">
        <v>1381</v>
      </c>
      <c r="J31" s="103"/>
      <c r="K31" s="103" t="s">
        <v>1350</v>
      </c>
      <c r="M31" s="108"/>
      <c r="N31" s="149"/>
      <c r="O31" s="14"/>
      <c r="P31" s="560"/>
    </row>
    <row r="32" spans="1:38" ht="15.75">
      <c r="A32" s="111" t="s">
        <v>1346</v>
      </c>
      <c r="B32" s="111" t="s">
        <v>1394</v>
      </c>
      <c r="C32" s="104" t="s">
        <v>1371</v>
      </c>
      <c r="D32" s="154">
        <v>0.7</v>
      </c>
      <c r="E32" s="118">
        <v>3500</v>
      </c>
      <c r="F32" s="151" t="s">
        <v>19</v>
      </c>
      <c r="G32" s="152">
        <v>46267</v>
      </c>
      <c r="H32" s="152">
        <v>46269</v>
      </c>
      <c r="I32" s="117">
        <v>46267</v>
      </c>
      <c r="J32" s="103"/>
      <c r="K32" s="103" t="s">
        <v>1350</v>
      </c>
      <c r="M32" s="122"/>
      <c r="N32" s="122"/>
      <c r="P32" s="113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</row>
    <row r="33" spans="1:16" ht="15.75">
      <c r="A33" s="111" t="s">
        <v>1346</v>
      </c>
      <c r="B33" s="111" t="s">
        <v>1395</v>
      </c>
      <c r="C33" s="104" t="s">
        <v>1371</v>
      </c>
      <c r="D33" s="154">
        <v>0.3</v>
      </c>
      <c r="E33" s="174">
        <v>1700</v>
      </c>
      <c r="F33" s="152"/>
      <c r="G33" s="180">
        <v>46269</v>
      </c>
      <c r="H33" s="180">
        <v>46293</v>
      </c>
      <c r="I33" s="180" t="s">
        <v>1381</v>
      </c>
      <c r="J33" s="223"/>
      <c r="K33" s="103" t="s">
        <v>1350</v>
      </c>
      <c r="L33" s="281"/>
      <c r="M33" s="149"/>
      <c r="N33" s="111"/>
      <c r="O33" s="197"/>
      <c r="P33" s="119"/>
    </row>
    <row r="34" spans="1:16" ht="15.75">
      <c r="A34" s="103" t="s">
        <v>1375</v>
      </c>
      <c r="B34" s="104" t="s">
        <v>281</v>
      </c>
      <c r="C34" s="105" t="s">
        <v>288</v>
      </c>
      <c r="D34" s="105">
        <v>103</v>
      </c>
      <c r="E34" s="106">
        <v>5000</v>
      </c>
      <c r="F34" s="107" t="s">
        <v>19</v>
      </c>
      <c r="G34" s="108">
        <v>46185</v>
      </c>
      <c r="H34" s="108">
        <f>G34+20</f>
        <v>46205</v>
      </c>
      <c r="I34" s="108">
        <v>46205</v>
      </c>
      <c r="J34" s="109" t="s">
        <v>1396</v>
      </c>
      <c r="K34" s="113" t="s">
        <v>1377</v>
      </c>
      <c r="L34" s="14"/>
      <c r="M34" s="108"/>
      <c r="N34" s="149"/>
      <c r="O34" s="14"/>
      <c r="P34" s="560"/>
    </row>
    <row r="35" spans="1:16" ht="15.75">
      <c r="A35" s="111" t="s">
        <v>1346</v>
      </c>
      <c r="B35" s="111" t="s">
        <v>1397</v>
      </c>
      <c r="C35" s="104" t="s">
        <v>1361</v>
      </c>
      <c r="D35" s="105" t="s">
        <v>1398</v>
      </c>
      <c r="E35" s="118">
        <v>3500</v>
      </c>
      <c r="F35" s="151" t="s">
        <v>19</v>
      </c>
      <c r="G35" s="108">
        <v>46266</v>
      </c>
      <c r="H35" s="117">
        <v>46266</v>
      </c>
      <c r="I35" s="117">
        <v>46266</v>
      </c>
      <c r="J35" s="103"/>
      <c r="K35" s="103" t="s">
        <v>1350</v>
      </c>
      <c r="M35" s="122"/>
      <c r="N35" s="122"/>
      <c r="P35" s="113"/>
    </row>
    <row r="36" spans="1:16" ht="15.75">
      <c r="A36" s="111" t="s">
        <v>1346</v>
      </c>
      <c r="B36" s="111" t="s">
        <v>1399</v>
      </c>
      <c r="C36" s="104" t="s">
        <v>1361</v>
      </c>
      <c r="D36" s="105" t="s">
        <v>1398</v>
      </c>
      <c r="E36" s="174">
        <v>1700</v>
      </c>
      <c r="F36" s="118"/>
      <c r="G36" s="108">
        <v>46266</v>
      </c>
      <c r="H36" s="180">
        <v>46293</v>
      </c>
      <c r="I36" s="180" t="s">
        <v>1381</v>
      </c>
      <c r="J36" s="103"/>
      <c r="K36" s="103" t="s">
        <v>1350</v>
      </c>
      <c r="M36" s="108"/>
      <c r="N36" s="149"/>
      <c r="O36" s="14"/>
      <c r="P36" s="560"/>
    </row>
    <row r="37" spans="1:16" ht="15.75">
      <c r="A37" s="111" t="s">
        <v>1346</v>
      </c>
      <c r="B37" s="114" t="s">
        <v>1400</v>
      </c>
      <c r="C37" s="267" t="s">
        <v>1371</v>
      </c>
      <c r="D37" s="154">
        <v>0.7</v>
      </c>
      <c r="E37" s="118">
        <f>6000*70%</f>
        <v>4200</v>
      </c>
      <c r="F37" s="151" t="s">
        <v>19</v>
      </c>
      <c r="G37" s="108">
        <v>46269</v>
      </c>
      <c r="H37" s="117">
        <v>46269</v>
      </c>
      <c r="I37" s="117">
        <v>46269</v>
      </c>
      <c r="J37" s="112"/>
      <c r="K37" s="103" t="s">
        <v>1350</v>
      </c>
      <c r="M37" s="122"/>
      <c r="N37" s="122"/>
      <c r="P37" s="113"/>
    </row>
    <row r="38" spans="1:16" ht="15.75">
      <c r="A38" s="111" t="s">
        <v>1346</v>
      </c>
      <c r="B38" s="114" t="s">
        <v>1401</v>
      </c>
      <c r="C38" s="267" t="s">
        <v>1371</v>
      </c>
      <c r="D38" s="177">
        <v>0.3</v>
      </c>
      <c r="E38" s="174">
        <f>6000*30%</f>
        <v>1800</v>
      </c>
      <c r="F38" s="118"/>
      <c r="G38" s="108">
        <v>46269</v>
      </c>
      <c r="H38" s="180">
        <v>46293</v>
      </c>
      <c r="I38" s="180" t="s">
        <v>1381</v>
      </c>
      <c r="J38" s="112"/>
      <c r="K38" s="103" t="s">
        <v>1350</v>
      </c>
      <c r="M38" s="108"/>
      <c r="N38" s="149"/>
      <c r="O38" s="14"/>
      <c r="P38" s="560"/>
    </row>
    <row r="39" spans="1:16" ht="15.75">
      <c r="A39" s="128" t="s">
        <v>1402</v>
      </c>
      <c r="B39" s="128" t="s">
        <v>1403</v>
      </c>
      <c r="C39" s="173" t="s">
        <v>1348</v>
      </c>
      <c r="D39" s="183">
        <v>501</v>
      </c>
      <c r="E39" s="174">
        <v>3560.5</v>
      </c>
      <c r="F39" s="180"/>
      <c r="G39" s="180">
        <v>46293</v>
      </c>
      <c r="H39" s="184">
        <v>46293</v>
      </c>
      <c r="I39" s="184" t="s">
        <v>1386</v>
      </c>
      <c r="J39" s="128" t="s">
        <v>1404</v>
      </c>
      <c r="K39" s="113" t="s">
        <v>1405</v>
      </c>
      <c r="L39" s="216"/>
      <c r="M39" s="135"/>
      <c r="N39" s="121"/>
      <c r="O39" s="283"/>
      <c r="P39" s="286"/>
    </row>
    <row r="40" spans="1:16" ht="15.75">
      <c r="A40" s="111" t="s">
        <v>1346</v>
      </c>
      <c r="B40" s="111" t="s">
        <v>1406</v>
      </c>
      <c r="C40" s="104" t="s">
        <v>1384</v>
      </c>
      <c r="D40" s="154">
        <v>0.7</v>
      </c>
      <c r="E40" s="118">
        <v>3640</v>
      </c>
      <c r="F40" s="151" t="s">
        <v>19</v>
      </c>
      <c r="G40" s="180">
        <v>46281</v>
      </c>
      <c r="H40" s="180">
        <f>G40+5</f>
        <v>46286</v>
      </c>
      <c r="I40" s="180">
        <v>46281</v>
      </c>
      <c r="J40" s="158" t="s">
        <v>1407</v>
      </c>
      <c r="K40" s="111" t="s">
        <v>1346</v>
      </c>
      <c r="L40" s="197"/>
      <c r="M40" s="119"/>
      <c r="N40" s="154"/>
      <c r="O40" s="233"/>
      <c r="P40" s="117"/>
    </row>
    <row r="41" spans="1:16" ht="15.75">
      <c r="A41" s="111" t="s">
        <v>1408</v>
      </c>
      <c r="B41" s="114" t="s">
        <v>1409</v>
      </c>
      <c r="C41" s="267"/>
      <c r="D41" s="136"/>
      <c r="E41" s="118">
        <v>6000</v>
      </c>
      <c r="F41" s="151" t="s">
        <v>19</v>
      </c>
      <c r="G41" s="180">
        <v>46300</v>
      </c>
      <c r="H41" s="180">
        <v>46300</v>
      </c>
      <c r="I41" s="180">
        <v>46300</v>
      </c>
      <c r="J41" s="113"/>
      <c r="K41" s="111"/>
      <c r="L41" s="198"/>
      <c r="M41" s="136"/>
      <c r="N41" s="136"/>
      <c r="O41" s="233"/>
      <c r="P41" s="117"/>
    </row>
    <row r="42" spans="1:16" ht="15.75">
      <c r="A42" s="111" t="s">
        <v>1410</v>
      </c>
      <c r="B42" s="114" t="s">
        <v>1411</v>
      </c>
      <c r="C42" s="136" t="s">
        <v>1412</v>
      </c>
      <c r="D42" s="136">
        <v>438</v>
      </c>
      <c r="E42" s="118">
        <v>32000</v>
      </c>
      <c r="F42" s="151" t="s">
        <v>19</v>
      </c>
      <c r="G42" s="180">
        <v>46275</v>
      </c>
      <c r="H42" s="117">
        <v>46297</v>
      </c>
      <c r="I42" s="117">
        <v>46301</v>
      </c>
      <c r="J42" s="108"/>
      <c r="K42" s="180"/>
      <c r="L42" s="282"/>
      <c r="M42" s="122"/>
      <c r="N42" s="122"/>
      <c r="P42" s="113"/>
    </row>
    <row r="43" spans="1:16" ht="15.75">
      <c r="A43" s="111" t="s">
        <v>1413</v>
      </c>
      <c r="B43" s="114" t="s">
        <v>1414</v>
      </c>
      <c r="C43" s="136"/>
      <c r="D43" s="136"/>
      <c r="E43" s="118">
        <v>500</v>
      </c>
      <c r="F43" s="151" t="s">
        <v>19</v>
      </c>
      <c r="G43" s="117">
        <v>46301</v>
      </c>
      <c r="H43" s="117">
        <v>46301</v>
      </c>
      <c r="I43" s="108">
        <v>46301</v>
      </c>
      <c r="J43" s="108"/>
      <c r="K43" s="118"/>
      <c r="M43" s="113"/>
      <c r="N43" s="154"/>
      <c r="P43" s="180"/>
    </row>
    <row r="44" spans="1:16" ht="15.75">
      <c r="A44" s="103" t="s">
        <v>1375</v>
      </c>
      <c r="B44" s="104" t="s">
        <v>281</v>
      </c>
      <c r="C44" s="105" t="s">
        <v>288</v>
      </c>
      <c r="D44" s="105">
        <v>104</v>
      </c>
      <c r="E44" s="106">
        <v>5000</v>
      </c>
      <c r="F44" s="107" t="s">
        <v>19</v>
      </c>
      <c r="G44" s="108">
        <v>46185</v>
      </c>
      <c r="H44" s="108">
        <f t="shared" ref="H44:H81" si="0">G44+20</f>
        <v>46205</v>
      </c>
      <c r="I44" s="108">
        <v>46205</v>
      </c>
      <c r="J44" s="109" t="s">
        <v>1396</v>
      </c>
      <c r="K44" s="113" t="s">
        <v>1377</v>
      </c>
      <c r="L44" s="14"/>
      <c r="M44" s="108"/>
      <c r="N44" s="149"/>
      <c r="O44" s="14"/>
      <c r="P44" s="560"/>
    </row>
    <row r="45" spans="1:16" ht="15.75">
      <c r="A45" s="103" t="s">
        <v>1375</v>
      </c>
      <c r="B45" s="104" t="s">
        <v>281</v>
      </c>
      <c r="C45" s="105" t="s">
        <v>284</v>
      </c>
      <c r="D45" s="105">
        <v>107</v>
      </c>
      <c r="E45" s="106">
        <v>5000</v>
      </c>
      <c r="F45" s="107" t="s">
        <v>19</v>
      </c>
      <c r="G45" s="108">
        <v>46185</v>
      </c>
      <c r="H45" s="108">
        <f t="shared" si="0"/>
        <v>46205</v>
      </c>
      <c r="I45" s="108">
        <v>46205</v>
      </c>
      <c r="J45" s="109" t="s">
        <v>1396</v>
      </c>
      <c r="K45" s="113" t="s">
        <v>1377</v>
      </c>
      <c r="L45" s="14"/>
      <c r="M45" s="108"/>
      <c r="N45" s="149"/>
      <c r="O45" s="14"/>
      <c r="P45" s="560"/>
    </row>
    <row r="46" spans="1:16" ht="15.75">
      <c r="A46" s="103" t="s">
        <v>1375</v>
      </c>
      <c r="B46" s="104" t="s">
        <v>281</v>
      </c>
      <c r="C46" s="105" t="s">
        <v>284</v>
      </c>
      <c r="D46" s="105">
        <v>108</v>
      </c>
      <c r="E46" s="106">
        <v>5000</v>
      </c>
      <c r="F46" s="107" t="s">
        <v>19</v>
      </c>
      <c r="G46" s="108">
        <v>46185</v>
      </c>
      <c r="H46" s="108">
        <f t="shared" si="0"/>
        <v>46205</v>
      </c>
      <c r="I46" s="108">
        <v>46205</v>
      </c>
      <c r="J46" s="109" t="s">
        <v>1415</v>
      </c>
      <c r="K46" s="113" t="s">
        <v>1377</v>
      </c>
      <c r="L46" s="14"/>
      <c r="M46" s="108"/>
      <c r="N46" s="149"/>
      <c r="O46" s="14"/>
      <c r="P46" s="560"/>
    </row>
    <row r="47" spans="1:16" ht="15.75">
      <c r="A47" s="103" t="s">
        <v>1375</v>
      </c>
      <c r="B47" s="104" t="s">
        <v>281</v>
      </c>
      <c r="C47" s="105" t="s">
        <v>290</v>
      </c>
      <c r="D47" s="105">
        <v>109</v>
      </c>
      <c r="E47" s="106">
        <v>5000</v>
      </c>
      <c r="F47" s="107" t="s">
        <v>19</v>
      </c>
      <c r="G47" s="108">
        <v>46185</v>
      </c>
      <c r="H47" s="108">
        <f t="shared" si="0"/>
        <v>46205</v>
      </c>
      <c r="I47" s="108">
        <v>46205</v>
      </c>
      <c r="J47" s="109" t="s">
        <v>1396</v>
      </c>
      <c r="K47" s="113" t="s">
        <v>1377</v>
      </c>
      <c r="L47" s="14"/>
      <c r="M47" s="108"/>
      <c r="N47" s="149"/>
      <c r="O47" s="14"/>
      <c r="P47" s="560"/>
    </row>
    <row r="48" spans="1:16" ht="15.75">
      <c r="A48" s="103" t="s">
        <v>1375</v>
      </c>
      <c r="B48" s="104" t="s">
        <v>281</v>
      </c>
      <c r="C48" s="105" t="s">
        <v>290</v>
      </c>
      <c r="D48" s="105">
        <v>110</v>
      </c>
      <c r="E48" s="106">
        <v>5000</v>
      </c>
      <c r="F48" s="107" t="s">
        <v>19</v>
      </c>
      <c r="G48" s="108">
        <v>46185</v>
      </c>
      <c r="H48" s="108">
        <f t="shared" si="0"/>
        <v>46205</v>
      </c>
      <c r="I48" s="108">
        <v>46205</v>
      </c>
      <c r="J48" s="109" t="s">
        <v>1396</v>
      </c>
      <c r="K48" s="113" t="s">
        <v>1377</v>
      </c>
      <c r="L48" s="14"/>
      <c r="M48" s="108"/>
      <c r="N48" s="149"/>
      <c r="O48" s="14"/>
      <c r="P48" s="560"/>
    </row>
    <row r="49" spans="1:16" ht="15.75">
      <c r="A49" s="103" t="s">
        <v>1375</v>
      </c>
      <c r="B49" s="104" t="s">
        <v>281</v>
      </c>
      <c r="C49" s="105" t="s">
        <v>292</v>
      </c>
      <c r="D49" s="105">
        <v>111</v>
      </c>
      <c r="E49" s="106">
        <v>5000</v>
      </c>
      <c r="F49" s="107" t="s">
        <v>19</v>
      </c>
      <c r="G49" s="108">
        <v>46185</v>
      </c>
      <c r="H49" s="108">
        <f t="shared" si="0"/>
        <v>46205</v>
      </c>
      <c r="I49" s="108">
        <v>46205</v>
      </c>
      <c r="J49" s="109" t="s">
        <v>1415</v>
      </c>
      <c r="K49" s="113" t="s">
        <v>1377</v>
      </c>
      <c r="L49" s="14"/>
      <c r="M49" s="108"/>
      <c r="N49" s="149"/>
      <c r="O49" s="14"/>
      <c r="P49" s="560"/>
    </row>
    <row r="50" spans="1:16" ht="15.75">
      <c r="A50" s="103" t="s">
        <v>1375</v>
      </c>
      <c r="B50" s="104" t="s">
        <v>281</v>
      </c>
      <c r="C50" s="105" t="s">
        <v>293</v>
      </c>
      <c r="D50" s="105">
        <v>112</v>
      </c>
      <c r="E50" s="106">
        <v>5000</v>
      </c>
      <c r="F50" s="107" t="s">
        <v>19</v>
      </c>
      <c r="G50" s="108">
        <v>46185</v>
      </c>
      <c r="H50" s="108">
        <f t="shared" si="0"/>
        <v>46205</v>
      </c>
      <c r="I50" s="108">
        <v>46205</v>
      </c>
      <c r="J50" s="109" t="s">
        <v>1415</v>
      </c>
      <c r="K50" s="113" t="s">
        <v>1377</v>
      </c>
      <c r="L50" s="14"/>
      <c r="M50" s="108"/>
      <c r="N50" s="149"/>
      <c r="O50" s="14"/>
      <c r="P50" s="560"/>
    </row>
    <row r="51" spans="1:16" ht="15.75">
      <c r="A51" s="103" t="s">
        <v>1375</v>
      </c>
      <c r="B51" s="104" t="s">
        <v>281</v>
      </c>
      <c r="C51" s="105" t="s">
        <v>295</v>
      </c>
      <c r="D51" s="105">
        <v>113</v>
      </c>
      <c r="E51" s="106">
        <v>5000</v>
      </c>
      <c r="F51" s="107" t="s">
        <v>19</v>
      </c>
      <c r="G51" s="108">
        <v>46185</v>
      </c>
      <c r="H51" s="108">
        <f t="shared" si="0"/>
        <v>46205</v>
      </c>
      <c r="I51" s="108">
        <v>46205</v>
      </c>
      <c r="J51" s="109" t="s">
        <v>1416</v>
      </c>
      <c r="K51" s="113" t="s">
        <v>1377</v>
      </c>
      <c r="L51" s="14"/>
      <c r="M51" s="108"/>
      <c r="N51" s="149"/>
      <c r="O51" s="14"/>
      <c r="P51" s="560"/>
    </row>
    <row r="52" spans="1:16" ht="15.75">
      <c r="A52" s="103" t="s">
        <v>1375</v>
      </c>
      <c r="B52" s="104" t="s">
        <v>281</v>
      </c>
      <c r="C52" s="105" t="s">
        <v>295</v>
      </c>
      <c r="D52" s="105">
        <v>114</v>
      </c>
      <c r="E52" s="106">
        <v>5000</v>
      </c>
      <c r="F52" s="107" t="s">
        <v>19</v>
      </c>
      <c r="G52" s="108">
        <v>46185</v>
      </c>
      <c r="H52" s="108">
        <f t="shared" si="0"/>
        <v>46205</v>
      </c>
      <c r="I52" s="108">
        <v>46205</v>
      </c>
      <c r="J52" s="109" t="s">
        <v>1416</v>
      </c>
      <c r="K52" s="113" t="s">
        <v>1377</v>
      </c>
      <c r="L52" s="14"/>
      <c r="M52" s="108"/>
      <c r="N52" s="149"/>
      <c r="O52" s="14"/>
      <c r="P52" s="560"/>
    </row>
    <row r="53" spans="1:16" ht="15.75">
      <c r="A53" s="103" t="s">
        <v>1375</v>
      </c>
      <c r="B53" s="104" t="s">
        <v>281</v>
      </c>
      <c r="C53" s="105" t="s">
        <v>297</v>
      </c>
      <c r="D53" s="105">
        <v>115</v>
      </c>
      <c r="E53" s="106">
        <v>5000</v>
      </c>
      <c r="F53" s="107" t="s">
        <v>19</v>
      </c>
      <c r="G53" s="108">
        <v>46185</v>
      </c>
      <c r="H53" s="108">
        <f t="shared" si="0"/>
        <v>46205</v>
      </c>
      <c r="I53" s="108">
        <v>46205</v>
      </c>
      <c r="J53" s="109" t="s">
        <v>1416</v>
      </c>
      <c r="K53" s="113" t="s">
        <v>1377</v>
      </c>
      <c r="L53" s="14"/>
      <c r="M53" s="108"/>
      <c r="N53" s="149"/>
      <c r="O53" s="14"/>
      <c r="P53" s="560"/>
    </row>
    <row r="54" spans="1:16" ht="15.75">
      <c r="A54" s="103" t="s">
        <v>1375</v>
      </c>
      <c r="B54" s="104" t="s">
        <v>281</v>
      </c>
      <c r="C54" s="105" t="s">
        <v>297</v>
      </c>
      <c r="D54" s="105">
        <v>116</v>
      </c>
      <c r="E54" s="106">
        <v>5000</v>
      </c>
      <c r="F54" s="107" t="s">
        <v>19</v>
      </c>
      <c r="G54" s="108">
        <v>46185</v>
      </c>
      <c r="H54" s="108">
        <f t="shared" si="0"/>
        <v>46205</v>
      </c>
      <c r="I54" s="108">
        <v>46205</v>
      </c>
      <c r="J54" s="109" t="s">
        <v>1416</v>
      </c>
      <c r="K54" s="113" t="s">
        <v>1377</v>
      </c>
      <c r="L54" s="14"/>
      <c r="M54" s="108"/>
      <c r="N54" s="149"/>
      <c r="O54" s="14"/>
      <c r="P54" s="560"/>
    </row>
    <row r="55" spans="1:16" ht="15.75">
      <c r="A55" s="103" t="s">
        <v>1375</v>
      </c>
      <c r="B55" s="104" t="s">
        <v>281</v>
      </c>
      <c r="C55" s="105" t="s">
        <v>299</v>
      </c>
      <c r="D55" s="105">
        <v>117</v>
      </c>
      <c r="E55" s="106">
        <v>5000</v>
      </c>
      <c r="F55" s="107" t="s">
        <v>19</v>
      </c>
      <c r="G55" s="108">
        <v>46185</v>
      </c>
      <c r="H55" s="108">
        <f t="shared" si="0"/>
        <v>46205</v>
      </c>
      <c r="I55" s="108">
        <v>46205</v>
      </c>
      <c r="J55" s="109" t="s">
        <v>1417</v>
      </c>
      <c r="K55" s="113" t="s">
        <v>1377</v>
      </c>
      <c r="L55" s="14"/>
      <c r="M55" s="108"/>
      <c r="N55" s="149"/>
      <c r="O55" s="14"/>
      <c r="P55" s="560"/>
    </row>
    <row r="56" spans="1:16" ht="15.75">
      <c r="A56" s="103" t="s">
        <v>1375</v>
      </c>
      <c r="B56" s="104" t="s">
        <v>281</v>
      </c>
      <c r="C56" s="105" t="s">
        <v>299</v>
      </c>
      <c r="D56" s="105">
        <v>118</v>
      </c>
      <c r="E56" s="106">
        <v>5000</v>
      </c>
      <c r="F56" s="107" t="s">
        <v>19</v>
      </c>
      <c r="G56" s="108">
        <v>46185</v>
      </c>
      <c r="H56" s="108">
        <f t="shared" si="0"/>
        <v>46205</v>
      </c>
      <c r="I56" s="108">
        <v>46205</v>
      </c>
      <c r="J56" s="109" t="s">
        <v>1417</v>
      </c>
      <c r="K56" s="113" t="s">
        <v>1377</v>
      </c>
      <c r="L56" s="14"/>
      <c r="M56" s="108"/>
      <c r="N56" s="149"/>
      <c r="O56" s="14"/>
      <c r="P56" s="560"/>
    </row>
    <row r="57" spans="1:16" ht="15.75">
      <c r="A57" s="103" t="s">
        <v>1375</v>
      </c>
      <c r="B57" s="104" t="s">
        <v>281</v>
      </c>
      <c r="C57" s="105" t="s">
        <v>243</v>
      </c>
      <c r="D57" s="105">
        <v>119</v>
      </c>
      <c r="E57" s="106">
        <v>5000</v>
      </c>
      <c r="F57" s="107" t="s">
        <v>19</v>
      </c>
      <c r="G57" s="108">
        <v>46185</v>
      </c>
      <c r="H57" s="108">
        <f t="shared" si="0"/>
        <v>46205</v>
      </c>
      <c r="I57" s="108">
        <v>46205</v>
      </c>
      <c r="J57" s="109" t="s">
        <v>1418</v>
      </c>
      <c r="K57" s="113" t="s">
        <v>1377</v>
      </c>
      <c r="L57" s="14"/>
      <c r="M57" s="108"/>
      <c r="N57" s="149"/>
      <c r="O57" s="14"/>
      <c r="P57" s="560"/>
    </row>
    <row r="58" spans="1:16" ht="15.75">
      <c r="A58" s="103" t="s">
        <v>1375</v>
      </c>
      <c r="B58" s="104" t="s">
        <v>281</v>
      </c>
      <c r="C58" s="105" t="s">
        <v>243</v>
      </c>
      <c r="D58" s="105">
        <v>120</v>
      </c>
      <c r="E58" s="106">
        <v>5000</v>
      </c>
      <c r="F58" s="107" t="s">
        <v>19</v>
      </c>
      <c r="G58" s="108">
        <v>46185</v>
      </c>
      <c r="H58" s="108">
        <f t="shared" si="0"/>
        <v>46205</v>
      </c>
      <c r="I58" s="108">
        <v>46205</v>
      </c>
      <c r="J58" s="109" t="s">
        <v>1418</v>
      </c>
      <c r="K58" s="113" t="s">
        <v>1377</v>
      </c>
      <c r="L58" s="14"/>
      <c r="M58" s="108"/>
      <c r="N58" s="149"/>
      <c r="O58" s="14"/>
      <c r="P58" s="560"/>
    </row>
    <row r="59" spans="1:16" ht="15.75">
      <c r="A59" s="103" t="s">
        <v>1375</v>
      </c>
      <c r="B59" s="104" t="s">
        <v>281</v>
      </c>
      <c r="C59" s="105" t="s">
        <v>301</v>
      </c>
      <c r="D59" s="105">
        <v>121</v>
      </c>
      <c r="E59" s="106">
        <v>5000</v>
      </c>
      <c r="F59" s="107" t="s">
        <v>19</v>
      </c>
      <c r="G59" s="108">
        <v>46185</v>
      </c>
      <c r="H59" s="108">
        <f t="shared" si="0"/>
        <v>46205</v>
      </c>
      <c r="I59" s="108">
        <v>46205</v>
      </c>
      <c r="J59" s="109" t="s">
        <v>1417</v>
      </c>
      <c r="K59" s="113" t="s">
        <v>1377</v>
      </c>
      <c r="L59" s="14"/>
      <c r="M59" s="108"/>
      <c r="N59" s="149"/>
      <c r="O59" s="14"/>
      <c r="P59" s="560"/>
    </row>
    <row r="60" spans="1:16" ht="15.75">
      <c r="A60" s="103" t="s">
        <v>1375</v>
      </c>
      <c r="B60" s="104" t="s">
        <v>281</v>
      </c>
      <c r="C60" s="105" t="s">
        <v>301</v>
      </c>
      <c r="D60" s="105">
        <v>122</v>
      </c>
      <c r="E60" s="106">
        <v>5000</v>
      </c>
      <c r="F60" s="107" t="s">
        <v>19</v>
      </c>
      <c r="G60" s="108">
        <v>46185</v>
      </c>
      <c r="H60" s="108">
        <f t="shared" si="0"/>
        <v>46205</v>
      </c>
      <c r="I60" s="108">
        <v>46205</v>
      </c>
      <c r="J60" s="109" t="s">
        <v>1418</v>
      </c>
      <c r="K60" s="113" t="s">
        <v>1377</v>
      </c>
      <c r="L60" s="14"/>
      <c r="M60" s="108"/>
      <c r="N60" s="149"/>
      <c r="O60" s="14"/>
      <c r="P60" s="560"/>
    </row>
    <row r="61" spans="1:16" ht="15.75">
      <c r="A61" s="103" t="s">
        <v>1375</v>
      </c>
      <c r="B61" s="104" t="s">
        <v>281</v>
      </c>
      <c r="C61" s="105" t="s">
        <v>298</v>
      </c>
      <c r="D61" s="105">
        <v>123</v>
      </c>
      <c r="E61" s="106">
        <v>5000</v>
      </c>
      <c r="F61" s="107" t="s">
        <v>19</v>
      </c>
      <c r="G61" s="108">
        <v>46185</v>
      </c>
      <c r="H61" s="108">
        <f t="shared" si="0"/>
        <v>46205</v>
      </c>
      <c r="I61" s="108">
        <v>46205</v>
      </c>
      <c r="J61" s="109" t="s">
        <v>1416</v>
      </c>
      <c r="K61" s="113" t="s">
        <v>1377</v>
      </c>
      <c r="L61" s="14"/>
      <c r="M61" s="108"/>
      <c r="N61" s="149"/>
      <c r="O61" s="14"/>
      <c r="P61" s="560"/>
    </row>
    <row r="62" spans="1:16" ht="15.75">
      <c r="A62" s="103" t="s">
        <v>1375</v>
      </c>
      <c r="B62" s="104" t="s">
        <v>281</v>
      </c>
      <c r="C62" s="105" t="s">
        <v>298</v>
      </c>
      <c r="D62" s="105">
        <v>124</v>
      </c>
      <c r="E62" s="106">
        <v>5000</v>
      </c>
      <c r="F62" s="107" t="s">
        <v>19</v>
      </c>
      <c r="G62" s="108">
        <v>46185</v>
      </c>
      <c r="H62" s="108">
        <f t="shared" si="0"/>
        <v>46205</v>
      </c>
      <c r="I62" s="108">
        <v>46205</v>
      </c>
      <c r="J62" s="109" t="s">
        <v>1417</v>
      </c>
      <c r="K62" s="113" t="s">
        <v>1377</v>
      </c>
      <c r="L62" s="14"/>
      <c r="M62" s="108"/>
      <c r="N62" s="149"/>
      <c r="O62" s="14"/>
      <c r="P62" s="560"/>
    </row>
    <row r="63" spans="1:16" ht="15.75">
      <c r="A63" s="103" t="s">
        <v>1375</v>
      </c>
      <c r="B63" s="104" t="s">
        <v>281</v>
      </c>
      <c r="C63" s="105" t="s">
        <v>304</v>
      </c>
      <c r="D63" s="105">
        <v>125</v>
      </c>
      <c r="E63" s="106">
        <v>5000</v>
      </c>
      <c r="F63" s="107" t="s">
        <v>19</v>
      </c>
      <c r="G63" s="108">
        <v>46185</v>
      </c>
      <c r="H63" s="108">
        <f t="shared" si="0"/>
        <v>46205</v>
      </c>
      <c r="I63" s="108">
        <v>46205</v>
      </c>
      <c r="J63" s="109" t="s">
        <v>1419</v>
      </c>
      <c r="K63" s="113" t="s">
        <v>1377</v>
      </c>
      <c r="L63" s="14"/>
      <c r="M63" s="108"/>
      <c r="N63" s="149"/>
      <c r="O63" s="14"/>
      <c r="P63" s="560"/>
    </row>
    <row r="64" spans="1:16" ht="15.75">
      <c r="A64" s="103" t="s">
        <v>1375</v>
      </c>
      <c r="B64" s="104" t="s">
        <v>281</v>
      </c>
      <c r="C64" s="105" t="s">
        <v>304</v>
      </c>
      <c r="D64" s="105">
        <v>126</v>
      </c>
      <c r="E64" s="106">
        <v>5000</v>
      </c>
      <c r="F64" s="107" t="s">
        <v>19</v>
      </c>
      <c r="G64" s="108">
        <v>46185</v>
      </c>
      <c r="H64" s="108">
        <f t="shared" si="0"/>
        <v>46205</v>
      </c>
      <c r="I64" s="108">
        <v>46205</v>
      </c>
      <c r="J64" s="109" t="s">
        <v>1419</v>
      </c>
      <c r="K64" s="113" t="s">
        <v>1377</v>
      </c>
      <c r="L64" s="14"/>
      <c r="M64" s="108"/>
      <c r="N64" s="149"/>
      <c r="O64" s="14"/>
      <c r="P64" s="560"/>
    </row>
    <row r="65" spans="1:38" ht="15.75">
      <c r="A65" s="103" t="s">
        <v>1375</v>
      </c>
      <c r="B65" s="104" t="s">
        <v>281</v>
      </c>
      <c r="C65" s="105" t="s">
        <v>303</v>
      </c>
      <c r="D65" s="105">
        <v>127</v>
      </c>
      <c r="E65" s="106">
        <v>5000</v>
      </c>
      <c r="F65" s="107" t="s">
        <v>19</v>
      </c>
      <c r="G65" s="108">
        <v>46185</v>
      </c>
      <c r="H65" s="108">
        <f t="shared" si="0"/>
        <v>46205</v>
      </c>
      <c r="I65" s="108">
        <v>46205</v>
      </c>
      <c r="J65" s="109" t="s">
        <v>1418</v>
      </c>
      <c r="K65" s="113" t="s">
        <v>1377</v>
      </c>
      <c r="L65" s="14"/>
      <c r="M65" s="108"/>
      <c r="N65" s="149"/>
      <c r="O65" s="14"/>
      <c r="P65" s="560"/>
    </row>
    <row r="66" spans="1:38" ht="15.75">
      <c r="A66" s="103" t="s">
        <v>1375</v>
      </c>
      <c r="B66" s="104" t="s">
        <v>281</v>
      </c>
      <c r="C66" s="105" t="s">
        <v>303</v>
      </c>
      <c r="D66" s="105">
        <v>128</v>
      </c>
      <c r="E66" s="106">
        <v>5000</v>
      </c>
      <c r="F66" s="107" t="s">
        <v>19</v>
      </c>
      <c r="G66" s="108">
        <v>46185</v>
      </c>
      <c r="H66" s="108">
        <f t="shared" si="0"/>
        <v>46205</v>
      </c>
      <c r="I66" s="108">
        <v>46205</v>
      </c>
      <c r="J66" s="109" t="s">
        <v>1419</v>
      </c>
      <c r="K66" s="113" t="s">
        <v>1377</v>
      </c>
      <c r="L66" s="14"/>
      <c r="M66" s="108"/>
      <c r="N66" s="149"/>
      <c r="O66" s="14"/>
      <c r="P66" s="560"/>
    </row>
    <row r="67" spans="1:38" ht="15.75">
      <c r="A67" s="103" t="s">
        <v>1375</v>
      </c>
      <c r="B67" s="104" t="s">
        <v>281</v>
      </c>
      <c r="C67" s="105" t="s">
        <v>306</v>
      </c>
      <c r="D67" s="105">
        <v>129</v>
      </c>
      <c r="E67" s="106">
        <v>5000</v>
      </c>
      <c r="F67" s="107" t="s">
        <v>19</v>
      </c>
      <c r="G67" s="108">
        <v>46185</v>
      </c>
      <c r="H67" s="108">
        <f t="shared" si="0"/>
        <v>46205</v>
      </c>
      <c r="I67" s="108">
        <v>46205</v>
      </c>
      <c r="J67" s="109" t="s">
        <v>1419</v>
      </c>
      <c r="K67" s="113" t="s">
        <v>1377</v>
      </c>
      <c r="L67" s="14"/>
      <c r="M67" s="108"/>
      <c r="N67" s="149"/>
      <c r="O67" s="14"/>
      <c r="P67" s="560"/>
    </row>
    <row r="68" spans="1:38" ht="15.75">
      <c r="A68" s="103" t="s">
        <v>1375</v>
      </c>
      <c r="B68" s="104" t="s">
        <v>281</v>
      </c>
      <c r="C68" s="105" t="s">
        <v>306</v>
      </c>
      <c r="D68" s="105">
        <v>131</v>
      </c>
      <c r="E68" s="106">
        <v>5000</v>
      </c>
      <c r="F68" s="107" t="s">
        <v>19</v>
      </c>
      <c r="G68" s="108">
        <v>46185</v>
      </c>
      <c r="H68" s="108">
        <f t="shared" si="0"/>
        <v>46205</v>
      </c>
      <c r="I68" s="108">
        <v>46205</v>
      </c>
      <c r="J68" s="109" t="s">
        <v>1419</v>
      </c>
      <c r="K68" s="113" t="s">
        <v>1377</v>
      </c>
      <c r="L68" s="14"/>
      <c r="M68" s="108"/>
      <c r="N68" s="149"/>
      <c r="O68" s="14"/>
      <c r="P68" s="560"/>
    </row>
    <row r="69" spans="1:38" s="54" customFormat="1" ht="15.75">
      <c r="A69" s="103" t="s">
        <v>1375</v>
      </c>
      <c r="B69" s="104" t="s">
        <v>281</v>
      </c>
      <c r="C69" s="105" t="s">
        <v>248</v>
      </c>
      <c r="D69" s="105">
        <v>132</v>
      </c>
      <c r="E69" s="106">
        <v>5000</v>
      </c>
      <c r="F69" s="107" t="s">
        <v>19</v>
      </c>
      <c r="G69" s="108">
        <v>46185</v>
      </c>
      <c r="H69" s="108">
        <f t="shared" si="0"/>
        <v>46205</v>
      </c>
      <c r="I69" s="108">
        <v>46205</v>
      </c>
      <c r="J69" s="109" t="s">
        <v>1418</v>
      </c>
      <c r="K69" s="113" t="s">
        <v>1377</v>
      </c>
      <c r="L69" s="14"/>
      <c r="M69" s="108"/>
      <c r="N69" s="149"/>
      <c r="O69" s="14"/>
      <c r="P69" s="560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s="101" customFormat="1" ht="15" customHeight="1">
      <c r="A70" s="103" t="s">
        <v>1375</v>
      </c>
      <c r="B70" s="104" t="s">
        <v>281</v>
      </c>
      <c r="C70" s="105" t="s">
        <v>248</v>
      </c>
      <c r="D70" s="105">
        <v>133</v>
      </c>
      <c r="E70" s="106">
        <v>5000</v>
      </c>
      <c r="F70" s="107" t="s">
        <v>19</v>
      </c>
      <c r="G70" s="108">
        <v>46185</v>
      </c>
      <c r="H70" s="108">
        <f t="shared" si="0"/>
        <v>46205</v>
      </c>
      <c r="I70" s="108">
        <v>46205</v>
      </c>
      <c r="J70" s="109" t="s">
        <v>1417</v>
      </c>
      <c r="K70" s="113" t="s">
        <v>1377</v>
      </c>
      <c r="L70" s="14"/>
      <c r="M70" s="108"/>
      <c r="N70" s="149"/>
      <c r="O70" s="14"/>
      <c r="P70" s="56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s="101" customFormat="1" ht="15" customHeight="1">
      <c r="A71" s="103" t="s">
        <v>1375</v>
      </c>
      <c r="B71" s="104" t="s">
        <v>281</v>
      </c>
      <c r="C71" s="105" t="s">
        <v>294</v>
      </c>
      <c r="D71" s="105">
        <v>134</v>
      </c>
      <c r="E71" s="106">
        <v>5000</v>
      </c>
      <c r="F71" s="107" t="s">
        <v>19</v>
      </c>
      <c r="G71" s="108">
        <v>46185</v>
      </c>
      <c r="H71" s="108">
        <f t="shared" si="0"/>
        <v>46205</v>
      </c>
      <c r="I71" s="108">
        <v>46205</v>
      </c>
      <c r="J71" s="109" t="s">
        <v>1415</v>
      </c>
      <c r="K71" s="113" t="s">
        <v>1377</v>
      </c>
      <c r="L71" s="14"/>
      <c r="M71" s="108"/>
      <c r="N71" s="149"/>
      <c r="O71" s="14"/>
      <c r="P71" s="560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2" spans="1:38" s="101" customFormat="1" ht="15" customHeight="1">
      <c r="A72" s="103" t="s">
        <v>1375</v>
      </c>
      <c r="B72" s="104" t="s">
        <v>281</v>
      </c>
      <c r="C72" s="105" t="s">
        <v>294</v>
      </c>
      <c r="D72" s="105">
        <v>135</v>
      </c>
      <c r="E72" s="106">
        <v>5000</v>
      </c>
      <c r="F72" s="107" t="s">
        <v>19</v>
      </c>
      <c r="G72" s="108">
        <v>46185</v>
      </c>
      <c r="H72" s="108">
        <f t="shared" si="0"/>
        <v>46205</v>
      </c>
      <c r="I72" s="108">
        <v>46205</v>
      </c>
      <c r="J72" s="109" t="s">
        <v>1415</v>
      </c>
      <c r="K72" s="113" t="s">
        <v>1377</v>
      </c>
      <c r="L72" s="14"/>
      <c r="M72" s="108"/>
      <c r="N72" s="149"/>
      <c r="O72" s="14"/>
      <c r="P72" s="560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</row>
    <row r="73" spans="1:38" s="101" customFormat="1" ht="15" customHeight="1">
      <c r="A73" s="103" t="s">
        <v>1375</v>
      </c>
      <c r="B73" s="104" t="s">
        <v>281</v>
      </c>
      <c r="C73" s="105" t="s">
        <v>307</v>
      </c>
      <c r="D73" s="105">
        <v>136</v>
      </c>
      <c r="E73" s="106">
        <v>5000</v>
      </c>
      <c r="F73" s="107" t="s">
        <v>19</v>
      </c>
      <c r="G73" s="108">
        <v>46185</v>
      </c>
      <c r="H73" s="108">
        <f t="shared" si="0"/>
        <v>46205</v>
      </c>
      <c r="I73" s="108">
        <v>46205</v>
      </c>
      <c r="J73" s="109" t="s">
        <v>1420</v>
      </c>
      <c r="K73" s="113" t="s">
        <v>1377</v>
      </c>
      <c r="L73" s="14"/>
      <c r="M73" s="108"/>
      <c r="N73" s="149"/>
      <c r="O73" s="14"/>
      <c r="P73" s="560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</row>
    <row r="74" spans="1:38" s="101" customFormat="1" ht="15" customHeight="1">
      <c r="A74" s="103" t="s">
        <v>1375</v>
      </c>
      <c r="B74" s="104" t="s">
        <v>281</v>
      </c>
      <c r="C74" s="105" t="s">
        <v>307</v>
      </c>
      <c r="D74" s="105">
        <v>137</v>
      </c>
      <c r="E74" s="106">
        <v>5000</v>
      </c>
      <c r="F74" s="107" t="s">
        <v>19</v>
      </c>
      <c r="G74" s="108">
        <v>46185</v>
      </c>
      <c r="H74" s="108">
        <f t="shared" si="0"/>
        <v>46205</v>
      </c>
      <c r="I74" s="108">
        <v>46205</v>
      </c>
      <c r="J74" s="109" t="s">
        <v>1420</v>
      </c>
      <c r="K74" s="113" t="s">
        <v>1377</v>
      </c>
      <c r="L74" s="14"/>
      <c r="M74" s="108"/>
      <c r="N74" s="149"/>
      <c r="O74" s="14"/>
      <c r="P74" s="560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</row>
    <row r="75" spans="1:38" s="101" customFormat="1" ht="15" customHeight="1">
      <c r="A75" s="103" t="s">
        <v>1375</v>
      </c>
      <c r="B75" s="104" t="s">
        <v>281</v>
      </c>
      <c r="C75" s="105" t="s">
        <v>298</v>
      </c>
      <c r="D75" s="105">
        <v>138</v>
      </c>
      <c r="E75" s="106">
        <v>5000</v>
      </c>
      <c r="F75" s="107" t="s">
        <v>19</v>
      </c>
      <c r="G75" s="108">
        <v>46185</v>
      </c>
      <c r="H75" s="108">
        <f t="shared" si="0"/>
        <v>46205</v>
      </c>
      <c r="I75" s="108">
        <v>46205</v>
      </c>
      <c r="J75" s="109" t="s">
        <v>1421</v>
      </c>
      <c r="K75" s="113" t="s">
        <v>1377</v>
      </c>
      <c r="L75" s="14"/>
      <c r="M75" s="108"/>
      <c r="N75" s="149"/>
      <c r="O75" s="14"/>
      <c r="P75" s="560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 spans="1:38" s="101" customFormat="1" ht="15" customHeight="1">
      <c r="A76" s="103" t="s">
        <v>1375</v>
      </c>
      <c r="B76" s="104" t="s">
        <v>281</v>
      </c>
      <c r="C76" s="105" t="s">
        <v>298</v>
      </c>
      <c r="D76" s="105">
        <v>139</v>
      </c>
      <c r="E76" s="106">
        <v>5000</v>
      </c>
      <c r="F76" s="107" t="s">
        <v>19</v>
      </c>
      <c r="G76" s="108">
        <v>46185</v>
      </c>
      <c r="H76" s="108">
        <f t="shared" si="0"/>
        <v>46205</v>
      </c>
      <c r="I76" s="108">
        <v>46205</v>
      </c>
      <c r="J76" s="109" t="s">
        <v>1421</v>
      </c>
      <c r="K76" s="113" t="s">
        <v>1377</v>
      </c>
      <c r="L76" s="14"/>
      <c r="M76" s="108"/>
      <c r="N76" s="149"/>
      <c r="O76" s="14"/>
      <c r="P76" s="560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</row>
    <row r="77" spans="1:38" s="101" customFormat="1" ht="15" customHeight="1">
      <c r="A77" s="103" t="s">
        <v>1375</v>
      </c>
      <c r="B77" s="104" t="s">
        <v>281</v>
      </c>
      <c r="C77" s="105" t="s">
        <v>312</v>
      </c>
      <c r="D77" s="105">
        <v>140</v>
      </c>
      <c r="E77" s="106">
        <v>5000</v>
      </c>
      <c r="F77" s="107" t="s">
        <v>19</v>
      </c>
      <c r="G77" s="108">
        <v>46185</v>
      </c>
      <c r="H77" s="108">
        <f t="shared" si="0"/>
        <v>46205</v>
      </c>
      <c r="I77" s="108">
        <v>46205</v>
      </c>
      <c r="J77" s="109" t="s">
        <v>1421</v>
      </c>
      <c r="K77" s="113" t="s">
        <v>1377</v>
      </c>
      <c r="L77" s="14"/>
      <c r="M77" s="108"/>
      <c r="N77" s="149"/>
      <c r="O77" s="14"/>
      <c r="P77" s="560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</row>
    <row r="78" spans="1:38" s="101" customFormat="1" ht="15" customHeight="1">
      <c r="A78" s="103" t="s">
        <v>1375</v>
      </c>
      <c r="B78" s="104" t="s">
        <v>281</v>
      </c>
      <c r="C78" s="105" t="s">
        <v>312</v>
      </c>
      <c r="D78" s="105">
        <v>141</v>
      </c>
      <c r="E78" s="106">
        <v>5000</v>
      </c>
      <c r="F78" s="107" t="s">
        <v>19</v>
      </c>
      <c r="G78" s="108">
        <v>46185</v>
      </c>
      <c r="H78" s="108">
        <f t="shared" si="0"/>
        <v>46205</v>
      </c>
      <c r="I78" s="108">
        <v>46205</v>
      </c>
      <c r="J78" s="109" t="s">
        <v>1421</v>
      </c>
      <c r="K78" s="113" t="s">
        <v>1377</v>
      </c>
      <c r="L78" s="14"/>
      <c r="M78" s="108"/>
      <c r="N78" s="149"/>
      <c r="O78" s="14"/>
      <c r="P78" s="560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s="101" customFormat="1" ht="15" customHeight="1">
      <c r="A79" s="103" t="s">
        <v>1375</v>
      </c>
      <c r="B79" s="104" t="s">
        <v>281</v>
      </c>
      <c r="C79" s="105" t="s">
        <v>309</v>
      </c>
      <c r="D79" s="105">
        <v>142</v>
      </c>
      <c r="E79" s="106">
        <v>5000</v>
      </c>
      <c r="F79" s="107" t="s">
        <v>19</v>
      </c>
      <c r="G79" s="108">
        <v>46185</v>
      </c>
      <c r="H79" s="108">
        <f t="shared" si="0"/>
        <v>46205</v>
      </c>
      <c r="I79" s="108">
        <v>46205</v>
      </c>
      <c r="J79" s="109" t="s">
        <v>1421</v>
      </c>
      <c r="K79" s="113" t="s">
        <v>1377</v>
      </c>
      <c r="L79" s="14"/>
      <c r="M79" s="108"/>
      <c r="N79" s="149"/>
      <c r="O79" s="14"/>
      <c r="P79" s="560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s="101" customFormat="1" ht="15" customHeight="1">
      <c r="A80" s="103" t="s">
        <v>1375</v>
      </c>
      <c r="B80" s="104" t="s">
        <v>281</v>
      </c>
      <c r="C80" s="105" t="s">
        <v>309</v>
      </c>
      <c r="D80" s="105">
        <v>143</v>
      </c>
      <c r="E80" s="106">
        <v>5000</v>
      </c>
      <c r="F80" s="107" t="s">
        <v>19</v>
      </c>
      <c r="G80" s="108">
        <v>46185</v>
      </c>
      <c r="H80" s="108">
        <f t="shared" si="0"/>
        <v>46205</v>
      </c>
      <c r="I80" s="108">
        <v>46205</v>
      </c>
      <c r="J80" s="109" t="s">
        <v>1422</v>
      </c>
      <c r="K80" s="113" t="s">
        <v>1377</v>
      </c>
      <c r="L80" s="14"/>
      <c r="M80" s="108"/>
      <c r="N80" s="149"/>
      <c r="O80" s="14"/>
      <c r="P80" s="56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s="14" customFormat="1" ht="15" customHeight="1">
      <c r="A81" s="103" t="s">
        <v>1375</v>
      </c>
      <c r="B81" s="104" t="s">
        <v>281</v>
      </c>
      <c r="C81" s="105" t="s">
        <v>248</v>
      </c>
      <c r="D81" s="105">
        <v>144</v>
      </c>
      <c r="E81" s="106">
        <v>5000</v>
      </c>
      <c r="F81" s="107" t="s">
        <v>19</v>
      </c>
      <c r="G81" s="108">
        <v>46185</v>
      </c>
      <c r="H81" s="108">
        <f t="shared" si="0"/>
        <v>46205</v>
      </c>
      <c r="I81" s="108">
        <v>46205</v>
      </c>
      <c r="J81" s="109" t="s">
        <v>1422</v>
      </c>
      <c r="K81" s="113" t="s">
        <v>1377</v>
      </c>
      <c r="M81" s="108"/>
      <c r="N81" s="149"/>
      <c r="P81" s="560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s="14" customFormat="1" ht="15" customHeight="1">
      <c r="A82" s="103" t="s">
        <v>1375</v>
      </c>
      <c r="B82" s="104" t="s">
        <v>281</v>
      </c>
      <c r="C82" s="105" t="s">
        <v>248</v>
      </c>
      <c r="D82" s="105">
        <v>145</v>
      </c>
      <c r="E82" s="106">
        <v>5000</v>
      </c>
      <c r="F82" s="107" t="s">
        <v>19</v>
      </c>
      <c r="G82" s="108">
        <v>46188</v>
      </c>
      <c r="H82" s="108">
        <f>G82+21</f>
        <v>46209</v>
      </c>
      <c r="I82" s="108">
        <v>46209</v>
      </c>
      <c r="J82" s="109" t="s">
        <v>1423</v>
      </c>
      <c r="K82" s="113" t="s">
        <v>1377</v>
      </c>
      <c r="M82" s="108"/>
      <c r="N82" s="149"/>
      <c r="P82" s="560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s="14" customFormat="1" ht="15" customHeight="1">
      <c r="A83" s="103" t="s">
        <v>1375</v>
      </c>
      <c r="B83" s="104" t="s">
        <v>281</v>
      </c>
      <c r="C83" s="105" t="s">
        <v>303</v>
      </c>
      <c r="D83" s="105">
        <v>146</v>
      </c>
      <c r="E83" s="106">
        <v>5000</v>
      </c>
      <c r="F83" s="107" t="s">
        <v>19</v>
      </c>
      <c r="G83" s="108">
        <v>46185</v>
      </c>
      <c r="H83" s="108">
        <f t="shared" ref="H83:H88" si="1">G83+20</f>
        <v>46205</v>
      </c>
      <c r="I83" s="108">
        <v>46205</v>
      </c>
      <c r="J83" s="109" t="s">
        <v>1422</v>
      </c>
      <c r="K83" s="113" t="s">
        <v>1377</v>
      </c>
      <c r="M83" s="108"/>
      <c r="N83" s="149"/>
      <c r="P83" s="560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s="14" customFormat="1" ht="15" customHeight="1">
      <c r="A84" s="103" t="s">
        <v>1375</v>
      </c>
      <c r="B84" s="104" t="s">
        <v>281</v>
      </c>
      <c r="C84" s="105" t="s">
        <v>303</v>
      </c>
      <c r="D84" s="105">
        <v>147</v>
      </c>
      <c r="E84" s="106">
        <v>5000</v>
      </c>
      <c r="F84" s="107" t="s">
        <v>19</v>
      </c>
      <c r="G84" s="108">
        <v>46185</v>
      </c>
      <c r="H84" s="108">
        <f t="shared" si="1"/>
        <v>46205</v>
      </c>
      <c r="I84" s="108">
        <v>46205</v>
      </c>
      <c r="J84" s="109" t="s">
        <v>1422</v>
      </c>
      <c r="K84" s="113" t="s">
        <v>1377</v>
      </c>
      <c r="M84" s="108"/>
      <c r="N84" s="149"/>
      <c r="P84" s="560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s="14" customFormat="1" ht="15" customHeight="1">
      <c r="A85" s="103" t="s">
        <v>1375</v>
      </c>
      <c r="B85" s="104" t="s">
        <v>281</v>
      </c>
      <c r="C85" s="105" t="s">
        <v>292</v>
      </c>
      <c r="D85" s="105">
        <v>148</v>
      </c>
      <c r="E85" s="106">
        <v>5000</v>
      </c>
      <c r="F85" s="107" t="s">
        <v>19</v>
      </c>
      <c r="G85" s="108">
        <v>46185</v>
      </c>
      <c r="H85" s="108">
        <f t="shared" si="1"/>
        <v>46205</v>
      </c>
      <c r="I85" s="108">
        <v>46205</v>
      </c>
      <c r="J85" s="109" t="s">
        <v>1422</v>
      </c>
      <c r="K85" s="113" t="s">
        <v>1377</v>
      </c>
      <c r="M85" s="108"/>
      <c r="N85" s="149"/>
      <c r="P85" s="560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s="14" customFormat="1" ht="15" customHeight="1">
      <c r="A86" s="103" t="s">
        <v>1375</v>
      </c>
      <c r="B86" s="104" t="s">
        <v>281</v>
      </c>
      <c r="C86" s="105" t="s">
        <v>292</v>
      </c>
      <c r="D86" s="105">
        <v>149</v>
      </c>
      <c r="E86" s="106">
        <v>5000</v>
      </c>
      <c r="F86" s="107" t="s">
        <v>19</v>
      </c>
      <c r="G86" s="108">
        <v>46185</v>
      </c>
      <c r="H86" s="108">
        <f t="shared" si="1"/>
        <v>46205</v>
      </c>
      <c r="I86" s="108">
        <v>46205</v>
      </c>
      <c r="J86" s="109" t="s">
        <v>1420</v>
      </c>
      <c r="K86" s="113" t="s">
        <v>1377</v>
      </c>
      <c r="M86" s="108"/>
      <c r="N86" s="149"/>
      <c r="P86" s="560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s="14" customFormat="1" ht="15" customHeight="1">
      <c r="A87" s="103" t="s">
        <v>1375</v>
      </c>
      <c r="B87" s="104" t="s">
        <v>281</v>
      </c>
      <c r="C87" s="105" t="s">
        <v>288</v>
      </c>
      <c r="D87" s="105">
        <v>150</v>
      </c>
      <c r="E87" s="106">
        <v>5000</v>
      </c>
      <c r="F87" s="107" t="s">
        <v>19</v>
      </c>
      <c r="G87" s="108">
        <v>46185</v>
      </c>
      <c r="H87" s="108">
        <f t="shared" si="1"/>
        <v>46205</v>
      </c>
      <c r="I87" s="108">
        <v>46205</v>
      </c>
      <c r="J87" s="109" t="s">
        <v>1420</v>
      </c>
      <c r="K87" s="113" t="s">
        <v>1377</v>
      </c>
      <c r="M87" s="108"/>
      <c r="N87" s="149"/>
      <c r="P87" s="560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s="14" customFormat="1" ht="15" customHeight="1">
      <c r="A88" s="103" t="s">
        <v>1375</v>
      </c>
      <c r="B88" s="104" t="s">
        <v>281</v>
      </c>
      <c r="C88" s="105" t="s">
        <v>288</v>
      </c>
      <c r="D88" s="105">
        <v>151</v>
      </c>
      <c r="E88" s="106">
        <v>5000</v>
      </c>
      <c r="F88" s="107" t="s">
        <v>19</v>
      </c>
      <c r="G88" s="108">
        <v>46185</v>
      </c>
      <c r="H88" s="108">
        <f t="shared" si="1"/>
        <v>46205</v>
      </c>
      <c r="I88" s="108">
        <v>46205</v>
      </c>
      <c r="J88" s="109" t="s">
        <v>1420</v>
      </c>
      <c r="K88" s="113" t="s">
        <v>1377</v>
      </c>
      <c r="M88" s="108"/>
      <c r="N88" s="149"/>
      <c r="P88" s="560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89" spans="1:38" s="14" customFormat="1" ht="15" customHeight="1">
      <c r="A89" s="103" t="s">
        <v>1375</v>
      </c>
      <c r="B89" s="104" t="s">
        <v>281</v>
      </c>
      <c r="C89" s="105" t="s">
        <v>309</v>
      </c>
      <c r="D89" s="105">
        <v>154</v>
      </c>
      <c r="E89" s="106">
        <v>5000</v>
      </c>
      <c r="F89" s="107" t="s">
        <v>19</v>
      </c>
      <c r="G89" s="108">
        <v>46188</v>
      </c>
      <c r="H89" s="108">
        <f t="shared" ref="H89:H120" si="2">G89+21</f>
        <v>46209</v>
      </c>
      <c r="I89" s="108">
        <v>46209</v>
      </c>
      <c r="J89" s="109" t="s">
        <v>1424</v>
      </c>
      <c r="K89" s="113" t="s">
        <v>1377</v>
      </c>
      <c r="M89" s="108"/>
      <c r="N89" s="149"/>
      <c r="P89" s="560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</row>
    <row r="90" spans="1:38" s="14" customFormat="1" ht="15" customHeight="1">
      <c r="A90" s="103" t="s">
        <v>1375</v>
      </c>
      <c r="B90" s="104" t="s">
        <v>281</v>
      </c>
      <c r="C90" s="105" t="s">
        <v>309</v>
      </c>
      <c r="D90" s="105">
        <v>155</v>
      </c>
      <c r="E90" s="106">
        <v>5000</v>
      </c>
      <c r="F90" s="107" t="s">
        <v>19</v>
      </c>
      <c r="G90" s="108">
        <v>46188</v>
      </c>
      <c r="H90" s="108">
        <f t="shared" si="2"/>
        <v>46209</v>
      </c>
      <c r="I90" s="108">
        <v>46209</v>
      </c>
      <c r="J90" s="109" t="s">
        <v>1424</v>
      </c>
      <c r="K90" s="113" t="s">
        <v>1377</v>
      </c>
      <c r="M90" s="108"/>
      <c r="N90" s="149"/>
      <c r="P90" s="56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</row>
    <row r="91" spans="1:38" s="14" customFormat="1" ht="15" customHeight="1">
      <c r="A91" s="103" t="s">
        <v>1375</v>
      </c>
      <c r="B91" s="104" t="s">
        <v>281</v>
      </c>
      <c r="C91" s="105" t="s">
        <v>319</v>
      </c>
      <c r="D91" s="105">
        <v>156</v>
      </c>
      <c r="E91" s="106">
        <v>5000</v>
      </c>
      <c r="F91" s="107" t="s">
        <v>19</v>
      </c>
      <c r="G91" s="108">
        <v>46188</v>
      </c>
      <c r="H91" s="108">
        <f t="shared" si="2"/>
        <v>46209</v>
      </c>
      <c r="I91" s="108">
        <v>46209</v>
      </c>
      <c r="J91" s="109" t="s">
        <v>1425</v>
      </c>
      <c r="K91" s="113" t="s">
        <v>1377</v>
      </c>
      <c r="M91" s="108"/>
      <c r="N91" s="149"/>
      <c r="P91" s="560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</row>
    <row r="92" spans="1:38" s="14" customFormat="1" ht="15" customHeight="1">
      <c r="A92" s="103" t="s">
        <v>1375</v>
      </c>
      <c r="B92" s="104" t="s">
        <v>281</v>
      </c>
      <c r="C92" s="105" t="s">
        <v>319</v>
      </c>
      <c r="D92" s="105">
        <v>157</v>
      </c>
      <c r="E92" s="106">
        <v>5000</v>
      </c>
      <c r="F92" s="107" t="s">
        <v>19</v>
      </c>
      <c r="G92" s="108">
        <v>46188</v>
      </c>
      <c r="H92" s="108">
        <f t="shared" si="2"/>
        <v>46209</v>
      </c>
      <c r="I92" s="108">
        <v>46209</v>
      </c>
      <c r="J92" s="109" t="s">
        <v>1425</v>
      </c>
      <c r="K92" s="113" t="s">
        <v>1377</v>
      </c>
      <c r="M92" s="108"/>
      <c r="N92" s="149"/>
      <c r="P92" s="560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</row>
    <row r="93" spans="1:38" s="14" customFormat="1" ht="15" customHeight="1">
      <c r="A93" s="103" t="s">
        <v>1375</v>
      </c>
      <c r="B93" s="104" t="s">
        <v>281</v>
      </c>
      <c r="C93" s="105" t="s">
        <v>284</v>
      </c>
      <c r="D93" s="105">
        <v>158</v>
      </c>
      <c r="E93" s="106">
        <v>5000</v>
      </c>
      <c r="F93" s="107" t="s">
        <v>19</v>
      </c>
      <c r="G93" s="108">
        <v>46188</v>
      </c>
      <c r="H93" s="108">
        <f t="shared" si="2"/>
        <v>46209</v>
      </c>
      <c r="I93" s="108">
        <v>46209</v>
      </c>
      <c r="J93" s="109" t="s">
        <v>1425</v>
      </c>
      <c r="K93" s="113" t="s">
        <v>1377</v>
      </c>
      <c r="M93" s="108"/>
      <c r="N93" s="149"/>
      <c r="P93" s="560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 spans="1:38" s="14" customFormat="1" ht="15" customHeight="1">
      <c r="A94" s="103" t="s">
        <v>1375</v>
      </c>
      <c r="B94" s="104" t="s">
        <v>281</v>
      </c>
      <c r="C94" s="105" t="s">
        <v>284</v>
      </c>
      <c r="D94" s="105">
        <v>159</v>
      </c>
      <c r="E94" s="106">
        <v>5000</v>
      </c>
      <c r="F94" s="107" t="s">
        <v>19</v>
      </c>
      <c r="G94" s="108">
        <v>46188</v>
      </c>
      <c r="H94" s="108">
        <f t="shared" si="2"/>
        <v>46209</v>
      </c>
      <c r="I94" s="108">
        <v>46209</v>
      </c>
      <c r="J94" s="109" t="s">
        <v>1425</v>
      </c>
      <c r="K94" s="113" t="s">
        <v>1377</v>
      </c>
      <c r="M94" s="108"/>
      <c r="N94" s="149"/>
      <c r="P94" s="560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</row>
    <row r="95" spans="1:38" s="14" customFormat="1" ht="15" customHeight="1">
      <c r="A95" s="103" t="s">
        <v>1375</v>
      </c>
      <c r="B95" s="104" t="s">
        <v>281</v>
      </c>
      <c r="C95" s="105" t="s">
        <v>314</v>
      </c>
      <c r="D95" s="105">
        <v>160</v>
      </c>
      <c r="E95" s="106">
        <v>5000</v>
      </c>
      <c r="F95" s="107" t="s">
        <v>19</v>
      </c>
      <c r="G95" s="108">
        <v>46188</v>
      </c>
      <c r="H95" s="108">
        <f t="shared" si="2"/>
        <v>46209</v>
      </c>
      <c r="I95" s="108">
        <v>46209</v>
      </c>
      <c r="J95" s="109" t="s">
        <v>1423</v>
      </c>
      <c r="K95" s="113" t="s">
        <v>1377</v>
      </c>
      <c r="M95" s="108"/>
      <c r="N95" s="149"/>
      <c r="P95" s="560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s="14" customFormat="1" ht="15" customHeight="1">
      <c r="A96" s="103" t="s">
        <v>1375</v>
      </c>
      <c r="B96" s="104" t="s">
        <v>281</v>
      </c>
      <c r="C96" s="105" t="s">
        <v>314</v>
      </c>
      <c r="D96" s="105">
        <v>161</v>
      </c>
      <c r="E96" s="106">
        <v>5000</v>
      </c>
      <c r="F96" s="107" t="s">
        <v>19</v>
      </c>
      <c r="G96" s="108">
        <v>46188</v>
      </c>
      <c r="H96" s="108">
        <f t="shared" si="2"/>
        <v>46209</v>
      </c>
      <c r="I96" s="108">
        <v>46209</v>
      </c>
      <c r="J96" s="109" t="s">
        <v>1423</v>
      </c>
      <c r="K96" s="113" t="s">
        <v>1377</v>
      </c>
      <c r="M96" s="108"/>
      <c r="N96" s="149"/>
      <c r="P96" s="560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s="14" customFormat="1" ht="15" customHeight="1">
      <c r="A97" s="103" t="s">
        <v>1375</v>
      </c>
      <c r="B97" s="104" t="s">
        <v>281</v>
      </c>
      <c r="C97" s="105" t="s">
        <v>315</v>
      </c>
      <c r="D97" s="105">
        <v>162</v>
      </c>
      <c r="E97" s="106">
        <v>5000</v>
      </c>
      <c r="F97" s="107" t="s">
        <v>19</v>
      </c>
      <c r="G97" s="108">
        <v>46188</v>
      </c>
      <c r="H97" s="108">
        <f t="shared" si="2"/>
        <v>46209</v>
      </c>
      <c r="I97" s="108">
        <v>46209</v>
      </c>
      <c r="J97" s="109" t="s">
        <v>1423</v>
      </c>
      <c r="K97" s="113" t="s">
        <v>1377</v>
      </c>
      <c r="M97" s="108"/>
      <c r="N97" s="149"/>
      <c r="P97" s="560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s="14" customFormat="1" ht="15" customHeight="1">
      <c r="A98" s="103" t="s">
        <v>1375</v>
      </c>
      <c r="B98" s="104" t="s">
        <v>281</v>
      </c>
      <c r="C98" s="105" t="s">
        <v>315</v>
      </c>
      <c r="D98" s="105">
        <v>163</v>
      </c>
      <c r="E98" s="106">
        <v>5000</v>
      </c>
      <c r="F98" s="107" t="s">
        <v>19</v>
      </c>
      <c r="G98" s="108">
        <v>46188</v>
      </c>
      <c r="H98" s="108">
        <f t="shared" si="2"/>
        <v>46209</v>
      </c>
      <c r="I98" s="108">
        <v>46209</v>
      </c>
      <c r="J98" s="109" t="s">
        <v>1424</v>
      </c>
      <c r="K98" s="113" t="s">
        <v>1377</v>
      </c>
      <c r="M98" s="108"/>
      <c r="N98" s="149"/>
      <c r="P98" s="560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s="14" customFormat="1" ht="15" customHeight="1">
      <c r="A99" s="103" t="s">
        <v>1375</v>
      </c>
      <c r="B99" s="104" t="s">
        <v>281</v>
      </c>
      <c r="C99" s="105" t="s">
        <v>316</v>
      </c>
      <c r="D99" s="105">
        <v>164</v>
      </c>
      <c r="E99" s="106">
        <v>5000</v>
      </c>
      <c r="F99" s="107" t="s">
        <v>19</v>
      </c>
      <c r="G99" s="108">
        <v>46188</v>
      </c>
      <c r="H99" s="108">
        <f t="shared" si="2"/>
        <v>46209</v>
      </c>
      <c r="I99" s="108">
        <v>46209</v>
      </c>
      <c r="J99" s="109" t="s">
        <v>1423</v>
      </c>
      <c r="K99" s="113" t="s">
        <v>1377</v>
      </c>
      <c r="M99" s="108"/>
      <c r="N99" s="149"/>
      <c r="P99" s="560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s="14" customFormat="1" ht="15" customHeight="1">
      <c r="A100" s="103" t="s">
        <v>1375</v>
      </c>
      <c r="B100" s="104" t="s">
        <v>281</v>
      </c>
      <c r="C100" s="105" t="s">
        <v>316</v>
      </c>
      <c r="D100" s="105">
        <v>165</v>
      </c>
      <c r="E100" s="106">
        <v>5000</v>
      </c>
      <c r="F100" s="107" t="s">
        <v>19</v>
      </c>
      <c r="G100" s="108">
        <v>46188</v>
      </c>
      <c r="H100" s="108">
        <f t="shared" si="2"/>
        <v>46209</v>
      </c>
      <c r="I100" s="108">
        <v>46209</v>
      </c>
      <c r="J100" s="109" t="s">
        <v>1424</v>
      </c>
      <c r="K100" s="113" t="s">
        <v>1377</v>
      </c>
      <c r="M100" s="108"/>
      <c r="N100" s="149"/>
      <c r="P100" s="56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s="14" customFormat="1" ht="15" customHeight="1">
      <c r="A101" s="111" t="s">
        <v>1375</v>
      </c>
      <c r="B101" s="104" t="s">
        <v>281</v>
      </c>
      <c r="C101" s="105" t="s">
        <v>294</v>
      </c>
      <c r="D101" s="105">
        <v>166</v>
      </c>
      <c r="E101" s="106">
        <v>5000</v>
      </c>
      <c r="F101" s="107" t="s">
        <v>19</v>
      </c>
      <c r="G101" s="108">
        <v>46192</v>
      </c>
      <c r="H101" s="108">
        <f t="shared" si="2"/>
        <v>46213</v>
      </c>
      <c r="I101" s="108">
        <v>46213</v>
      </c>
      <c r="J101" s="112" t="s">
        <v>1426</v>
      </c>
      <c r="K101" s="113" t="s">
        <v>1377</v>
      </c>
      <c r="L101" s="101"/>
      <c r="M101" s="136"/>
      <c r="N101" s="136"/>
      <c r="O101" s="101"/>
      <c r="P101" s="560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</row>
    <row r="102" spans="1:38" s="14" customFormat="1" ht="15" customHeight="1">
      <c r="A102" s="111" t="s">
        <v>1375</v>
      </c>
      <c r="B102" s="104" t="s">
        <v>281</v>
      </c>
      <c r="C102" s="105" t="s">
        <v>294</v>
      </c>
      <c r="D102" s="105">
        <v>167</v>
      </c>
      <c r="E102" s="106">
        <v>5000</v>
      </c>
      <c r="F102" s="107" t="s">
        <v>19</v>
      </c>
      <c r="G102" s="108">
        <v>46192</v>
      </c>
      <c r="H102" s="108">
        <f t="shared" si="2"/>
        <v>46213</v>
      </c>
      <c r="I102" s="108">
        <v>46213</v>
      </c>
      <c r="J102" s="112" t="s">
        <v>1426</v>
      </c>
      <c r="K102" s="113" t="s">
        <v>1377</v>
      </c>
      <c r="L102" s="101"/>
      <c r="M102" s="136"/>
      <c r="N102" s="136"/>
      <c r="O102" s="101"/>
      <c r="P102" s="560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</row>
    <row r="103" spans="1:38" s="14" customFormat="1" ht="15" customHeight="1">
      <c r="A103" s="111" t="s">
        <v>1375</v>
      </c>
      <c r="B103" s="104" t="s">
        <v>281</v>
      </c>
      <c r="C103" s="105" t="s">
        <v>316</v>
      </c>
      <c r="D103" s="105">
        <v>168</v>
      </c>
      <c r="E103" s="106">
        <v>5000</v>
      </c>
      <c r="F103" s="107" t="s">
        <v>19</v>
      </c>
      <c r="G103" s="108">
        <v>46192</v>
      </c>
      <c r="H103" s="108">
        <f t="shared" si="2"/>
        <v>46213</v>
      </c>
      <c r="I103" s="108">
        <v>46213</v>
      </c>
      <c r="J103" s="112" t="s">
        <v>1426</v>
      </c>
      <c r="K103" s="113" t="s">
        <v>1377</v>
      </c>
      <c r="L103" s="101"/>
      <c r="M103" s="108"/>
      <c r="N103" s="149"/>
      <c r="O103" s="101"/>
      <c r="P103" s="560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</row>
    <row r="104" spans="1:38" s="14" customFormat="1" ht="15" customHeight="1">
      <c r="A104" s="111" t="s">
        <v>1375</v>
      </c>
      <c r="B104" s="104" t="s">
        <v>281</v>
      </c>
      <c r="C104" s="105" t="s">
        <v>316</v>
      </c>
      <c r="D104" s="105">
        <v>169</v>
      </c>
      <c r="E104" s="106">
        <v>5000</v>
      </c>
      <c r="F104" s="107" t="s">
        <v>19</v>
      </c>
      <c r="G104" s="108">
        <v>46192</v>
      </c>
      <c r="H104" s="108">
        <f t="shared" si="2"/>
        <v>46213</v>
      </c>
      <c r="I104" s="108">
        <v>46213</v>
      </c>
      <c r="J104" s="112" t="s">
        <v>1427</v>
      </c>
      <c r="K104" s="113" t="s">
        <v>1377</v>
      </c>
      <c r="L104" s="101"/>
      <c r="M104" s="108"/>
      <c r="N104" s="149"/>
      <c r="O104" s="101"/>
      <c r="P104" s="560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</row>
    <row r="105" spans="1:38" s="14" customFormat="1" ht="15" customHeight="1">
      <c r="A105" s="111" t="s">
        <v>1375</v>
      </c>
      <c r="B105" s="104" t="s">
        <v>281</v>
      </c>
      <c r="C105" s="105" t="s">
        <v>331</v>
      </c>
      <c r="D105" s="105">
        <v>170</v>
      </c>
      <c r="E105" s="106">
        <v>5000</v>
      </c>
      <c r="F105" s="107" t="s">
        <v>19</v>
      </c>
      <c r="G105" s="108">
        <v>46192</v>
      </c>
      <c r="H105" s="108">
        <f t="shared" si="2"/>
        <v>46213</v>
      </c>
      <c r="I105" s="108">
        <v>46213</v>
      </c>
      <c r="J105" s="112" t="s">
        <v>1426</v>
      </c>
      <c r="K105" s="113" t="s">
        <v>1377</v>
      </c>
      <c r="L105" s="101"/>
      <c r="M105" s="108"/>
      <c r="N105" s="149"/>
      <c r="O105" s="101"/>
      <c r="P105" s="560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</row>
    <row r="106" spans="1:38" s="14" customFormat="1" ht="15" customHeight="1">
      <c r="A106" s="111" t="s">
        <v>1375</v>
      </c>
      <c r="B106" s="104" t="s">
        <v>281</v>
      </c>
      <c r="C106" s="105" t="s">
        <v>331</v>
      </c>
      <c r="D106" s="105">
        <v>171</v>
      </c>
      <c r="E106" s="106">
        <v>5000</v>
      </c>
      <c r="F106" s="107" t="s">
        <v>19</v>
      </c>
      <c r="G106" s="108">
        <v>46192</v>
      </c>
      <c r="H106" s="108">
        <f t="shared" si="2"/>
        <v>46213</v>
      </c>
      <c r="I106" s="108">
        <v>46213</v>
      </c>
      <c r="J106" s="112" t="s">
        <v>1426</v>
      </c>
      <c r="K106" s="113" t="s">
        <v>1377</v>
      </c>
      <c r="L106" s="101"/>
      <c r="M106" s="108"/>
      <c r="N106" s="149"/>
      <c r="O106" s="101"/>
      <c r="P106" s="560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</row>
    <row r="107" spans="1:38" s="14" customFormat="1" ht="15" customHeight="1">
      <c r="A107" s="111" t="s">
        <v>1375</v>
      </c>
      <c r="B107" s="104" t="s">
        <v>281</v>
      </c>
      <c r="C107" s="105" t="s">
        <v>241</v>
      </c>
      <c r="D107" s="105">
        <v>172</v>
      </c>
      <c r="E107" s="106">
        <v>5000</v>
      </c>
      <c r="F107" s="107" t="s">
        <v>19</v>
      </c>
      <c r="G107" s="108">
        <v>46192</v>
      </c>
      <c r="H107" s="108">
        <f t="shared" si="2"/>
        <v>46213</v>
      </c>
      <c r="I107" s="108">
        <v>46213</v>
      </c>
      <c r="J107" s="112" t="s">
        <v>1427</v>
      </c>
      <c r="K107" s="113" t="s">
        <v>1377</v>
      </c>
      <c r="L107" s="101"/>
      <c r="M107" s="108"/>
      <c r="N107" s="149"/>
      <c r="O107" s="101"/>
      <c r="P107" s="560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</row>
    <row r="108" spans="1:38" s="14" customFormat="1" ht="15" customHeight="1">
      <c r="A108" s="111" t="s">
        <v>1375</v>
      </c>
      <c r="B108" s="104" t="s">
        <v>281</v>
      </c>
      <c r="C108" s="105" t="s">
        <v>241</v>
      </c>
      <c r="D108" s="105">
        <v>173</v>
      </c>
      <c r="E108" s="106">
        <v>5000</v>
      </c>
      <c r="F108" s="107" t="s">
        <v>19</v>
      </c>
      <c r="G108" s="108">
        <v>46192</v>
      </c>
      <c r="H108" s="108">
        <f t="shared" si="2"/>
        <v>46213</v>
      </c>
      <c r="I108" s="108">
        <v>46213</v>
      </c>
      <c r="J108" s="112" t="s">
        <v>1427</v>
      </c>
      <c r="K108" s="113" t="s">
        <v>1377</v>
      </c>
      <c r="L108" s="101"/>
      <c r="M108" s="108"/>
      <c r="N108" s="149"/>
      <c r="O108" s="101"/>
      <c r="P108" s="560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</row>
    <row r="109" spans="1:38" s="14" customFormat="1" ht="15" customHeight="1">
      <c r="A109" s="111" t="s">
        <v>1375</v>
      </c>
      <c r="B109" s="104" t="s">
        <v>281</v>
      </c>
      <c r="C109" s="105" t="s">
        <v>333</v>
      </c>
      <c r="D109" s="105">
        <v>174</v>
      </c>
      <c r="E109" s="106">
        <v>5000</v>
      </c>
      <c r="F109" s="107" t="s">
        <v>19</v>
      </c>
      <c r="G109" s="108">
        <v>46192</v>
      </c>
      <c r="H109" s="108">
        <f t="shared" si="2"/>
        <v>46213</v>
      </c>
      <c r="I109" s="108">
        <v>46213</v>
      </c>
      <c r="J109" s="112" t="s">
        <v>1427</v>
      </c>
      <c r="K109" s="113" t="s">
        <v>1377</v>
      </c>
      <c r="L109" s="101"/>
      <c r="M109" s="108"/>
      <c r="N109" s="149"/>
      <c r="O109" s="101"/>
      <c r="P109" s="560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</row>
    <row r="110" spans="1:38" s="14" customFormat="1" ht="15" customHeight="1">
      <c r="A110" s="111" t="s">
        <v>1375</v>
      </c>
      <c r="B110" s="104" t="s">
        <v>281</v>
      </c>
      <c r="C110" s="105" t="s">
        <v>333</v>
      </c>
      <c r="D110" s="105">
        <v>175</v>
      </c>
      <c r="E110" s="106">
        <v>5000</v>
      </c>
      <c r="F110" s="107" t="s">
        <v>19</v>
      </c>
      <c r="G110" s="108">
        <v>46192</v>
      </c>
      <c r="H110" s="108">
        <f t="shared" si="2"/>
        <v>46213</v>
      </c>
      <c r="I110" s="108">
        <v>46213</v>
      </c>
      <c r="J110" s="112" t="s">
        <v>1427</v>
      </c>
      <c r="K110" s="113" t="s">
        <v>1377</v>
      </c>
      <c r="L110" s="101"/>
      <c r="M110" s="108"/>
      <c r="N110" s="149"/>
      <c r="O110" s="101"/>
      <c r="P110" s="560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</row>
    <row r="111" spans="1:38" s="14" customFormat="1" ht="15" customHeight="1">
      <c r="A111" s="111" t="s">
        <v>1375</v>
      </c>
      <c r="B111" s="104" t="s">
        <v>281</v>
      </c>
      <c r="C111" s="105" t="s">
        <v>245</v>
      </c>
      <c r="D111" s="105">
        <v>176</v>
      </c>
      <c r="E111" s="106">
        <v>5000</v>
      </c>
      <c r="F111" s="107" t="s">
        <v>19</v>
      </c>
      <c r="G111" s="108">
        <v>46199</v>
      </c>
      <c r="H111" s="108">
        <f t="shared" si="2"/>
        <v>46220</v>
      </c>
      <c r="I111" s="108">
        <v>46220</v>
      </c>
      <c r="J111" s="112" t="s">
        <v>1428</v>
      </c>
      <c r="K111" s="113" t="s">
        <v>1377</v>
      </c>
      <c r="L111" s="101"/>
      <c r="M111" s="108"/>
      <c r="N111" s="149"/>
      <c r="O111" s="101"/>
      <c r="P111" s="560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</row>
    <row r="112" spans="1:38" s="14" customFormat="1" ht="15" customHeight="1">
      <c r="A112" s="111" t="s">
        <v>1375</v>
      </c>
      <c r="B112" s="104" t="s">
        <v>281</v>
      </c>
      <c r="C112" s="105" t="s">
        <v>245</v>
      </c>
      <c r="D112" s="105">
        <v>177</v>
      </c>
      <c r="E112" s="106">
        <v>5000</v>
      </c>
      <c r="F112" s="107" t="s">
        <v>19</v>
      </c>
      <c r="G112" s="108">
        <v>46199</v>
      </c>
      <c r="H112" s="108">
        <f t="shared" si="2"/>
        <v>46220</v>
      </c>
      <c r="I112" s="108">
        <v>46220</v>
      </c>
      <c r="J112" s="112" t="s">
        <v>1428</v>
      </c>
      <c r="K112" s="113" t="s">
        <v>1377</v>
      </c>
      <c r="M112" s="108"/>
      <c r="N112" s="149"/>
      <c r="P112" s="560"/>
    </row>
    <row r="113" spans="1:16" s="14" customFormat="1" ht="15" customHeight="1">
      <c r="A113" s="111" t="s">
        <v>1375</v>
      </c>
      <c r="B113" s="104" t="s">
        <v>281</v>
      </c>
      <c r="C113" s="105" t="s">
        <v>333</v>
      </c>
      <c r="D113" s="105">
        <v>191</v>
      </c>
      <c r="E113" s="106">
        <v>5000</v>
      </c>
      <c r="F113" s="107" t="s">
        <v>19</v>
      </c>
      <c r="G113" s="108">
        <v>46199</v>
      </c>
      <c r="H113" s="108">
        <f t="shared" si="2"/>
        <v>46220</v>
      </c>
      <c r="I113" s="108">
        <v>46220</v>
      </c>
      <c r="J113" s="112" t="s">
        <v>1428</v>
      </c>
      <c r="K113" s="113" t="s">
        <v>1377</v>
      </c>
      <c r="M113" s="108"/>
      <c r="N113" s="149"/>
      <c r="P113" s="560"/>
    </row>
    <row r="114" spans="1:16" s="14" customFormat="1" ht="15" customHeight="1">
      <c r="A114" s="111" t="s">
        <v>1375</v>
      </c>
      <c r="B114" s="104" t="s">
        <v>281</v>
      </c>
      <c r="C114" s="105" t="s">
        <v>333</v>
      </c>
      <c r="D114" s="105">
        <v>192</v>
      </c>
      <c r="E114" s="106">
        <v>5000</v>
      </c>
      <c r="F114" s="107" t="s">
        <v>19</v>
      </c>
      <c r="G114" s="108">
        <v>46199</v>
      </c>
      <c r="H114" s="108">
        <f t="shared" si="2"/>
        <v>46220</v>
      </c>
      <c r="I114" s="108">
        <v>46220</v>
      </c>
      <c r="J114" s="112" t="s">
        <v>1429</v>
      </c>
      <c r="K114" s="113" t="s">
        <v>1377</v>
      </c>
      <c r="M114" s="108"/>
      <c r="N114" s="149"/>
      <c r="P114" s="560"/>
    </row>
    <row r="115" spans="1:16" s="14" customFormat="1" ht="15" customHeight="1">
      <c r="A115" s="111" t="s">
        <v>1375</v>
      </c>
      <c r="B115" s="104" t="s">
        <v>281</v>
      </c>
      <c r="C115" s="105" t="s">
        <v>241</v>
      </c>
      <c r="D115" s="105">
        <v>200</v>
      </c>
      <c r="E115" s="106">
        <v>5000</v>
      </c>
      <c r="F115" s="107" t="s">
        <v>19</v>
      </c>
      <c r="G115" s="108">
        <v>46199</v>
      </c>
      <c r="H115" s="108">
        <f t="shared" si="2"/>
        <v>46220</v>
      </c>
      <c r="I115" s="108">
        <v>46220</v>
      </c>
      <c r="J115" s="112" t="s">
        <v>1429</v>
      </c>
      <c r="K115" s="113" t="s">
        <v>1377</v>
      </c>
      <c r="M115" s="108"/>
      <c r="N115" s="149"/>
      <c r="P115" s="560"/>
    </row>
    <row r="116" spans="1:16" s="14" customFormat="1" ht="15" customHeight="1">
      <c r="A116" s="111" t="s">
        <v>1375</v>
      </c>
      <c r="B116" s="104" t="s">
        <v>281</v>
      </c>
      <c r="C116" s="105" t="s">
        <v>241</v>
      </c>
      <c r="D116" s="105">
        <v>201</v>
      </c>
      <c r="E116" s="106">
        <v>5000</v>
      </c>
      <c r="F116" s="107" t="s">
        <v>19</v>
      </c>
      <c r="G116" s="108">
        <v>46199</v>
      </c>
      <c r="H116" s="108">
        <f t="shared" si="2"/>
        <v>46220</v>
      </c>
      <c r="I116" s="108">
        <v>46220</v>
      </c>
      <c r="J116" s="112" t="s">
        <v>1429</v>
      </c>
      <c r="K116" s="113" t="s">
        <v>1377</v>
      </c>
      <c r="M116" s="108"/>
      <c r="N116" s="149"/>
      <c r="P116" s="560"/>
    </row>
    <row r="117" spans="1:16" s="14" customFormat="1" ht="15" customHeight="1">
      <c r="A117" s="111" t="s">
        <v>1375</v>
      </c>
      <c r="B117" s="104" t="s">
        <v>281</v>
      </c>
      <c r="C117" s="105" t="s">
        <v>267</v>
      </c>
      <c r="D117" s="105">
        <v>202</v>
      </c>
      <c r="E117" s="106">
        <v>5000</v>
      </c>
      <c r="F117" s="107" t="s">
        <v>19</v>
      </c>
      <c r="G117" s="108">
        <v>46199</v>
      </c>
      <c r="H117" s="108">
        <f t="shared" si="2"/>
        <v>46220</v>
      </c>
      <c r="I117" s="108">
        <v>46220</v>
      </c>
      <c r="J117" s="112" t="s">
        <v>1429</v>
      </c>
      <c r="K117" s="113" t="s">
        <v>1377</v>
      </c>
      <c r="M117" s="108"/>
      <c r="N117" s="149"/>
      <c r="P117" s="560"/>
    </row>
    <row r="118" spans="1:16" s="14" customFormat="1" ht="15" customHeight="1">
      <c r="A118" s="111" t="s">
        <v>1375</v>
      </c>
      <c r="B118" s="104" t="s">
        <v>281</v>
      </c>
      <c r="C118" s="105" t="s">
        <v>267</v>
      </c>
      <c r="D118" s="105">
        <v>203</v>
      </c>
      <c r="E118" s="106">
        <v>5000</v>
      </c>
      <c r="F118" s="107" t="s">
        <v>19</v>
      </c>
      <c r="G118" s="108">
        <v>46199</v>
      </c>
      <c r="H118" s="108">
        <f t="shared" si="2"/>
        <v>46220</v>
      </c>
      <c r="I118" s="108">
        <v>46220</v>
      </c>
      <c r="J118" s="112" t="s">
        <v>1429</v>
      </c>
      <c r="K118" s="113" t="s">
        <v>1377</v>
      </c>
      <c r="M118" s="108"/>
      <c r="N118" s="149"/>
      <c r="P118" s="560"/>
    </row>
    <row r="119" spans="1:16" s="14" customFormat="1" ht="15" customHeight="1">
      <c r="A119" s="111" t="s">
        <v>1375</v>
      </c>
      <c r="B119" s="104" t="s">
        <v>281</v>
      </c>
      <c r="C119" s="105" t="s">
        <v>232</v>
      </c>
      <c r="D119" s="105">
        <v>204</v>
      </c>
      <c r="E119" s="106">
        <v>5000</v>
      </c>
      <c r="F119" s="107" t="s">
        <v>19</v>
      </c>
      <c r="G119" s="108">
        <v>46199</v>
      </c>
      <c r="H119" s="108">
        <f t="shared" si="2"/>
        <v>46220</v>
      </c>
      <c r="I119" s="108">
        <v>46220</v>
      </c>
      <c r="J119" s="112" t="s">
        <v>1428</v>
      </c>
      <c r="K119" s="113" t="s">
        <v>1377</v>
      </c>
      <c r="M119" s="108"/>
      <c r="N119" s="149"/>
      <c r="P119" s="560"/>
    </row>
    <row r="120" spans="1:16" s="14" customFormat="1" ht="15" customHeight="1">
      <c r="A120" s="111" t="s">
        <v>1375</v>
      </c>
      <c r="B120" s="104" t="s">
        <v>281</v>
      </c>
      <c r="C120" s="105" t="s">
        <v>232</v>
      </c>
      <c r="D120" s="105">
        <v>205</v>
      </c>
      <c r="E120" s="106">
        <v>5000</v>
      </c>
      <c r="F120" s="107" t="s">
        <v>19</v>
      </c>
      <c r="G120" s="108">
        <v>46199</v>
      </c>
      <c r="H120" s="108">
        <f t="shared" si="2"/>
        <v>46220</v>
      </c>
      <c r="I120" s="108">
        <v>46220</v>
      </c>
      <c r="J120" s="192" t="s">
        <v>1428</v>
      </c>
      <c r="K120" s="113" t="s">
        <v>1377</v>
      </c>
      <c r="M120" s="108"/>
      <c r="N120" s="149"/>
      <c r="P120" s="560"/>
    </row>
    <row r="121" spans="1:16" s="14" customFormat="1" ht="15" customHeight="1">
      <c r="A121" s="111" t="s">
        <v>1375</v>
      </c>
      <c r="B121" s="104" t="s">
        <v>281</v>
      </c>
      <c r="C121" s="105" t="s">
        <v>241</v>
      </c>
      <c r="D121" s="105">
        <v>211</v>
      </c>
      <c r="E121" s="106">
        <f>5000</f>
        <v>5000</v>
      </c>
      <c r="F121" s="116" t="s">
        <v>326</v>
      </c>
      <c r="G121" s="108">
        <v>46209</v>
      </c>
      <c r="H121" s="108">
        <f t="shared" ref="H121:H152" si="3">G121+21</f>
        <v>46230</v>
      </c>
      <c r="I121" s="108">
        <v>46230</v>
      </c>
      <c r="J121" s="192" t="s">
        <v>1430</v>
      </c>
      <c r="K121" s="113" t="s">
        <v>1377</v>
      </c>
      <c r="M121" s="108"/>
      <c r="N121" s="149"/>
      <c r="P121" s="560"/>
    </row>
    <row r="122" spans="1:16" s="14" customFormat="1" ht="15" customHeight="1">
      <c r="A122" s="111" t="s">
        <v>1375</v>
      </c>
      <c r="B122" s="104" t="s">
        <v>281</v>
      </c>
      <c r="C122" s="105" t="s">
        <v>241</v>
      </c>
      <c r="D122" s="105">
        <v>212</v>
      </c>
      <c r="E122" s="106">
        <f>5000</f>
        <v>5000</v>
      </c>
      <c r="F122" s="116" t="s">
        <v>326</v>
      </c>
      <c r="G122" s="108">
        <v>46209</v>
      </c>
      <c r="H122" s="108">
        <f t="shared" si="3"/>
        <v>46230</v>
      </c>
      <c r="I122" s="108">
        <v>46230</v>
      </c>
      <c r="J122" s="192" t="s">
        <v>1430</v>
      </c>
      <c r="K122" s="113" t="s">
        <v>1377</v>
      </c>
      <c r="M122" s="108"/>
      <c r="N122" s="149"/>
      <c r="P122" s="560"/>
    </row>
    <row r="123" spans="1:16" s="14" customFormat="1" ht="15" customHeight="1">
      <c r="A123" s="111" t="s">
        <v>1375</v>
      </c>
      <c r="B123" s="104" t="s">
        <v>281</v>
      </c>
      <c r="C123" s="105" t="s">
        <v>220</v>
      </c>
      <c r="D123" s="105">
        <v>213</v>
      </c>
      <c r="E123" s="106">
        <f>5000</f>
        <v>5000</v>
      </c>
      <c r="F123" s="116" t="s">
        <v>326</v>
      </c>
      <c r="G123" s="108">
        <v>46209</v>
      </c>
      <c r="H123" s="108">
        <f t="shared" si="3"/>
        <v>46230</v>
      </c>
      <c r="I123" s="108">
        <v>46230</v>
      </c>
      <c r="J123" s="112" t="s">
        <v>1431</v>
      </c>
      <c r="K123" s="113" t="s">
        <v>1377</v>
      </c>
      <c r="M123" s="108"/>
      <c r="N123" s="149"/>
      <c r="P123" s="100"/>
    </row>
    <row r="124" spans="1:16" s="14" customFormat="1" ht="15" customHeight="1">
      <c r="A124" s="111" t="s">
        <v>1375</v>
      </c>
      <c r="B124" s="104" t="s">
        <v>281</v>
      </c>
      <c r="C124" s="105" t="s">
        <v>220</v>
      </c>
      <c r="D124" s="105">
        <v>214</v>
      </c>
      <c r="E124" s="106">
        <f>5000</f>
        <v>5000</v>
      </c>
      <c r="F124" s="116" t="s">
        <v>326</v>
      </c>
      <c r="G124" s="108">
        <v>46209</v>
      </c>
      <c r="H124" s="108">
        <f t="shared" si="3"/>
        <v>46230</v>
      </c>
      <c r="I124" s="108">
        <v>46230</v>
      </c>
      <c r="J124" s="112" t="s">
        <v>1431</v>
      </c>
      <c r="K124" s="113" t="s">
        <v>1377</v>
      </c>
      <c r="M124" s="108"/>
      <c r="N124" s="149"/>
      <c r="P124" s="560"/>
    </row>
    <row r="125" spans="1:16" s="14" customFormat="1" ht="15" customHeight="1">
      <c r="A125" s="111" t="s">
        <v>1375</v>
      </c>
      <c r="B125" s="104" t="s">
        <v>281</v>
      </c>
      <c r="C125" s="105" t="s">
        <v>223</v>
      </c>
      <c r="D125" s="105">
        <v>215</v>
      </c>
      <c r="E125" s="106">
        <f>5000</f>
        <v>5000</v>
      </c>
      <c r="F125" s="116" t="s">
        <v>326</v>
      </c>
      <c r="G125" s="108">
        <v>46209</v>
      </c>
      <c r="H125" s="108">
        <f t="shared" si="3"/>
        <v>46230</v>
      </c>
      <c r="I125" s="108">
        <v>46230</v>
      </c>
      <c r="J125" s="112" t="s">
        <v>1431</v>
      </c>
      <c r="K125" s="113" t="s">
        <v>1377</v>
      </c>
      <c r="M125" s="108"/>
      <c r="N125" s="149"/>
      <c r="P125" s="560"/>
    </row>
    <row r="126" spans="1:16" s="14" customFormat="1" ht="15" customHeight="1">
      <c r="A126" s="111" t="s">
        <v>1375</v>
      </c>
      <c r="B126" s="104" t="s">
        <v>281</v>
      </c>
      <c r="C126" s="105" t="s">
        <v>223</v>
      </c>
      <c r="D126" s="105">
        <v>216</v>
      </c>
      <c r="E126" s="106">
        <f>5000</f>
        <v>5000</v>
      </c>
      <c r="F126" s="116" t="s">
        <v>326</v>
      </c>
      <c r="G126" s="108">
        <v>46209</v>
      </c>
      <c r="H126" s="108">
        <f t="shared" si="3"/>
        <v>46230</v>
      </c>
      <c r="I126" s="108">
        <v>46230</v>
      </c>
      <c r="J126" s="112" t="s">
        <v>1431</v>
      </c>
      <c r="K126" s="113" t="s">
        <v>1377</v>
      </c>
      <c r="M126" s="108"/>
      <c r="N126" s="149"/>
      <c r="P126" s="560"/>
    </row>
    <row r="127" spans="1:16" s="14" customFormat="1" ht="15" customHeight="1">
      <c r="A127" s="111" t="s">
        <v>1375</v>
      </c>
      <c r="B127" s="104" t="s">
        <v>281</v>
      </c>
      <c r="C127" s="105" t="s">
        <v>228</v>
      </c>
      <c r="D127" s="105">
        <v>217</v>
      </c>
      <c r="E127" s="106">
        <f>5000</f>
        <v>5000</v>
      </c>
      <c r="F127" s="116" t="s">
        <v>326</v>
      </c>
      <c r="G127" s="108">
        <v>46209</v>
      </c>
      <c r="H127" s="108">
        <f t="shared" si="3"/>
        <v>46230</v>
      </c>
      <c r="I127" s="108">
        <v>46230</v>
      </c>
      <c r="J127" s="112" t="s">
        <v>1430</v>
      </c>
      <c r="K127" s="113" t="s">
        <v>1377</v>
      </c>
      <c r="M127" s="108"/>
      <c r="N127" s="149"/>
      <c r="P127" s="560"/>
    </row>
    <row r="128" spans="1:16" s="14" customFormat="1" ht="15" customHeight="1">
      <c r="A128" s="111" t="s">
        <v>1375</v>
      </c>
      <c r="B128" s="104" t="s">
        <v>281</v>
      </c>
      <c r="C128" s="105" t="s">
        <v>228</v>
      </c>
      <c r="D128" s="105">
        <v>218</v>
      </c>
      <c r="E128" s="106">
        <f>5000</f>
        <v>5000</v>
      </c>
      <c r="F128" s="116" t="s">
        <v>326</v>
      </c>
      <c r="G128" s="108">
        <v>46209</v>
      </c>
      <c r="H128" s="108">
        <f t="shared" si="3"/>
        <v>46230</v>
      </c>
      <c r="I128" s="108">
        <v>46230</v>
      </c>
      <c r="J128" s="112" t="s">
        <v>1432</v>
      </c>
      <c r="K128" s="113" t="s">
        <v>1377</v>
      </c>
      <c r="M128" s="108"/>
      <c r="N128" s="149"/>
      <c r="P128" s="560"/>
    </row>
    <row r="129" spans="1:16" s="14" customFormat="1" ht="15" customHeight="1">
      <c r="A129" s="111" t="s">
        <v>1375</v>
      </c>
      <c r="B129" s="104" t="s">
        <v>281</v>
      </c>
      <c r="C129" s="105" t="s">
        <v>225</v>
      </c>
      <c r="D129" s="105">
        <v>219</v>
      </c>
      <c r="E129" s="106">
        <f>5000</f>
        <v>5000</v>
      </c>
      <c r="F129" s="116" t="s">
        <v>326</v>
      </c>
      <c r="G129" s="108">
        <v>46209</v>
      </c>
      <c r="H129" s="108">
        <f t="shared" si="3"/>
        <v>46230</v>
      </c>
      <c r="I129" s="108">
        <v>46230</v>
      </c>
      <c r="J129" s="112" t="s">
        <v>1431</v>
      </c>
      <c r="K129" s="113" t="s">
        <v>1377</v>
      </c>
      <c r="M129" s="108"/>
      <c r="N129" s="149"/>
      <c r="P129" s="560"/>
    </row>
    <row r="130" spans="1:16" s="14" customFormat="1" ht="15" customHeight="1">
      <c r="A130" s="111" t="s">
        <v>1375</v>
      </c>
      <c r="B130" s="104" t="s">
        <v>281</v>
      </c>
      <c r="C130" s="105" t="s">
        <v>225</v>
      </c>
      <c r="D130" s="105">
        <v>220</v>
      </c>
      <c r="E130" s="106">
        <f>5000</f>
        <v>5000</v>
      </c>
      <c r="F130" s="116" t="s">
        <v>326</v>
      </c>
      <c r="G130" s="108">
        <v>46209</v>
      </c>
      <c r="H130" s="108">
        <f t="shared" si="3"/>
        <v>46230</v>
      </c>
      <c r="I130" s="108">
        <v>46230</v>
      </c>
      <c r="J130" s="112" t="s">
        <v>1431</v>
      </c>
      <c r="K130" s="113" t="s">
        <v>1377</v>
      </c>
      <c r="M130" s="108"/>
      <c r="N130" s="149"/>
      <c r="P130" s="560"/>
    </row>
    <row r="131" spans="1:16" s="14" customFormat="1" ht="15" customHeight="1">
      <c r="A131" s="111" t="s">
        <v>1375</v>
      </c>
      <c r="B131" s="104" t="s">
        <v>281</v>
      </c>
      <c r="C131" s="105" t="s">
        <v>260</v>
      </c>
      <c r="D131" s="105">
        <v>223</v>
      </c>
      <c r="E131" s="106">
        <f>5000</f>
        <v>5000</v>
      </c>
      <c r="F131" s="116" t="s">
        <v>326</v>
      </c>
      <c r="G131" s="108">
        <v>46209</v>
      </c>
      <c r="H131" s="108">
        <f t="shared" si="3"/>
        <v>46230</v>
      </c>
      <c r="I131" s="108">
        <v>46230</v>
      </c>
      <c r="J131" s="112" t="s">
        <v>1430</v>
      </c>
      <c r="K131" s="113" t="s">
        <v>1377</v>
      </c>
      <c r="M131" s="108"/>
      <c r="N131" s="149"/>
      <c r="P131" s="560"/>
    </row>
    <row r="132" spans="1:16" s="14" customFormat="1" ht="15" customHeight="1">
      <c r="A132" s="111" t="s">
        <v>1375</v>
      </c>
      <c r="B132" s="104" t="s">
        <v>281</v>
      </c>
      <c r="C132" s="105" t="s">
        <v>260</v>
      </c>
      <c r="D132" s="105">
        <v>224</v>
      </c>
      <c r="E132" s="106">
        <f>5000</f>
        <v>5000</v>
      </c>
      <c r="F132" s="116" t="s">
        <v>326</v>
      </c>
      <c r="G132" s="108">
        <v>46209</v>
      </c>
      <c r="H132" s="108">
        <f t="shared" si="3"/>
        <v>46230</v>
      </c>
      <c r="I132" s="108">
        <v>46230</v>
      </c>
      <c r="J132" s="112" t="s">
        <v>1430</v>
      </c>
      <c r="K132" s="113" t="s">
        <v>1377</v>
      </c>
      <c r="M132" s="108"/>
      <c r="N132" s="149"/>
      <c r="P132" s="560"/>
    </row>
    <row r="133" spans="1:16" s="14" customFormat="1" ht="15" customHeight="1">
      <c r="A133" s="111" t="s">
        <v>1375</v>
      </c>
      <c r="B133" s="104" t="s">
        <v>281</v>
      </c>
      <c r="C133" s="105" t="s">
        <v>263</v>
      </c>
      <c r="D133" s="105">
        <v>225</v>
      </c>
      <c r="E133" s="106">
        <f>5000</f>
        <v>5000</v>
      </c>
      <c r="F133" s="116" t="s">
        <v>326</v>
      </c>
      <c r="G133" s="108">
        <v>46209</v>
      </c>
      <c r="H133" s="108">
        <f t="shared" si="3"/>
        <v>46230</v>
      </c>
      <c r="I133" s="108">
        <v>46230</v>
      </c>
      <c r="J133" s="112" t="s">
        <v>1432</v>
      </c>
      <c r="K133" s="113" t="s">
        <v>1377</v>
      </c>
      <c r="M133" s="108"/>
      <c r="N133" s="149"/>
      <c r="P133" s="560"/>
    </row>
    <row r="134" spans="1:16" s="14" customFormat="1" ht="15" customHeight="1">
      <c r="A134" s="111" t="s">
        <v>1375</v>
      </c>
      <c r="B134" s="104" t="s">
        <v>281</v>
      </c>
      <c r="C134" s="105" t="s">
        <v>263</v>
      </c>
      <c r="D134" s="105">
        <v>226</v>
      </c>
      <c r="E134" s="106">
        <f>5000</f>
        <v>5000</v>
      </c>
      <c r="F134" s="116" t="s">
        <v>326</v>
      </c>
      <c r="G134" s="108">
        <v>46209</v>
      </c>
      <c r="H134" s="108">
        <f t="shared" si="3"/>
        <v>46230</v>
      </c>
      <c r="I134" s="108">
        <v>46230</v>
      </c>
      <c r="J134" s="112" t="s">
        <v>1433</v>
      </c>
      <c r="K134" s="113" t="s">
        <v>1377</v>
      </c>
      <c r="M134" s="108"/>
      <c r="N134" s="149"/>
      <c r="P134" s="560"/>
    </row>
    <row r="135" spans="1:16" s="14" customFormat="1" ht="15" customHeight="1">
      <c r="A135" s="111" t="s">
        <v>1375</v>
      </c>
      <c r="B135" s="104" t="s">
        <v>281</v>
      </c>
      <c r="C135" s="105" t="s">
        <v>232</v>
      </c>
      <c r="D135" s="105">
        <v>227</v>
      </c>
      <c r="E135" s="106">
        <f>5000</f>
        <v>5000</v>
      </c>
      <c r="F135" s="116" t="s">
        <v>326</v>
      </c>
      <c r="G135" s="108">
        <v>46209</v>
      </c>
      <c r="H135" s="108">
        <f t="shared" si="3"/>
        <v>46230</v>
      </c>
      <c r="I135" s="108">
        <v>46230</v>
      </c>
      <c r="J135" s="112" t="s">
        <v>1433</v>
      </c>
      <c r="K135" s="113" t="s">
        <v>1377</v>
      </c>
      <c r="M135" s="108"/>
      <c r="N135" s="149"/>
      <c r="P135" s="560"/>
    </row>
    <row r="136" spans="1:16" s="14" customFormat="1" ht="15" customHeight="1">
      <c r="A136" s="111" t="s">
        <v>1375</v>
      </c>
      <c r="B136" s="104" t="s">
        <v>281</v>
      </c>
      <c r="C136" s="105" t="s">
        <v>232</v>
      </c>
      <c r="D136" s="105">
        <v>228</v>
      </c>
      <c r="E136" s="106">
        <f>5000</f>
        <v>5000</v>
      </c>
      <c r="F136" s="116" t="s">
        <v>326</v>
      </c>
      <c r="G136" s="108">
        <v>46209</v>
      </c>
      <c r="H136" s="108">
        <f t="shared" si="3"/>
        <v>46230</v>
      </c>
      <c r="I136" s="108">
        <v>46230</v>
      </c>
      <c r="J136" s="112" t="s">
        <v>1433</v>
      </c>
      <c r="K136" s="113" t="s">
        <v>1377</v>
      </c>
      <c r="M136" s="108"/>
      <c r="N136" s="149"/>
      <c r="P136" s="560"/>
    </row>
    <row r="137" spans="1:16" s="14" customFormat="1" ht="15" customHeight="1">
      <c r="A137" s="111" t="s">
        <v>1375</v>
      </c>
      <c r="B137" s="104" t="s">
        <v>281</v>
      </c>
      <c r="C137" s="105" t="s">
        <v>234</v>
      </c>
      <c r="D137" s="105">
        <v>229</v>
      </c>
      <c r="E137" s="106">
        <f>5000</f>
        <v>5000</v>
      </c>
      <c r="F137" s="116" t="s">
        <v>326</v>
      </c>
      <c r="G137" s="108">
        <v>46209</v>
      </c>
      <c r="H137" s="108">
        <f t="shared" si="3"/>
        <v>46230</v>
      </c>
      <c r="I137" s="108">
        <v>46230</v>
      </c>
      <c r="J137" s="112" t="s">
        <v>1432</v>
      </c>
      <c r="K137" s="113" t="s">
        <v>1377</v>
      </c>
      <c r="M137" s="108"/>
      <c r="N137" s="149"/>
      <c r="P137" s="560"/>
    </row>
    <row r="138" spans="1:16" s="14" customFormat="1" ht="15" customHeight="1">
      <c r="A138" s="111" t="s">
        <v>1375</v>
      </c>
      <c r="B138" s="104" t="s">
        <v>281</v>
      </c>
      <c r="C138" s="105" t="s">
        <v>234</v>
      </c>
      <c r="D138" s="105">
        <v>230</v>
      </c>
      <c r="E138" s="106">
        <f>5000</f>
        <v>5000</v>
      </c>
      <c r="F138" s="116" t="s">
        <v>326</v>
      </c>
      <c r="G138" s="108">
        <v>46209</v>
      </c>
      <c r="H138" s="108">
        <f t="shared" si="3"/>
        <v>46230</v>
      </c>
      <c r="I138" s="108">
        <v>46230</v>
      </c>
      <c r="J138" s="112" t="s">
        <v>1433</v>
      </c>
      <c r="K138" s="113" t="s">
        <v>1377</v>
      </c>
      <c r="M138" s="108"/>
      <c r="N138" s="149"/>
      <c r="P138" s="560"/>
    </row>
    <row r="139" spans="1:16" s="14" customFormat="1" ht="15" customHeight="1">
      <c r="A139" s="111" t="s">
        <v>1375</v>
      </c>
      <c r="B139" s="104" t="s">
        <v>281</v>
      </c>
      <c r="C139" s="105" t="s">
        <v>236</v>
      </c>
      <c r="D139" s="105">
        <v>231</v>
      </c>
      <c r="E139" s="106">
        <f>5000</f>
        <v>5000</v>
      </c>
      <c r="F139" s="116" t="s">
        <v>19</v>
      </c>
      <c r="G139" s="108">
        <v>46213</v>
      </c>
      <c r="H139" s="108">
        <f t="shared" si="3"/>
        <v>46234</v>
      </c>
      <c r="I139" s="108">
        <v>46234</v>
      </c>
      <c r="J139" s="109" t="s">
        <v>1434</v>
      </c>
      <c r="K139" s="113" t="s">
        <v>1377</v>
      </c>
      <c r="M139" s="108"/>
      <c r="N139" s="149"/>
      <c r="P139" s="560"/>
    </row>
    <row r="140" spans="1:16" s="14" customFormat="1" ht="15" customHeight="1">
      <c r="A140" s="111" t="s">
        <v>1375</v>
      </c>
      <c r="B140" s="104" t="s">
        <v>281</v>
      </c>
      <c r="C140" s="105" t="s">
        <v>236</v>
      </c>
      <c r="D140" s="105">
        <v>232</v>
      </c>
      <c r="E140" s="106">
        <f>5000</f>
        <v>5000</v>
      </c>
      <c r="F140" s="116" t="s">
        <v>19</v>
      </c>
      <c r="G140" s="108">
        <v>46213</v>
      </c>
      <c r="H140" s="108">
        <f t="shared" si="3"/>
        <v>46234</v>
      </c>
      <c r="I140" s="108">
        <v>46234</v>
      </c>
      <c r="J140" s="109" t="s">
        <v>1434</v>
      </c>
      <c r="K140" s="113" t="s">
        <v>1377</v>
      </c>
      <c r="M140" s="108"/>
      <c r="N140" s="149"/>
      <c r="P140" s="560"/>
    </row>
    <row r="141" spans="1:16" s="14" customFormat="1" ht="15" customHeight="1">
      <c r="A141" s="111" t="s">
        <v>1375</v>
      </c>
      <c r="B141" s="104" t="s">
        <v>281</v>
      </c>
      <c r="C141" s="105" t="s">
        <v>238</v>
      </c>
      <c r="D141" s="105">
        <v>235</v>
      </c>
      <c r="E141" s="106">
        <f>5000</f>
        <v>5000</v>
      </c>
      <c r="F141" s="116" t="s">
        <v>19</v>
      </c>
      <c r="G141" s="108">
        <v>46213</v>
      </c>
      <c r="H141" s="108">
        <f t="shared" si="3"/>
        <v>46234</v>
      </c>
      <c r="I141" s="108">
        <v>46234</v>
      </c>
      <c r="J141" s="109" t="s">
        <v>1434</v>
      </c>
      <c r="K141" s="113" t="s">
        <v>1377</v>
      </c>
      <c r="M141" s="108"/>
      <c r="N141" s="149"/>
      <c r="P141" s="560"/>
    </row>
    <row r="142" spans="1:16" s="14" customFormat="1" ht="15" customHeight="1">
      <c r="A142" s="111" t="s">
        <v>1375</v>
      </c>
      <c r="B142" s="104" t="s">
        <v>281</v>
      </c>
      <c r="C142" s="105" t="s">
        <v>238</v>
      </c>
      <c r="D142" s="105">
        <v>236</v>
      </c>
      <c r="E142" s="106">
        <f>5000</f>
        <v>5000</v>
      </c>
      <c r="F142" s="116" t="s">
        <v>19</v>
      </c>
      <c r="G142" s="108">
        <v>46213</v>
      </c>
      <c r="H142" s="108">
        <f t="shared" si="3"/>
        <v>46234</v>
      </c>
      <c r="I142" s="108">
        <v>46234</v>
      </c>
      <c r="J142" s="253" t="s">
        <v>1434</v>
      </c>
      <c r="K142" s="113" t="s">
        <v>1377</v>
      </c>
      <c r="M142" s="108"/>
      <c r="N142" s="149"/>
      <c r="P142" s="560"/>
    </row>
    <row r="143" spans="1:16" s="14" customFormat="1" ht="15" customHeight="1">
      <c r="A143" s="111" t="s">
        <v>1375</v>
      </c>
      <c r="B143" s="104" t="s">
        <v>281</v>
      </c>
      <c r="C143" s="105" t="s">
        <v>241</v>
      </c>
      <c r="D143" s="105">
        <v>237</v>
      </c>
      <c r="E143" s="106">
        <f>5000</f>
        <v>5000</v>
      </c>
      <c r="F143" s="116" t="s">
        <v>326</v>
      </c>
      <c r="G143" s="108">
        <v>46209</v>
      </c>
      <c r="H143" s="108">
        <f t="shared" si="3"/>
        <v>46230</v>
      </c>
      <c r="I143" s="108">
        <v>46230</v>
      </c>
      <c r="J143" s="192" t="s">
        <v>1433</v>
      </c>
      <c r="K143" s="113" t="s">
        <v>1377</v>
      </c>
      <c r="M143" s="108"/>
      <c r="N143" s="149"/>
      <c r="P143" s="560"/>
    </row>
    <row r="144" spans="1:16" s="14" customFormat="1" ht="15" customHeight="1">
      <c r="A144" s="111" t="s">
        <v>1375</v>
      </c>
      <c r="B144" s="104" t="s">
        <v>281</v>
      </c>
      <c r="C144" s="105" t="s">
        <v>241</v>
      </c>
      <c r="D144" s="105">
        <v>238</v>
      </c>
      <c r="E144" s="106">
        <f>5000</f>
        <v>5000</v>
      </c>
      <c r="F144" s="116" t="s">
        <v>326</v>
      </c>
      <c r="G144" s="108">
        <v>46209</v>
      </c>
      <c r="H144" s="108">
        <f t="shared" si="3"/>
        <v>46230</v>
      </c>
      <c r="I144" s="108">
        <v>46230</v>
      </c>
      <c r="J144" s="192" t="s">
        <v>1435</v>
      </c>
      <c r="K144" s="113" t="s">
        <v>1377</v>
      </c>
      <c r="M144" s="108"/>
      <c r="N144" s="149"/>
      <c r="P144" s="560"/>
    </row>
    <row r="145" spans="1:16" s="14" customFormat="1" ht="15" customHeight="1">
      <c r="A145" s="111" t="s">
        <v>1375</v>
      </c>
      <c r="B145" s="104" t="s">
        <v>281</v>
      </c>
      <c r="C145" s="105" t="s">
        <v>250</v>
      </c>
      <c r="D145" s="105">
        <v>241</v>
      </c>
      <c r="E145" s="106">
        <f>5000</f>
        <v>5000</v>
      </c>
      <c r="F145" s="116" t="s">
        <v>19</v>
      </c>
      <c r="G145" s="108">
        <v>46213</v>
      </c>
      <c r="H145" s="108">
        <f t="shared" si="3"/>
        <v>46234</v>
      </c>
      <c r="I145" s="108">
        <v>46234</v>
      </c>
      <c r="J145" s="253" t="s">
        <v>1434</v>
      </c>
      <c r="K145" s="113" t="s">
        <v>1377</v>
      </c>
      <c r="M145" s="108"/>
      <c r="N145" s="149"/>
      <c r="P145" s="560"/>
    </row>
    <row r="146" spans="1:16" s="14" customFormat="1" ht="15" customHeight="1">
      <c r="A146" s="111" t="s">
        <v>1375</v>
      </c>
      <c r="B146" s="104" t="s">
        <v>281</v>
      </c>
      <c r="C146" s="105" t="s">
        <v>250</v>
      </c>
      <c r="D146" s="105">
        <v>242</v>
      </c>
      <c r="E146" s="106">
        <f>5000</f>
        <v>5000</v>
      </c>
      <c r="F146" s="116" t="s">
        <v>19</v>
      </c>
      <c r="G146" s="108">
        <v>46213</v>
      </c>
      <c r="H146" s="108">
        <f t="shared" si="3"/>
        <v>46234</v>
      </c>
      <c r="I146" s="108">
        <v>46234</v>
      </c>
      <c r="J146" s="253" t="s">
        <v>1434</v>
      </c>
      <c r="K146" s="113" t="s">
        <v>1377</v>
      </c>
      <c r="M146" s="108"/>
      <c r="N146" s="149"/>
      <c r="P146" s="560"/>
    </row>
    <row r="147" spans="1:16" s="14" customFormat="1" ht="15" customHeight="1">
      <c r="A147" s="111" t="s">
        <v>1375</v>
      </c>
      <c r="B147" s="104" t="s">
        <v>281</v>
      </c>
      <c r="C147" s="105" t="s">
        <v>245</v>
      </c>
      <c r="D147" s="105">
        <v>243</v>
      </c>
      <c r="E147" s="106">
        <f>5000</f>
        <v>5000</v>
      </c>
      <c r="F147" s="116" t="s">
        <v>326</v>
      </c>
      <c r="G147" s="108">
        <v>46209</v>
      </c>
      <c r="H147" s="108">
        <f t="shared" si="3"/>
        <v>46230</v>
      </c>
      <c r="I147" s="108">
        <v>46230</v>
      </c>
      <c r="J147" s="112" t="s">
        <v>1435</v>
      </c>
      <c r="K147" s="113" t="s">
        <v>1377</v>
      </c>
      <c r="M147" s="108"/>
      <c r="N147" s="149"/>
      <c r="P147" s="100"/>
    </row>
    <row r="148" spans="1:16" s="14" customFormat="1" ht="15" customHeight="1">
      <c r="A148" s="111" t="s">
        <v>1375</v>
      </c>
      <c r="B148" s="104" t="s">
        <v>281</v>
      </c>
      <c r="C148" s="105" t="s">
        <v>245</v>
      </c>
      <c r="D148" s="105">
        <v>244</v>
      </c>
      <c r="E148" s="106">
        <f>5000</f>
        <v>5000</v>
      </c>
      <c r="F148" s="116" t="s">
        <v>326</v>
      </c>
      <c r="G148" s="108">
        <v>46209</v>
      </c>
      <c r="H148" s="108">
        <f t="shared" si="3"/>
        <v>46230</v>
      </c>
      <c r="I148" s="108">
        <v>46230</v>
      </c>
      <c r="J148" s="112" t="s">
        <v>1435</v>
      </c>
      <c r="K148" s="113" t="s">
        <v>1377</v>
      </c>
      <c r="M148" s="108"/>
      <c r="N148" s="149"/>
      <c r="P148" s="560"/>
    </row>
    <row r="149" spans="1:16" s="14" customFormat="1" ht="15" customHeight="1">
      <c r="A149" s="111" t="s">
        <v>1375</v>
      </c>
      <c r="B149" s="104" t="s">
        <v>281</v>
      </c>
      <c r="C149" s="105" t="s">
        <v>248</v>
      </c>
      <c r="D149" s="105">
        <v>245</v>
      </c>
      <c r="E149" s="106">
        <f>5000</f>
        <v>5000</v>
      </c>
      <c r="F149" s="116" t="s">
        <v>326</v>
      </c>
      <c r="G149" s="108">
        <v>46209</v>
      </c>
      <c r="H149" s="108">
        <f t="shared" si="3"/>
        <v>46230</v>
      </c>
      <c r="I149" s="108">
        <v>46230</v>
      </c>
      <c r="J149" s="112" t="s">
        <v>1435</v>
      </c>
      <c r="K149" s="113" t="s">
        <v>1377</v>
      </c>
      <c r="M149" s="108"/>
      <c r="N149" s="149"/>
      <c r="P149" s="560"/>
    </row>
    <row r="150" spans="1:16" s="14" customFormat="1" ht="15" customHeight="1">
      <c r="A150" s="111" t="s">
        <v>1375</v>
      </c>
      <c r="B150" s="104" t="s">
        <v>281</v>
      </c>
      <c r="C150" s="105" t="s">
        <v>248</v>
      </c>
      <c r="D150" s="105">
        <v>246</v>
      </c>
      <c r="E150" s="106">
        <f>5000</f>
        <v>5000</v>
      </c>
      <c r="F150" s="116" t="s">
        <v>326</v>
      </c>
      <c r="G150" s="108">
        <v>46209</v>
      </c>
      <c r="H150" s="108">
        <f t="shared" si="3"/>
        <v>46230</v>
      </c>
      <c r="I150" s="108">
        <v>46230</v>
      </c>
      <c r="J150" s="112" t="s">
        <v>1436</v>
      </c>
      <c r="K150" s="113" t="s">
        <v>1377</v>
      </c>
      <c r="M150" s="108"/>
      <c r="N150" s="149"/>
      <c r="P150" s="560"/>
    </row>
    <row r="151" spans="1:16" s="14" customFormat="1" ht="15" customHeight="1">
      <c r="A151" s="111" t="s">
        <v>1375</v>
      </c>
      <c r="B151" s="104" t="s">
        <v>1437</v>
      </c>
      <c r="C151" s="105" t="s">
        <v>253</v>
      </c>
      <c r="D151" s="105">
        <v>247</v>
      </c>
      <c r="E151" s="106">
        <v>4500</v>
      </c>
      <c r="F151" s="107" t="s">
        <v>326</v>
      </c>
      <c r="G151" s="108">
        <v>46209</v>
      </c>
      <c r="H151" s="108">
        <f t="shared" si="3"/>
        <v>46230</v>
      </c>
      <c r="I151" s="108">
        <v>46230</v>
      </c>
      <c r="J151" s="112" t="s">
        <v>1438</v>
      </c>
      <c r="K151" s="113" t="s">
        <v>1377</v>
      </c>
      <c r="M151" s="108"/>
      <c r="N151" s="149"/>
      <c r="P151" s="560"/>
    </row>
    <row r="152" spans="1:16" s="14" customFormat="1" ht="15" customHeight="1">
      <c r="A152" s="111" t="s">
        <v>1375</v>
      </c>
      <c r="B152" s="104" t="s">
        <v>281</v>
      </c>
      <c r="C152" s="105" t="s">
        <v>241</v>
      </c>
      <c r="D152" s="105">
        <v>248</v>
      </c>
      <c r="E152" s="106">
        <f>5000</f>
        <v>5000</v>
      </c>
      <c r="F152" s="116" t="s">
        <v>326</v>
      </c>
      <c r="G152" s="108">
        <v>46209</v>
      </c>
      <c r="H152" s="108">
        <f t="shared" si="3"/>
        <v>46230</v>
      </c>
      <c r="I152" s="108">
        <v>46230</v>
      </c>
      <c r="J152" s="112" t="s">
        <v>1436</v>
      </c>
      <c r="K152" s="113" t="s">
        <v>1377</v>
      </c>
      <c r="M152" s="108"/>
      <c r="N152" s="149"/>
      <c r="P152" s="560"/>
    </row>
    <row r="153" spans="1:16" s="14" customFormat="1" ht="15" customHeight="1">
      <c r="A153" s="111" t="s">
        <v>1375</v>
      </c>
      <c r="B153" s="104" t="s">
        <v>281</v>
      </c>
      <c r="C153" s="105" t="s">
        <v>241</v>
      </c>
      <c r="D153" s="105">
        <v>249</v>
      </c>
      <c r="E153" s="106">
        <f>5000</f>
        <v>5000</v>
      </c>
      <c r="F153" s="116" t="s">
        <v>326</v>
      </c>
      <c r="G153" s="108">
        <v>46209</v>
      </c>
      <c r="H153" s="108">
        <f t="shared" ref="H153:H165" si="4">G153+21</f>
        <v>46230</v>
      </c>
      <c r="I153" s="108">
        <v>46230</v>
      </c>
      <c r="J153" s="112" t="s">
        <v>1436</v>
      </c>
      <c r="K153" s="113" t="s">
        <v>1377</v>
      </c>
      <c r="M153" s="108"/>
      <c r="N153" s="149"/>
      <c r="P153" s="560"/>
    </row>
    <row r="154" spans="1:16" s="14" customFormat="1" ht="15" customHeight="1">
      <c r="A154" s="111" t="s">
        <v>1375</v>
      </c>
      <c r="B154" s="104" t="s">
        <v>281</v>
      </c>
      <c r="C154" s="105" t="s">
        <v>256</v>
      </c>
      <c r="D154" s="105">
        <v>250</v>
      </c>
      <c r="E154" s="106">
        <f>5000</f>
        <v>5000</v>
      </c>
      <c r="F154" s="116" t="s">
        <v>326</v>
      </c>
      <c r="G154" s="108">
        <v>46209</v>
      </c>
      <c r="H154" s="108">
        <f t="shared" si="4"/>
        <v>46230</v>
      </c>
      <c r="I154" s="108">
        <v>46230</v>
      </c>
      <c r="J154" s="192" t="s">
        <v>1436</v>
      </c>
      <c r="K154" s="113" t="s">
        <v>1377</v>
      </c>
      <c r="M154" s="108"/>
      <c r="N154" s="149"/>
      <c r="P154" s="560"/>
    </row>
    <row r="155" spans="1:16" s="14" customFormat="1" ht="15" customHeight="1">
      <c r="A155" s="111" t="s">
        <v>1375</v>
      </c>
      <c r="B155" s="104" t="s">
        <v>281</v>
      </c>
      <c r="C155" s="105" t="s">
        <v>256</v>
      </c>
      <c r="D155" s="105">
        <v>251</v>
      </c>
      <c r="E155" s="106">
        <f>5000</f>
        <v>5000</v>
      </c>
      <c r="F155" s="116" t="s">
        <v>326</v>
      </c>
      <c r="G155" s="108">
        <v>46209</v>
      </c>
      <c r="H155" s="108">
        <f t="shared" si="4"/>
        <v>46230</v>
      </c>
      <c r="I155" s="108">
        <v>46230</v>
      </c>
      <c r="J155" s="112" t="s">
        <v>1436</v>
      </c>
      <c r="K155" s="113" t="s">
        <v>1377</v>
      </c>
      <c r="M155" s="108"/>
      <c r="N155" s="149"/>
      <c r="P155" s="560"/>
    </row>
    <row r="156" spans="1:16" s="14" customFormat="1" ht="15" customHeight="1">
      <c r="A156" s="111" t="s">
        <v>1375</v>
      </c>
      <c r="B156" s="104" t="s">
        <v>281</v>
      </c>
      <c r="C156" s="105" t="s">
        <v>245</v>
      </c>
      <c r="D156" s="105">
        <v>252</v>
      </c>
      <c r="E156" s="106">
        <f>5000</f>
        <v>5000</v>
      </c>
      <c r="F156" s="116" t="s">
        <v>326</v>
      </c>
      <c r="G156" s="108">
        <v>46213</v>
      </c>
      <c r="H156" s="108">
        <f t="shared" si="4"/>
        <v>46234</v>
      </c>
      <c r="I156" s="108">
        <v>46234</v>
      </c>
      <c r="J156" s="253" t="s">
        <v>1439</v>
      </c>
      <c r="K156" s="113" t="s">
        <v>1377</v>
      </c>
      <c r="M156" s="108"/>
      <c r="N156" s="149"/>
      <c r="P156" s="560"/>
    </row>
    <row r="157" spans="1:16" s="14" customFormat="1" ht="15" customHeight="1">
      <c r="A157" s="111" t="s">
        <v>1375</v>
      </c>
      <c r="B157" s="104" t="s">
        <v>281</v>
      </c>
      <c r="C157" s="105" t="s">
        <v>245</v>
      </c>
      <c r="D157" s="105">
        <v>253</v>
      </c>
      <c r="E157" s="106">
        <f>5000</f>
        <v>5000</v>
      </c>
      <c r="F157" s="116" t="s">
        <v>326</v>
      </c>
      <c r="G157" s="108">
        <v>46213</v>
      </c>
      <c r="H157" s="108">
        <f t="shared" si="4"/>
        <v>46234</v>
      </c>
      <c r="I157" s="108">
        <v>46234</v>
      </c>
      <c r="J157" s="253" t="s">
        <v>1439</v>
      </c>
      <c r="K157" s="113" t="s">
        <v>1377</v>
      </c>
      <c r="M157" s="108"/>
      <c r="N157" s="149"/>
      <c r="P157" s="560"/>
    </row>
    <row r="158" spans="1:16" s="14" customFormat="1" ht="15" customHeight="1">
      <c r="A158" s="111" t="s">
        <v>1375</v>
      </c>
      <c r="B158" s="104" t="s">
        <v>281</v>
      </c>
      <c r="C158" s="105" t="s">
        <v>260</v>
      </c>
      <c r="D158" s="105">
        <v>254</v>
      </c>
      <c r="E158" s="106">
        <f>5000</f>
        <v>5000</v>
      </c>
      <c r="F158" s="116" t="s">
        <v>326</v>
      </c>
      <c r="G158" s="108">
        <v>46213</v>
      </c>
      <c r="H158" s="108">
        <f t="shared" si="4"/>
        <v>46234</v>
      </c>
      <c r="I158" s="108">
        <v>46234</v>
      </c>
      <c r="J158" s="253" t="s">
        <v>1439</v>
      </c>
      <c r="K158" s="113" t="s">
        <v>1377</v>
      </c>
      <c r="M158" s="108"/>
      <c r="N158" s="149"/>
      <c r="P158" s="560"/>
    </row>
    <row r="159" spans="1:16" s="14" customFormat="1" ht="15" customHeight="1">
      <c r="A159" s="111" t="s">
        <v>1375</v>
      </c>
      <c r="B159" s="104" t="s">
        <v>281</v>
      </c>
      <c r="C159" s="105" t="s">
        <v>260</v>
      </c>
      <c r="D159" s="105">
        <v>255</v>
      </c>
      <c r="E159" s="106">
        <f>5000</f>
        <v>5000</v>
      </c>
      <c r="F159" s="116" t="s">
        <v>326</v>
      </c>
      <c r="G159" s="108">
        <v>46213</v>
      </c>
      <c r="H159" s="108">
        <f t="shared" si="4"/>
        <v>46234</v>
      </c>
      <c r="I159" s="108">
        <v>46234</v>
      </c>
      <c r="J159" s="253" t="s">
        <v>1439</v>
      </c>
      <c r="K159" s="113" t="s">
        <v>1377</v>
      </c>
      <c r="M159" s="108"/>
      <c r="N159" s="149"/>
      <c r="P159" s="560"/>
    </row>
    <row r="160" spans="1:16" s="14" customFormat="1" ht="15" customHeight="1">
      <c r="A160" s="111" t="s">
        <v>1375</v>
      </c>
      <c r="B160" s="104" t="s">
        <v>281</v>
      </c>
      <c r="C160" s="105" t="s">
        <v>263</v>
      </c>
      <c r="D160" s="105">
        <v>258</v>
      </c>
      <c r="E160" s="106">
        <f>5000</f>
        <v>5000</v>
      </c>
      <c r="F160" s="116" t="s">
        <v>326</v>
      </c>
      <c r="G160" s="108">
        <v>46213</v>
      </c>
      <c r="H160" s="108">
        <f t="shared" si="4"/>
        <v>46234</v>
      </c>
      <c r="I160" s="108">
        <v>46234</v>
      </c>
      <c r="J160" s="253" t="s">
        <v>1439</v>
      </c>
      <c r="K160" s="113" t="s">
        <v>1377</v>
      </c>
      <c r="M160" s="108"/>
      <c r="N160" s="149"/>
      <c r="P160" s="560"/>
    </row>
    <row r="161" spans="1:16" s="14" customFormat="1" ht="15" customHeight="1">
      <c r="A161" s="111" t="s">
        <v>1375</v>
      </c>
      <c r="B161" s="104" t="s">
        <v>281</v>
      </c>
      <c r="C161" s="105" t="s">
        <v>263</v>
      </c>
      <c r="D161" s="105">
        <v>259</v>
      </c>
      <c r="E161" s="106">
        <f>5000</f>
        <v>5000</v>
      </c>
      <c r="F161" s="116" t="s">
        <v>19</v>
      </c>
      <c r="G161" s="108">
        <v>46213</v>
      </c>
      <c r="H161" s="108">
        <f t="shared" si="4"/>
        <v>46234</v>
      </c>
      <c r="I161" s="108">
        <v>46234</v>
      </c>
      <c r="J161" s="109" t="s">
        <v>1440</v>
      </c>
      <c r="K161" s="113" t="s">
        <v>1377</v>
      </c>
      <c r="M161" s="108"/>
      <c r="N161" s="149"/>
      <c r="P161" s="100"/>
    </row>
    <row r="162" spans="1:16" s="14" customFormat="1" ht="15" customHeight="1">
      <c r="A162" s="111" t="s">
        <v>1375</v>
      </c>
      <c r="B162" s="104" t="s">
        <v>281</v>
      </c>
      <c r="C162" s="105" t="s">
        <v>265</v>
      </c>
      <c r="D162" s="105">
        <v>260</v>
      </c>
      <c r="E162" s="106">
        <f>5000</f>
        <v>5000</v>
      </c>
      <c r="F162" s="116" t="s">
        <v>19</v>
      </c>
      <c r="G162" s="108">
        <v>46213</v>
      </c>
      <c r="H162" s="108">
        <f t="shared" si="4"/>
        <v>46234</v>
      </c>
      <c r="I162" s="108">
        <v>46234</v>
      </c>
      <c r="J162" s="109" t="s">
        <v>1440</v>
      </c>
      <c r="K162" s="113" t="s">
        <v>1377</v>
      </c>
      <c r="M162" s="108"/>
      <c r="N162" s="149"/>
      <c r="P162" s="560"/>
    </row>
    <row r="163" spans="1:16" s="14" customFormat="1" ht="15" customHeight="1">
      <c r="A163" s="111" t="s">
        <v>1375</v>
      </c>
      <c r="B163" s="104" t="s">
        <v>281</v>
      </c>
      <c r="C163" s="105" t="s">
        <v>265</v>
      </c>
      <c r="D163" s="105">
        <v>261</v>
      </c>
      <c r="E163" s="106">
        <f>5000</f>
        <v>5000</v>
      </c>
      <c r="F163" s="116" t="s">
        <v>19</v>
      </c>
      <c r="G163" s="108">
        <v>46213</v>
      </c>
      <c r="H163" s="108">
        <f t="shared" si="4"/>
        <v>46234</v>
      </c>
      <c r="I163" s="108">
        <v>46234</v>
      </c>
      <c r="J163" s="109" t="s">
        <v>1440</v>
      </c>
      <c r="K163" s="113" t="s">
        <v>1377</v>
      </c>
      <c r="M163" s="108"/>
      <c r="N163" s="149"/>
      <c r="P163" s="560"/>
    </row>
    <row r="164" spans="1:16" s="14" customFormat="1" ht="15" customHeight="1">
      <c r="A164" s="111" t="s">
        <v>1375</v>
      </c>
      <c r="B164" s="104" t="s">
        <v>281</v>
      </c>
      <c r="C164" s="105" t="s">
        <v>267</v>
      </c>
      <c r="D164" s="105">
        <v>262</v>
      </c>
      <c r="E164" s="106">
        <f>5000</f>
        <v>5000</v>
      </c>
      <c r="F164" s="116" t="s">
        <v>19</v>
      </c>
      <c r="G164" s="108">
        <v>46213</v>
      </c>
      <c r="H164" s="108">
        <f t="shared" si="4"/>
        <v>46234</v>
      </c>
      <c r="I164" s="108">
        <v>46234</v>
      </c>
      <c r="J164" s="109" t="s">
        <v>1440</v>
      </c>
      <c r="K164" s="113" t="s">
        <v>1377</v>
      </c>
      <c r="M164" s="108"/>
      <c r="N164" s="149"/>
      <c r="P164" s="560"/>
    </row>
    <row r="165" spans="1:16" s="14" customFormat="1" ht="15" customHeight="1">
      <c r="A165" s="111" t="s">
        <v>1375</v>
      </c>
      <c r="B165" s="104" t="s">
        <v>281</v>
      </c>
      <c r="C165" s="105" t="s">
        <v>267</v>
      </c>
      <c r="D165" s="105">
        <v>263</v>
      </c>
      <c r="E165" s="106">
        <f>5000</f>
        <v>5000</v>
      </c>
      <c r="F165" s="116" t="s">
        <v>19</v>
      </c>
      <c r="G165" s="108">
        <v>46213</v>
      </c>
      <c r="H165" s="108">
        <f t="shared" si="4"/>
        <v>46234</v>
      </c>
      <c r="I165" s="108">
        <v>46234</v>
      </c>
      <c r="J165" s="253" t="s">
        <v>1440</v>
      </c>
      <c r="K165" s="113" t="s">
        <v>1377</v>
      </c>
      <c r="M165" s="108"/>
      <c r="N165" s="149"/>
      <c r="P165" s="560"/>
    </row>
    <row r="166" spans="1:16" s="14" customFormat="1" ht="15" customHeight="1">
      <c r="A166" s="111" t="s">
        <v>1375</v>
      </c>
      <c r="B166" s="104" t="s">
        <v>281</v>
      </c>
      <c r="C166" s="105" t="s">
        <v>270</v>
      </c>
      <c r="D166" s="105">
        <v>293</v>
      </c>
      <c r="E166" s="106">
        <f>8563.86</f>
        <v>8563.86</v>
      </c>
      <c r="F166" s="116" t="s">
        <v>19</v>
      </c>
      <c r="G166" s="108">
        <v>46220</v>
      </c>
      <c r="H166" s="108">
        <v>46244</v>
      </c>
      <c r="I166" s="108">
        <v>46244</v>
      </c>
      <c r="J166" s="253" t="s">
        <v>1441</v>
      </c>
      <c r="K166" s="113" t="s">
        <v>1377</v>
      </c>
      <c r="M166" s="108"/>
      <c r="N166" s="149"/>
      <c r="P166" s="560"/>
    </row>
    <row r="167" spans="1:16" s="14" customFormat="1" ht="15" customHeight="1">
      <c r="A167" s="111" t="s">
        <v>1375</v>
      </c>
      <c r="B167" s="104" t="s">
        <v>281</v>
      </c>
      <c r="C167" s="105" t="s">
        <v>270</v>
      </c>
      <c r="D167" s="105">
        <v>294</v>
      </c>
      <c r="E167" s="106">
        <f>8563.86</f>
        <v>8563.86</v>
      </c>
      <c r="F167" s="116" t="s">
        <v>19</v>
      </c>
      <c r="G167" s="108">
        <v>46220</v>
      </c>
      <c r="H167" s="108">
        <v>46244</v>
      </c>
      <c r="I167" s="108">
        <v>46244</v>
      </c>
      <c r="J167" s="253" t="s">
        <v>1441</v>
      </c>
      <c r="K167" s="113" t="s">
        <v>1377</v>
      </c>
      <c r="M167" s="108"/>
      <c r="N167" s="149"/>
      <c r="P167" s="560"/>
    </row>
    <row r="168" spans="1:16" s="14" customFormat="1" ht="15" customHeight="1">
      <c r="A168" s="111" t="s">
        <v>1375</v>
      </c>
      <c r="B168" s="104" t="s">
        <v>281</v>
      </c>
      <c r="C168" s="105" t="s">
        <v>272</v>
      </c>
      <c r="D168" s="105">
        <v>295</v>
      </c>
      <c r="E168" s="106">
        <f>8563.86</f>
        <v>8563.86</v>
      </c>
      <c r="F168" s="116" t="s">
        <v>19</v>
      </c>
      <c r="G168" s="108">
        <v>46220</v>
      </c>
      <c r="H168" s="108">
        <v>46244</v>
      </c>
      <c r="I168" s="108">
        <v>46244</v>
      </c>
      <c r="J168" s="253" t="s">
        <v>1441</v>
      </c>
      <c r="K168" s="113" t="s">
        <v>1377</v>
      </c>
      <c r="M168" s="108"/>
      <c r="N168" s="149"/>
      <c r="P168" s="560"/>
    </row>
    <row r="169" spans="1:16" s="14" customFormat="1" ht="15" customHeight="1">
      <c r="A169" s="111" t="s">
        <v>1375</v>
      </c>
      <c r="B169" s="104" t="s">
        <v>281</v>
      </c>
      <c r="C169" s="105" t="s">
        <v>272</v>
      </c>
      <c r="D169" s="105">
        <v>296</v>
      </c>
      <c r="E169" s="106">
        <f>8563.86</f>
        <v>8563.86</v>
      </c>
      <c r="F169" s="116" t="s">
        <v>19</v>
      </c>
      <c r="G169" s="108">
        <v>46220</v>
      </c>
      <c r="H169" s="108">
        <v>46244</v>
      </c>
      <c r="I169" s="108">
        <v>46244</v>
      </c>
      <c r="J169" s="109" t="s">
        <v>1441</v>
      </c>
      <c r="K169" s="113" t="s">
        <v>1377</v>
      </c>
      <c r="M169" s="108"/>
      <c r="N169" s="149"/>
      <c r="P169" s="100"/>
    </row>
    <row r="170" spans="1:16" s="14" customFormat="1" ht="15" customHeight="1">
      <c r="A170" s="111" t="s">
        <v>1375</v>
      </c>
      <c r="B170" s="104" t="s">
        <v>281</v>
      </c>
      <c r="C170" s="105" t="s">
        <v>245</v>
      </c>
      <c r="D170" s="105">
        <v>297</v>
      </c>
      <c r="E170" s="106">
        <f>5000</f>
        <v>5000</v>
      </c>
      <c r="F170" s="116" t="s">
        <v>19</v>
      </c>
      <c r="G170" s="108">
        <v>46220</v>
      </c>
      <c r="H170" s="108">
        <v>46244</v>
      </c>
      <c r="I170" s="108">
        <v>46244</v>
      </c>
      <c r="J170" s="109" t="s">
        <v>1442</v>
      </c>
      <c r="K170" s="113" t="s">
        <v>1377</v>
      </c>
      <c r="M170" s="108"/>
      <c r="N170" s="149"/>
      <c r="P170" s="560"/>
    </row>
    <row r="171" spans="1:16" s="14" customFormat="1" ht="15" customHeight="1">
      <c r="A171" s="111" t="s">
        <v>1375</v>
      </c>
      <c r="B171" s="104" t="s">
        <v>281</v>
      </c>
      <c r="C171" s="105" t="s">
        <v>245</v>
      </c>
      <c r="D171" s="105">
        <v>299</v>
      </c>
      <c r="E171" s="106">
        <f>5000</f>
        <v>5000</v>
      </c>
      <c r="F171" s="116" t="s">
        <v>19</v>
      </c>
      <c r="G171" s="108">
        <v>46220</v>
      </c>
      <c r="H171" s="108">
        <v>46244</v>
      </c>
      <c r="I171" s="108">
        <v>46244</v>
      </c>
      <c r="J171" s="109" t="s">
        <v>1442</v>
      </c>
      <c r="K171" s="113" t="s">
        <v>1377</v>
      </c>
      <c r="M171" s="108"/>
      <c r="N171" s="149"/>
      <c r="P171" s="560"/>
    </row>
    <row r="172" spans="1:16" s="14" customFormat="1" ht="15" customHeight="1">
      <c r="A172" s="111" t="s">
        <v>1375</v>
      </c>
      <c r="B172" s="104" t="s">
        <v>281</v>
      </c>
      <c r="C172" s="105" t="s">
        <v>275</v>
      </c>
      <c r="D172" s="105">
        <v>303</v>
      </c>
      <c r="E172" s="106">
        <f>5000</f>
        <v>5000</v>
      </c>
      <c r="F172" s="116" t="s">
        <v>19</v>
      </c>
      <c r="G172" s="108">
        <v>46220</v>
      </c>
      <c r="H172" s="108">
        <v>46244</v>
      </c>
      <c r="I172" s="108">
        <v>46244</v>
      </c>
      <c r="J172" s="109" t="s">
        <v>1442</v>
      </c>
      <c r="K172" s="113" t="s">
        <v>1377</v>
      </c>
      <c r="M172" s="108"/>
      <c r="N172" s="149"/>
      <c r="P172" s="560"/>
    </row>
    <row r="173" spans="1:16" s="14" customFormat="1" ht="15" customHeight="1">
      <c r="A173" s="111" t="s">
        <v>1375</v>
      </c>
      <c r="B173" s="111" t="s">
        <v>281</v>
      </c>
      <c r="C173" s="115"/>
      <c r="D173" s="105">
        <v>307</v>
      </c>
      <c r="E173" s="106">
        <f>5000</f>
        <v>5000</v>
      </c>
      <c r="F173" s="116" t="s">
        <v>19</v>
      </c>
      <c r="G173" s="108">
        <v>46224</v>
      </c>
      <c r="H173" s="108">
        <f>G173+21</f>
        <v>46245</v>
      </c>
      <c r="I173" s="108">
        <v>46246</v>
      </c>
      <c r="J173" s="253" t="s">
        <v>1443</v>
      </c>
      <c r="K173" s="113" t="s">
        <v>1377</v>
      </c>
      <c r="M173" s="108"/>
      <c r="N173" s="149"/>
      <c r="P173" s="560"/>
    </row>
    <row r="174" spans="1:16" s="14" customFormat="1" ht="15" customHeight="1">
      <c r="A174" s="111" t="s">
        <v>1375</v>
      </c>
      <c r="B174" s="111" t="s">
        <v>281</v>
      </c>
      <c r="C174" s="115"/>
      <c r="D174" s="105">
        <v>308</v>
      </c>
      <c r="E174" s="106">
        <f>5000</f>
        <v>5000</v>
      </c>
      <c r="F174" s="116" t="s">
        <v>19</v>
      </c>
      <c r="G174" s="108">
        <v>46224</v>
      </c>
      <c r="H174" s="108">
        <f>G174+21</f>
        <v>46245</v>
      </c>
      <c r="I174" s="108">
        <v>46246</v>
      </c>
      <c r="J174" s="253" t="s">
        <v>1443</v>
      </c>
      <c r="K174" s="113" t="s">
        <v>1377</v>
      </c>
      <c r="M174" s="108"/>
      <c r="N174" s="149"/>
      <c r="P174" s="560"/>
    </row>
    <row r="175" spans="1:16" s="14" customFormat="1" ht="15" customHeight="1">
      <c r="A175" s="111" t="s">
        <v>1402</v>
      </c>
      <c r="B175" s="104" t="s">
        <v>1444</v>
      </c>
      <c r="C175" s="105"/>
      <c r="D175" s="105">
        <v>319</v>
      </c>
      <c r="E175" s="118">
        <v>14241</v>
      </c>
      <c r="F175" s="116" t="s">
        <v>19</v>
      </c>
      <c r="G175" s="108">
        <v>46227</v>
      </c>
      <c r="H175" s="108">
        <v>46239</v>
      </c>
      <c r="I175" s="108">
        <v>46239</v>
      </c>
      <c r="J175" s="192" t="s">
        <v>1445</v>
      </c>
      <c r="K175" s="113" t="s">
        <v>1405</v>
      </c>
      <c r="M175" s="108"/>
      <c r="N175" s="149"/>
      <c r="P175" s="560"/>
    </row>
    <row r="176" spans="1:16" s="14" customFormat="1" ht="15" customHeight="1">
      <c r="A176" s="111" t="s">
        <v>1402</v>
      </c>
      <c r="B176" s="104" t="s">
        <v>1444</v>
      </c>
      <c r="C176" s="105"/>
      <c r="D176" s="105">
        <v>321</v>
      </c>
      <c r="E176" s="118">
        <v>9235.6</v>
      </c>
      <c r="F176" s="116" t="s">
        <v>19</v>
      </c>
      <c r="G176" s="108">
        <v>46230</v>
      </c>
      <c r="H176" s="108">
        <v>46239</v>
      </c>
      <c r="I176" s="108">
        <v>46239</v>
      </c>
      <c r="J176" s="192" t="s">
        <v>1445</v>
      </c>
      <c r="K176" s="113" t="s">
        <v>1405</v>
      </c>
      <c r="M176" s="108"/>
      <c r="N176" s="149"/>
      <c r="P176" s="560"/>
    </row>
    <row r="177" spans="1:38" s="14" customFormat="1" ht="15" customHeight="1">
      <c r="A177" s="111" t="s">
        <v>1402</v>
      </c>
      <c r="B177" s="104" t="s">
        <v>1444</v>
      </c>
      <c r="C177" s="105"/>
      <c r="D177" s="105">
        <v>322</v>
      </c>
      <c r="E177" s="118">
        <v>5694.92</v>
      </c>
      <c r="F177" s="116" t="s">
        <v>19</v>
      </c>
      <c r="G177" s="108">
        <v>46230</v>
      </c>
      <c r="H177" s="108">
        <v>46239</v>
      </c>
      <c r="I177" s="108">
        <v>46239</v>
      </c>
      <c r="J177" s="192" t="s">
        <v>1445</v>
      </c>
      <c r="K177" s="113" t="s">
        <v>1405</v>
      </c>
      <c r="M177" s="108"/>
      <c r="N177" s="149"/>
      <c r="P177" s="560"/>
    </row>
    <row r="178" spans="1:38" s="14" customFormat="1" ht="15" customHeight="1">
      <c r="A178" s="111" t="s">
        <v>1375</v>
      </c>
      <c r="B178" s="111" t="s">
        <v>281</v>
      </c>
      <c r="C178" s="115"/>
      <c r="D178" s="105">
        <v>323</v>
      </c>
      <c r="E178" s="106">
        <v>4400</v>
      </c>
      <c r="F178" s="116" t="s">
        <v>19</v>
      </c>
      <c r="G178" s="108">
        <v>46234</v>
      </c>
      <c r="H178" s="108">
        <f>G178+21</f>
        <v>46255</v>
      </c>
      <c r="I178" s="108">
        <v>46254</v>
      </c>
      <c r="J178" s="254" t="s">
        <v>1446</v>
      </c>
      <c r="K178" s="113" t="s">
        <v>1377</v>
      </c>
      <c r="M178" s="108"/>
      <c r="N178" s="149"/>
      <c r="P178" s="560"/>
    </row>
    <row r="179" spans="1:38" s="14" customFormat="1" ht="15" customHeight="1">
      <c r="A179" s="111" t="s">
        <v>1375</v>
      </c>
      <c r="B179" s="111" t="s">
        <v>281</v>
      </c>
      <c r="C179" s="115"/>
      <c r="D179" s="105">
        <v>324</v>
      </c>
      <c r="E179" s="106">
        <v>4400</v>
      </c>
      <c r="F179" s="116" t="s">
        <v>19</v>
      </c>
      <c r="G179" s="108">
        <v>46234</v>
      </c>
      <c r="H179" s="108">
        <f>G179+21</f>
        <v>46255</v>
      </c>
      <c r="I179" s="108">
        <v>46254</v>
      </c>
      <c r="J179" s="148" t="s">
        <v>1446</v>
      </c>
      <c r="K179" s="113" t="s">
        <v>1377</v>
      </c>
      <c r="M179" s="108"/>
      <c r="N179" s="149"/>
      <c r="P179" s="100"/>
    </row>
    <row r="180" spans="1:38" s="14" customFormat="1" ht="15" customHeight="1">
      <c r="A180" s="111" t="s">
        <v>1375</v>
      </c>
      <c r="B180" s="111" t="s">
        <v>281</v>
      </c>
      <c r="C180" s="115"/>
      <c r="D180" s="105">
        <v>325</v>
      </c>
      <c r="E180" s="106">
        <v>4400</v>
      </c>
      <c r="F180" s="116" t="s">
        <v>19</v>
      </c>
      <c r="G180" s="108">
        <v>46234</v>
      </c>
      <c r="H180" s="108">
        <f>G180+21</f>
        <v>46255</v>
      </c>
      <c r="I180" s="108">
        <v>46254</v>
      </c>
      <c r="J180" s="148" t="s">
        <v>1446</v>
      </c>
      <c r="K180" s="113" t="s">
        <v>1377</v>
      </c>
      <c r="M180" s="108"/>
      <c r="N180" s="149"/>
      <c r="P180" s="560"/>
    </row>
    <row r="181" spans="1:38" s="14" customFormat="1" ht="15" customHeight="1">
      <c r="A181" s="111" t="s">
        <v>1447</v>
      </c>
      <c r="B181" s="114" t="s">
        <v>1448</v>
      </c>
      <c r="C181" s="136" t="s">
        <v>1412</v>
      </c>
      <c r="D181" s="136">
        <v>304</v>
      </c>
      <c r="E181" s="118">
        <v>6000</v>
      </c>
      <c r="F181" s="151" t="s">
        <v>19</v>
      </c>
      <c r="G181" s="108">
        <v>46220</v>
      </c>
      <c r="H181" s="180">
        <f>G181+59</f>
        <v>46279</v>
      </c>
      <c r="I181" s="180">
        <v>46280</v>
      </c>
      <c r="J181" s="112" t="s">
        <v>1449</v>
      </c>
      <c r="K181" s="113" t="s">
        <v>1450</v>
      </c>
      <c r="L181"/>
      <c r="M181" s="122"/>
      <c r="N181" s="122"/>
      <c r="O181"/>
      <c r="P181" s="113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s="14" customFormat="1" ht="15" customHeight="1">
      <c r="A182" s="111" t="s">
        <v>1447</v>
      </c>
      <c r="B182" s="114" t="s">
        <v>1448</v>
      </c>
      <c r="C182" s="136" t="s">
        <v>1412</v>
      </c>
      <c r="D182" s="136">
        <v>305</v>
      </c>
      <c r="E182" s="118">
        <v>6000</v>
      </c>
      <c r="F182" s="151" t="s">
        <v>19</v>
      </c>
      <c r="G182" s="108">
        <v>46220</v>
      </c>
      <c r="H182" s="180">
        <f>G182+59</f>
        <v>46279</v>
      </c>
      <c r="I182" s="180">
        <v>46280</v>
      </c>
      <c r="J182" s="112" t="s">
        <v>1449</v>
      </c>
      <c r="K182" s="113" t="s">
        <v>1450</v>
      </c>
      <c r="L182"/>
      <c r="M182" s="122"/>
      <c r="N182" s="122"/>
      <c r="O182"/>
      <c r="P182" s="113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s="14" customFormat="1" ht="15" customHeight="1">
      <c r="A183" s="111" t="s">
        <v>1375</v>
      </c>
      <c r="B183" s="111" t="s">
        <v>281</v>
      </c>
      <c r="C183" s="115"/>
      <c r="D183" s="105">
        <v>327</v>
      </c>
      <c r="E183" s="106">
        <v>4400</v>
      </c>
      <c r="F183" s="116" t="s">
        <v>19</v>
      </c>
      <c r="G183" s="108">
        <v>46234</v>
      </c>
      <c r="H183" s="108">
        <f>G183+21</f>
        <v>46255</v>
      </c>
      <c r="I183" s="108">
        <v>46254</v>
      </c>
      <c r="J183" s="148" t="s">
        <v>1446</v>
      </c>
      <c r="K183" s="113" t="s">
        <v>1377</v>
      </c>
      <c r="M183" s="108"/>
      <c r="N183" s="149"/>
      <c r="P183" s="560"/>
    </row>
    <row r="184" spans="1:38" s="14" customFormat="1" ht="15" customHeight="1">
      <c r="A184" s="111" t="s">
        <v>1375</v>
      </c>
      <c r="B184" s="111" t="s">
        <v>281</v>
      </c>
      <c r="C184" s="115"/>
      <c r="D184" s="105">
        <v>329</v>
      </c>
      <c r="E184" s="106">
        <v>4400</v>
      </c>
      <c r="F184" s="116" t="s">
        <v>19</v>
      </c>
      <c r="G184" s="108">
        <v>46234</v>
      </c>
      <c r="H184" s="108">
        <f>G184+21</f>
        <v>46255</v>
      </c>
      <c r="I184" s="108">
        <v>46254</v>
      </c>
      <c r="J184" s="254" t="s">
        <v>1446</v>
      </c>
      <c r="K184" s="113" t="s">
        <v>1377</v>
      </c>
      <c r="M184" s="108"/>
      <c r="N184" s="149"/>
      <c r="P184" s="560"/>
    </row>
    <row r="185" spans="1:38" s="14" customFormat="1" ht="15" customHeight="1">
      <c r="A185" s="111" t="s">
        <v>1451</v>
      </c>
      <c r="B185" s="104" t="s">
        <v>1451</v>
      </c>
      <c r="C185" s="105"/>
      <c r="D185" s="105">
        <v>314</v>
      </c>
      <c r="E185" s="110">
        <v>8000</v>
      </c>
      <c r="F185" s="107" t="s">
        <v>19</v>
      </c>
      <c r="G185" s="108">
        <v>46226</v>
      </c>
      <c r="H185" s="108">
        <v>46237</v>
      </c>
      <c r="I185" s="108">
        <v>46237</v>
      </c>
      <c r="J185" s="253" t="s">
        <v>1445</v>
      </c>
      <c r="K185" s="113"/>
      <c r="M185" s="108"/>
      <c r="N185" s="149"/>
      <c r="P185" s="560"/>
    </row>
    <row r="186" spans="1:38" s="14" customFormat="1" ht="15" customHeight="1">
      <c r="A186" s="111" t="s">
        <v>1451</v>
      </c>
      <c r="B186" s="104" t="s">
        <v>1451</v>
      </c>
      <c r="C186" s="105"/>
      <c r="D186" s="105">
        <v>315</v>
      </c>
      <c r="E186" s="110">
        <v>6000</v>
      </c>
      <c r="F186" s="107" t="s">
        <v>19</v>
      </c>
      <c r="G186" s="108">
        <v>46226</v>
      </c>
      <c r="H186" s="108">
        <v>46237</v>
      </c>
      <c r="I186" s="108">
        <v>46237</v>
      </c>
      <c r="J186" s="253" t="s">
        <v>1445</v>
      </c>
      <c r="K186" s="113"/>
      <c r="M186" s="108"/>
      <c r="N186" s="149"/>
      <c r="P186" s="560"/>
    </row>
    <row r="187" spans="1:38" s="14" customFormat="1" ht="15" customHeight="1">
      <c r="A187" s="111" t="s">
        <v>1451</v>
      </c>
      <c r="B187" s="114" t="s">
        <v>1451</v>
      </c>
      <c r="C187" s="136" t="s">
        <v>1412</v>
      </c>
      <c r="D187" s="136">
        <v>315</v>
      </c>
      <c r="E187" s="118">
        <v>33000</v>
      </c>
      <c r="F187" s="116" t="s">
        <v>19</v>
      </c>
      <c r="G187" s="108">
        <v>46237</v>
      </c>
      <c r="H187" s="117">
        <v>46237</v>
      </c>
      <c r="I187" s="117">
        <v>46237</v>
      </c>
      <c r="J187" s="192" t="s">
        <v>1445</v>
      </c>
      <c r="K187" s="113"/>
      <c r="L187"/>
      <c r="M187" s="122"/>
      <c r="N187" s="122"/>
      <c r="O187"/>
      <c r="P187" s="113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s="14" customFormat="1" ht="15" customHeight="1">
      <c r="A188" s="111" t="s">
        <v>1451</v>
      </c>
      <c r="B188" s="104" t="s">
        <v>1451</v>
      </c>
      <c r="C188" s="105"/>
      <c r="D188" s="105">
        <v>316</v>
      </c>
      <c r="E188" s="110">
        <v>6000</v>
      </c>
      <c r="F188" s="107" t="s">
        <v>19</v>
      </c>
      <c r="G188" s="108">
        <v>46226</v>
      </c>
      <c r="H188" s="108">
        <v>46237</v>
      </c>
      <c r="I188" s="108">
        <v>46237</v>
      </c>
      <c r="J188" s="253" t="s">
        <v>1445</v>
      </c>
      <c r="K188" s="113"/>
      <c r="M188" s="108"/>
      <c r="N188" s="149"/>
      <c r="P188" s="560"/>
    </row>
    <row r="189" spans="1:38" s="14" customFormat="1" ht="15" customHeight="1">
      <c r="A189" s="111" t="s">
        <v>1451</v>
      </c>
      <c r="B189" s="104" t="s">
        <v>1451</v>
      </c>
      <c r="C189" s="105"/>
      <c r="D189" s="105">
        <v>318</v>
      </c>
      <c r="E189" s="110">
        <v>8000</v>
      </c>
      <c r="F189" s="107" t="s">
        <v>19</v>
      </c>
      <c r="G189" s="108">
        <v>46226</v>
      </c>
      <c r="H189" s="108">
        <v>46237</v>
      </c>
      <c r="I189" s="108">
        <v>46237</v>
      </c>
      <c r="J189" s="109" t="s">
        <v>1445</v>
      </c>
      <c r="K189" s="113"/>
      <c r="M189" s="108"/>
      <c r="N189" s="149"/>
      <c r="P189" s="100"/>
    </row>
    <row r="190" spans="1:38" s="14" customFormat="1" ht="15" customHeight="1">
      <c r="A190" s="111" t="s">
        <v>1375</v>
      </c>
      <c r="B190" s="111" t="s">
        <v>281</v>
      </c>
      <c r="C190" s="115"/>
      <c r="D190" s="105">
        <v>330</v>
      </c>
      <c r="E190" s="106">
        <v>4400</v>
      </c>
      <c r="F190" s="116" t="s">
        <v>19</v>
      </c>
      <c r="G190" s="108">
        <v>46234</v>
      </c>
      <c r="H190" s="108">
        <f>G190+21</f>
        <v>46255</v>
      </c>
      <c r="I190" s="108">
        <v>46254</v>
      </c>
      <c r="J190" s="254" t="s">
        <v>1446</v>
      </c>
      <c r="K190" s="113" t="s">
        <v>1377</v>
      </c>
      <c r="M190" s="108"/>
      <c r="N190" s="149"/>
      <c r="P190" s="560"/>
    </row>
    <row r="191" spans="1:38" s="14" customFormat="1" ht="15" customHeight="1">
      <c r="A191" s="111" t="s">
        <v>1402</v>
      </c>
      <c r="B191" s="104" t="s">
        <v>1444</v>
      </c>
      <c r="C191" s="105"/>
      <c r="D191" s="105">
        <v>331.33199999999999</v>
      </c>
      <c r="E191" s="118">
        <v>9535.6</v>
      </c>
      <c r="F191" s="116" t="s">
        <v>19</v>
      </c>
      <c r="G191" s="108">
        <v>46232</v>
      </c>
      <c r="H191" s="108">
        <v>46238</v>
      </c>
      <c r="I191" s="108">
        <v>46238</v>
      </c>
      <c r="J191" s="192" t="s">
        <v>1445</v>
      </c>
      <c r="K191" s="113" t="s">
        <v>1405</v>
      </c>
      <c r="M191" s="108"/>
      <c r="N191" s="149"/>
      <c r="P191" s="560"/>
    </row>
    <row r="192" spans="1:38" s="14" customFormat="1" ht="15" customHeight="1">
      <c r="A192" s="111" t="s">
        <v>1375</v>
      </c>
      <c r="B192" s="111" t="s">
        <v>281</v>
      </c>
      <c r="C192" s="105"/>
      <c r="D192" s="105">
        <v>333</v>
      </c>
      <c r="E192" s="106">
        <v>4400</v>
      </c>
      <c r="F192" s="116" t="s">
        <v>19</v>
      </c>
      <c r="G192" s="108">
        <v>46234</v>
      </c>
      <c r="H192" s="108">
        <f t="shared" ref="H192:H199" si="5">G192+21</f>
        <v>46255</v>
      </c>
      <c r="I192" s="108">
        <v>46254</v>
      </c>
      <c r="J192" s="254" t="s">
        <v>1452</v>
      </c>
      <c r="K192" s="113" t="s">
        <v>1377</v>
      </c>
      <c r="M192" s="108"/>
      <c r="N192" s="149"/>
      <c r="P192" s="560"/>
    </row>
    <row r="193" spans="1:16" s="14" customFormat="1" ht="15" customHeight="1">
      <c r="A193" s="111" t="s">
        <v>1375</v>
      </c>
      <c r="B193" s="111" t="s">
        <v>281</v>
      </c>
      <c r="C193" s="105"/>
      <c r="D193" s="105">
        <v>334</v>
      </c>
      <c r="E193" s="106">
        <v>4400</v>
      </c>
      <c r="F193" s="116" t="s">
        <v>19</v>
      </c>
      <c r="G193" s="108">
        <v>46234</v>
      </c>
      <c r="H193" s="108">
        <f t="shared" si="5"/>
        <v>46255</v>
      </c>
      <c r="I193" s="108">
        <v>46254</v>
      </c>
      <c r="J193" s="254" t="s">
        <v>1452</v>
      </c>
      <c r="K193" s="113" t="s">
        <v>1377</v>
      </c>
      <c r="M193" s="108"/>
      <c r="N193" s="149"/>
      <c r="P193" s="560"/>
    </row>
    <row r="194" spans="1:16" s="14" customFormat="1" ht="15" customHeight="1">
      <c r="A194" s="111" t="s">
        <v>1375</v>
      </c>
      <c r="B194" s="111" t="s">
        <v>281</v>
      </c>
      <c r="C194" s="105"/>
      <c r="D194" s="105">
        <v>335</v>
      </c>
      <c r="E194" s="106">
        <v>4400</v>
      </c>
      <c r="F194" s="116" t="s">
        <v>19</v>
      </c>
      <c r="G194" s="108">
        <v>46234</v>
      </c>
      <c r="H194" s="108">
        <f t="shared" si="5"/>
        <v>46255</v>
      </c>
      <c r="I194" s="108">
        <v>46254</v>
      </c>
      <c r="J194" s="254" t="s">
        <v>1452</v>
      </c>
      <c r="K194" s="113" t="s">
        <v>1377</v>
      </c>
      <c r="M194" s="108"/>
      <c r="N194" s="149"/>
      <c r="P194" s="560"/>
    </row>
    <row r="195" spans="1:16" s="14" customFormat="1" ht="15" customHeight="1">
      <c r="A195" s="111" t="s">
        <v>1375</v>
      </c>
      <c r="B195" s="111" t="s">
        <v>281</v>
      </c>
      <c r="C195" s="105"/>
      <c r="D195" s="105">
        <v>336</v>
      </c>
      <c r="E195" s="106">
        <v>4400</v>
      </c>
      <c r="F195" s="116" t="s">
        <v>19</v>
      </c>
      <c r="G195" s="108">
        <v>46234</v>
      </c>
      <c r="H195" s="108">
        <f t="shared" si="5"/>
        <v>46255</v>
      </c>
      <c r="I195" s="108">
        <v>46254</v>
      </c>
      <c r="J195" s="254" t="s">
        <v>1452</v>
      </c>
      <c r="K195" s="113" t="s">
        <v>1377</v>
      </c>
      <c r="M195" s="108"/>
      <c r="N195" s="149"/>
      <c r="P195" s="560"/>
    </row>
    <row r="196" spans="1:16" s="14" customFormat="1" ht="15" customHeight="1">
      <c r="A196" s="111" t="s">
        <v>1375</v>
      </c>
      <c r="B196" s="111" t="s">
        <v>281</v>
      </c>
      <c r="C196" s="105"/>
      <c r="D196" s="105">
        <v>337</v>
      </c>
      <c r="E196" s="106">
        <v>4400</v>
      </c>
      <c r="F196" s="116" t="s">
        <v>19</v>
      </c>
      <c r="G196" s="108">
        <v>46234</v>
      </c>
      <c r="H196" s="108">
        <f t="shared" si="5"/>
        <v>46255</v>
      </c>
      <c r="I196" s="108">
        <v>46254</v>
      </c>
      <c r="J196" s="254" t="s">
        <v>1452</v>
      </c>
      <c r="K196" s="113" t="s">
        <v>1377</v>
      </c>
      <c r="M196" s="108"/>
      <c r="N196" s="149"/>
      <c r="P196" s="560"/>
    </row>
    <row r="197" spans="1:16" s="14" customFormat="1" ht="15" customHeight="1">
      <c r="A197" s="111" t="s">
        <v>1375</v>
      </c>
      <c r="B197" s="111" t="s">
        <v>281</v>
      </c>
      <c r="C197" s="105"/>
      <c r="D197" s="105">
        <v>338</v>
      </c>
      <c r="E197" s="106">
        <v>4400</v>
      </c>
      <c r="F197" s="116" t="s">
        <v>19</v>
      </c>
      <c r="G197" s="108">
        <v>46234</v>
      </c>
      <c r="H197" s="108">
        <f t="shared" si="5"/>
        <v>46255</v>
      </c>
      <c r="I197" s="108">
        <v>46254</v>
      </c>
      <c r="J197" s="254" t="s">
        <v>1452</v>
      </c>
      <c r="K197" s="113" t="s">
        <v>1377</v>
      </c>
      <c r="M197" s="108"/>
      <c r="N197" s="149"/>
      <c r="P197" s="560"/>
    </row>
    <row r="198" spans="1:16" s="14" customFormat="1" ht="15" customHeight="1">
      <c r="A198" s="111" t="s">
        <v>1375</v>
      </c>
      <c r="B198" s="111" t="s">
        <v>281</v>
      </c>
      <c r="C198" s="105"/>
      <c r="D198" s="105">
        <v>339</v>
      </c>
      <c r="E198" s="106">
        <v>4400</v>
      </c>
      <c r="F198" s="116" t="s">
        <v>19</v>
      </c>
      <c r="G198" s="108">
        <v>46234</v>
      </c>
      <c r="H198" s="108">
        <f t="shared" si="5"/>
        <v>46255</v>
      </c>
      <c r="I198" s="108">
        <v>46254</v>
      </c>
      <c r="J198" s="160" t="s">
        <v>1453</v>
      </c>
      <c r="K198" s="113" t="s">
        <v>1377</v>
      </c>
      <c r="M198" s="108"/>
      <c r="N198" s="149"/>
      <c r="P198" s="100"/>
    </row>
    <row r="199" spans="1:16" s="14" customFormat="1" ht="15" customHeight="1">
      <c r="A199" s="111" t="s">
        <v>1375</v>
      </c>
      <c r="B199" s="111" t="s">
        <v>281</v>
      </c>
      <c r="C199" s="105"/>
      <c r="D199" s="105">
        <v>340</v>
      </c>
      <c r="E199" s="106">
        <v>4400</v>
      </c>
      <c r="F199" s="116" t="s">
        <v>19</v>
      </c>
      <c r="G199" s="108">
        <v>46234</v>
      </c>
      <c r="H199" s="108">
        <f t="shared" si="5"/>
        <v>46255</v>
      </c>
      <c r="I199" s="108">
        <v>46254</v>
      </c>
      <c r="J199" s="148" t="s">
        <v>1453</v>
      </c>
      <c r="K199" s="113" t="s">
        <v>1377</v>
      </c>
      <c r="M199" s="108"/>
      <c r="N199" s="149"/>
      <c r="P199" s="560"/>
    </row>
    <row r="200" spans="1:16" s="14" customFormat="1" ht="15" customHeight="1">
      <c r="A200" s="111" t="s">
        <v>1402</v>
      </c>
      <c r="B200" s="104" t="s">
        <v>1444</v>
      </c>
      <c r="C200" s="105"/>
      <c r="D200" s="105">
        <v>341</v>
      </c>
      <c r="E200" s="118">
        <v>15042</v>
      </c>
      <c r="F200" s="116" t="s">
        <v>19</v>
      </c>
      <c r="G200" s="108">
        <v>46233</v>
      </c>
      <c r="H200" s="108">
        <v>46238</v>
      </c>
      <c r="I200" s="108">
        <v>46238</v>
      </c>
      <c r="J200" s="112" t="s">
        <v>1445</v>
      </c>
      <c r="K200" s="113" t="s">
        <v>1405</v>
      </c>
      <c r="M200" s="108"/>
      <c r="N200" s="149"/>
      <c r="P200" s="560"/>
    </row>
    <row r="201" spans="1:16" s="14" customFormat="1" ht="15" customHeight="1">
      <c r="A201" s="111" t="s">
        <v>1402</v>
      </c>
      <c r="B201" s="104" t="s">
        <v>1444</v>
      </c>
      <c r="C201" s="105"/>
      <c r="D201" s="105">
        <v>342</v>
      </c>
      <c r="E201" s="118">
        <v>14642</v>
      </c>
      <c r="F201" s="116" t="s">
        <v>19</v>
      </c>
      <c r="G201" s="108">
        <v>46233</v>
      </c>
      <c r="H201" s="108">
        <v>46238</v>
      </c>
      <c r="I201" s="108">
        <v>46238</v>
      </c>
      <c r="J201" s="112" t="s">
        <v>1445</v>
      </c>
      <c r="K201" s="113" t="s">
        <v>1405</v>
      </c>
      <c r="M201" s="108"/>
      <c r="N201" s="149"/>
      <c r="P201" s="560"/>
    </row>
    <row r="202" spans="1:16" s="14" customFormat="1" ht="15" customHeight="1">
      <c r="A202" s="111" t="s">
        <v>1375</v>
      </c>
      <c r="B202" s="111" t="s">
        <v>281</v>
      </c>
      <c r="C202" s="105"/>
      <c r="D202" s="105">
        <v>343</v>
      </c>
      <c r="E202" s="106">
        <v>4400</v>
      </c>
      <c r="F202" s="116" t="s">
        <v>19</v>
      </c>
      <c r="G202" s="108">
        <v>46234</v>
      </c>
      <c r="H202" s="108">
        <f t="shared" ref="H202:H211" si="6">G202+21</f>
        <v>46255</v>
      </c>
      <c r="I202" s="108">
        <v>46254</v>
      </c>
      <c r="J202" s="148" t="s">
        <v>1453</v>
      </c>
      <c r="K202" s="113" t="s">
        <v>1377</v>
      </c>
      <c r="M202" s="108"/>
      <c r="N202" s="149"/>
      <c r="P202" s="560"/>
    </row>
    <row r="203" spans="1:16" s="14" customFormat="1" ht="15" customHeight="1">
      <c r="A203" s="111" t="s">
        <v>1375</v>
      </c>
      <c r="B203" s="111" t="s">
        <v>281</v>
      </c>
      <c r="C203" s="105"/>
      <c r="D203" s="105">
        <v>344</v>
      </c>
      <c r="E203" s="106">
        <v>4400</v>
      </c>
      <c r="F203" s="116" t="s">
        <v>19</v>
      </c>
      <c r="G203" s="108">
        <v>46234</v>
      </c>
      <c r="H203" s="108">
        <f t="shared" si="6"/>
        <v>46255</v>
      </c>
      <c r="I203" s="108">
        <v>46254</v>
      </c>
      <c r="J203" s="148" t="s">
        <v>1453</v>
      </c>
      <c r="K203" s="113" t="s">
        <v>1377</v>
      </c>
      <c r="M203" s="108"/>
      <c r="N203" s="149"/>
      <c r="P203" s="560"/>
    </row>
    <row r="204" spans="1:16" s="14" customFormat="1" ht="15" customHeight="1">
      <c r="A204" s="111" t="s">
        <v>1375</v>
      </c>
      <c r="B204" s="111" t="s">
        <v>281</v>
      </c>
      <c r="C204" s="105"/>
      <c r="D204" s="105">
        <v>345</v>
      </c>
      <c r="E204" s="106">
        <v>4400</v>
      </c>
      <c r="F204" s="116" t="s">
        <v>19</v>
      </c>
      <c r="G204" s="108">
        <v>46234</v>
      </c>
      <c r="H204" s="108">
        <f t="shared" si="6"/>
        <v>46255</v>
      </c>
      <c r="I204" s="108">
        <v>46254</v>
      </c>
      <c r="J204" s="148" t="s">
        <v>1454</v>
      </c>
      <c r="K204" s="113" t="s">
        <v>1377</v>
      </c>
      <c r="M204" s="108"/>
      <c r="N204" s="149"/>
      <c r="P204" s="560"/>
    </row>
    <row r="205" spans="1:16" s="14" customFormat="1" ht="15" customHeight="1">
      <c r="A205" s="111" t="s">
        <v>1375</v>
      </c>
      <c r="B205" s="111" t="s">
        <v>281</v>
      </c>
      <c r="C205" s="105"/>
      <c r="D205" s="105">
        <v>346</v>
      </c>
      <c r="E205" s="106">
        <v>4400</v>
      </c>
      <c r="F205" s="116" t="s">
        <v>19</v>
      </c>
      <c r="G205" s="108">
        <v>46234</v>
      </c>
      <c r="H205" s="108">
        <f t="shared" si="6"/>
        <v>46255</v>
      </c>
      <c r="I205" s="108">
        <v>46254</v>
      </c>
      <c r="J205" s="148" t="s">
        <v>1454</v>
      </c>
      <c r="K205" s="113" t="s">
        <v>1377</v>
      </c>
      <c r="M205" s="108"/>
      <c r="N205" s="149"/>
      <c r="P205" s="560"/>
    </row>
    <row r="206" spans="1:16" s="14" customFormat="1" ht="15" customHeight="1">
      <c r="A206" s="111" t="s">
        <v>1375</v>
      </c>
      <c r="B206" s="111" t="s">
        <v>281</v>
      </c>
      <c r="C206" s="105"/>
      <c r="D206" s="105">
        <v>347</v>
      </c>
      <c r="E206" s="106">
        <v>4400</v>
      </c>
      <c r="F206" s="116" t="s">
        <v>19</v>
      </c>
      <c r="G206" s="108">
        <v>46234</v>
      </c>
      <c r="H206" s="108">
        <f t="shared" si="6"/>
        <v>46255</v>
      </c>
      <c r="I206" s="108">
        <v>46254</v>
      </c>
      <c r="J206" s="148" t="s">
        <v>1454</v>
      </c>
      <c r="K206" s="113" t="s">
        <v>1377</v>
      </c>
      <c r="M206" s="108"/>
      <c r="N206" s="149"/>
      <c r="P206" s="560"/>
    </row>
    <row r="207" spans="1:16" s="14" customFormat="1" ht="15" customHeight="1">
      <c r="A207" s="111" t="s">
        <v>1375</v>
      </c>
      <c r="B207" s="111" t="s">
        <v>281</v>
      </c>
      <c r="C207" s="105"/>
      <c r="D207" s="105">
        <v>348</v>
      </c>
      <c r="E207" s="106">
        <v>4400</v>
      </c>
      <c r="F207" s="116" t="s">
        <v>19</v>
      </c>
      <c r="G207" s="108">
        <v>46234</v>
      </c>
      <c r="H207" s="108">
        <f t="shared" si="6"/>
        <v>46255</v>
      </c>
      <c r="I207" s="108">
        <v>46254</v>
      </c>
      <c r="J207" s="148" t="s">
        <v>1454</v>
      </c>
      <c r="K207" s="113" t="s">
        <v>1377</v>
      </c>
      <c r="M207" s="108"/>
      <c r="N207" s="149"/>
      <c r="P207" s="560"/>
    </row>
    <row r="208" spans="1:16" s="14" customFormat="1" ht="15" customHeight="1">
      <c r="A208" s="111" t="s">
        <v>1375</v>
      </c>
      <c r="B208" s="111" t="s">
        <v>281</v>
      </c>
      <c r="C208" s="105" t="s">
        <v>1455</v>
      </c>
      <c r="D208" s="105">
        <v>349</v>
      </c>
      <c r="E208" s="106">
        <v>4400</v>
      </c>
      <c r="F208" s="116" t="s">
        <v>19</v>
      </c>
      <c r="G208" s="108">
        <v>46234</v>
      </c>
      <c r="H208" s="108">
        <f t="shared" si="6"/>
        <v>46255</v>
      </c>
      <c r="I208" s="108">
        <v>46254</v>
      </c>
      <c r="J208" s="148" t="s">
        <v>1456</v>
      </c>
      <c r="K208" s="113" t="s">
        <v>1377</v>
      </c>
      <c r="M208" s="108"/>
      <c r="N208" s="149"/>
      <c r="P208" s="560"/>
    </row>
    <row r="209" spans="1:38" s="14" customFormat="1" ht="15" customHeight="1">
      <c r="A209" s="111" t="s">
        <v>1375</v>
      </c>
      <c r="B209" s="111" t="s">
        <v>281</v>
      </c>
      <c r="C209" s="105" t="s">
        <v>1455</v>
      </c>
      <c r="D209" s="105">
        <v>350</v>
      </c>
      <c r="E209" s="106">
        <v>4400</v>
      </c>
      <c r="F209" s="116" t="s">
        <v>19</v>
      </c>
      <c r="G209" s="108">
        <v>46234</v>
      </c>
      <c r="H209" s="108">
        <f t="shared" si="6"/>
        <v>46255</v>
      </c>
      <c r="I209" s="108">
        <v>46254</v>
      </c>
      <c r="J209" s="148" t="s">
        <v>1456</v>
      </c>
      <c r="K209" s="113" t="s">
        <v>1377</v>
      </c>
      <c r="M209" s="108"/>
      <c r="N209" s="149"/>
      <c r="P209" s="560"/>
    </row>
    <row r="210" spans="1:38" s="14" customFormat="1" ht="15" customHeight="1">
      <c r="A210" s="111" t="s">
        <v>1375</v>
      </c>
      <c r="B210" s="111" t="s">
        <v>281</v>
      </c>
      <c r="C210" s="105" t="s">
        <v>1457</v>
      </c>
      <c r="D210" s="105">
        <v>351</v>
      </c>
      <c r="E210" s="106">
        <v>4400</v>
      </c>
      <c r="F210" s="116" t="s">
        <v>19</v>
      </c>
      <c r="G210" s="108">
        <v>46234</v>
      </c>
      <c r="H210" s="108">
        <f t="shared" si="6"/>
        <v>46255</v>
      </c>
      <c r="I210" s="108">
        <v>46254</v>
      </c>
      <c r="J210" s="148" t="s">
        <v>1456</v>
      </c>
      <c r="K210" s="113" t="s">
        <v>1377</v>
      </c>
      <c r="M210" s="108"/>
      <c r="N210" s="149"/>
      <c r="P210" s="560"/>
    </row>
    <row r="211" spans="1:38" s="14" customFormat="1" ht="15" customHeight="1">
      <c r="A211" s="111" t="s">
        <v>1375</v>
      </c>
      <c r="B211" s="111" t="s">
        <v>281</v>
      </c>
      <c r="C211" s="105" t="s">
        <v>1458</v>
      </c>
      <c r="D211" s="105">
        <v>352</v>
      </c>
      <c r="E211" s="106">
        <v>4400</v>
      </c>
      <c r="F211" s="116" t="s">
        <v>19</v>
      </c>
      <c r="G211" s="108">
        <v>46234</v>
      </c>
      <c r="H211" s="108">
        <f t="shared" si="6"/>
        <v>46255</v>
      </c>
      <c r="I211" s="108">
        <v>46254</v>
      </c>
      <c r="J211" s="148" t="s">
        <v>1456</v>
      </c>
      <c r="K211" s="113" t="s">
        <v>1377</v>
      </c>
      <c r="M211" s="108"/>
      <c r="N211" s="149"/>
      <c r="P211" s="560"/>
    </row>
    <row r="212" spans="1:38" s="14" customFormat="1" ht="15" customHeight="1">
      <c r="A212" s="111" t="s">
        <v>1402</v>
      </c>
      <c r="B212" s="104" t="s">
        <v>1459</v>
      </c>
      <c r="C212" s="105" t="s">
        <v>1460</v>
      </c>
      <c r="D212" s="105">
        <v>353</v>
      </c>
      <c r="E212" s="106">
        <v>8735.6</v>
      </c>
      <c r="F212" s="116" t="s">
        <v>19</v>
      </c>
      <c r="G212" s="108">
        <v>46237</v>
      </c>
      <c r="H212" s="108">
        <v>46238</v>
      </c>
      <c r="I212" s="108">
        <v>46238</v>
      </c>
      <c r="J212" s="112" t="s">
        <v>1445</v>
      </c>
      <c r="K212" s="113" t="s">
        <v>1405</v>
      </c>
      <c r="M212" s="108"/>
      <c r="N212" s="149"/>
      <c r="P212" s="560"/>
    </row>
    <row r="213" spans="1:38" s="14" customFormat="1" ht="15" customHeight="1">
      <c r="A213" s="111" t="s">
        <v>1402</v>
      </c>
      <c r="B213" s="104" t="s">
        <v>1461</v>
      </c>
      <c r="C213" s="105" t="s">
        <v>1458</v>
      </c>
      <c r="D213" s="105">
        <v>354</v>
      </c>
      <c r="E213" s="150">
        <v>15042</v>
      </c>
      <c r="F213" s="116" t="s">
        <v>19</v>
      </c>
      <c r="G213" s="108">
        <v>46238</v>
      </c>
      <c r="H213" s="117">
        <f t="shared" ref="H213:H218" si="7">G213+3</f>
        <v>46241</v>
      </c>
      <c r="I213" s="108">
        <v>46245</v>
      </c>
      <c r="J213" s="112" t="s">
        <v>1445</v>
      </c>
      <c r="K213" s="113" t="s">
        <v>1405</v>
      </c>
      <c r="L213"/>
      <c r="M213" s="122"/>
      <c r="N213" s="122"/>
      <c r="O213"/>
      <c r="P213" s="1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</row>
    <row r="214" spans="1:38" s="14" customFormat="1" ht="15" customHeight="1">
      <c r="A214" s="111" t="s">
        <v>1402</v>
      </c>
      <c r="B214" s="104" t="s">
        <v>1462</v>
      </c>
      <c r="C214" s="105" t="s">
        <v>1460</v>
      </c>
      <c r="D214" s="105">
        <v>355</v>
      </c>
      <c r="E214" s="150">
        <v>8135.6</v>
      </c>
      <c r="F214" s="116" t="s">
        <v>19</v>
      </c>
      <c r="G214" s="108">
        <v>46239</v>
      </c>
      <c r="H214" s="117">
        <f t="shared" si="7"/>
        <v>46242</v>
      </c>
      <c r="I214" s="108">
        <v>46245</v>
      </c>
      <c r="J214" s="112" t="s">
        <v>1445</v>
      </c>
      <c r="K214" s="113" t="s">
        <v>1405</v>
      </c>
      <c r="M214" s="108"/>
      <c r="N214" s="149"/>
      <c r="P214" s="560"/>
    </row>
    <row r="215" spans="1:38" s="14" customFormat="1" ht="15" customHeight="1">
      <c r="A215" s="111" t="s">
        <v>1402</v>
      </c>
      <c r="B215" s="104" t="s">
        <v>1463</v>
      </c>
      <c r="C215" s="105" t="s">
        <v>1464</v>
      </c>
      <c r="D215" s="105">
        <v>364</v>
      </c>
      <c r="E215" s="150">
        <v>15042</v>
      </c>
      <c r="F215" s="116" t="s">
        <v>19</v>
      </c>
      <c r="G215" s="108">
        <v>46240</v>
      </c>
      <c r="H215" s="117">
        <f t="shared" si="7"/>
        <v>46243</v>
      </c>
      <c r="I215" s="108">
        <v>46245</v>
      </c>
      <c r="J215" s="112" t="s">
        <v>1445</v>
      </c>
      <c r="K215" s="113" t="s">
        <v>1405</v>
      </c>
      <c r="L215"/>
      <c r="M215" s="122"/>
      <c r="N215" s="122"/>
      <c r="O215"/>
      <c r="P215" s="113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s="14" customFormat="1" ht="15" customHeight="1">
      <c r="A216" s="111" t="s">
        <v>1402</v>
      </c>
      <c r="B216" s="104" t="s">
        <v>1465</v>
      </c>
      <c r="C216" s="105" t="s">
        <v>1460</v>
      </c>
      <c r="D216" s="105">
        <v>366</v>
      </c>
      <c r="E216" s="150">
        <v>15042</v>
      </c>
      <c r="F216" s="116" t="s">
        <v>19</v>
      </c>
      <c r="G216" s="108">
        <v>46241</v>
      </c>
      <c r="H216" s="117">
        <f t="shared" si="7"/>
        <v>46244</v>
      </c>
      <c r="I216" s="108">
        <v>46245</v>
      </c>
      <c r="J216" s="112" t="s">
        <v>1445</v>
      </c>
      <c r="K216" s="113" t="s">
        <v>1405</v>
      </c>
      <c r="M216" s="108"/>
      <c r="N216" s="149"/>
      <c r="P216" s="560"/>
    </row>
    <row r="217" spans="1:38" s="14" customFormat="1" ht="15" customHeight="1">
      <c r="A217" s="111" t="s">
        <v>1402</v>
      </c>
      <c r="B217" s="182" t="s">
        <v>1466</v>
      </c>
      <c r="C217" s="105" t="s">
        <v>1467</v>
      </c>
      <c r="D217" s="105">
        <v>367</v>
      </c>
      <c r="E217" s="150">
        <v>9968.7000000000007</v>
      </c>
      <c r="F217" s="116" t="s">
        <v>19</v>
      </c>
      <c r="G217" s="117">
        <v>46244</v>
      </c>
      <c r="H217" s="117">
        <f t="shared" si="7"/>
        <v>46247</v>
      </c>
      <c r="I217" s="108">
        <v>46245</v>
      </c>
      <c r="J217" s="112" t="s">
        <v>1445</v>
      </c>
      <c r="K217" s="113" t="s">
        <v>1346</v>
      </c>
      <c r="L217"/>
      <c r="M217" s="122"/>
      <c r="N217" s="122"/>
      <c r="O217"/>
      <c r="P217" s="113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s="14" customFormat="1" ht="15" customHeight="1">
      <c r="A218" s="111" t="s">
        <v>1402</v>
      </c>
      <c r="B218" s="182" t="s">
        <v>1466</v>
      </c>
      <c r="C218" s="105" t="s">
        <v>1467</v>
      </c>
      <c r="D218" s="105">
        <v>368</v>
      </c>
      <c r="E218" s="150">
        <v>4272.3</v>
      </c>
      <c r="F218" s="116" t="s">
        <v>19</v>
      </c>
      <c r="G218" s="117">
        <v>46244</v>
      </c>
      <c r="H218" s="117">
        <f t="shared" si="7"/>
        <v>46247</v>
      </c>
      <c r="I218" s="108">
        <v>46245</v>
      </c>
      <c r="J218" s="112" t="s">
        <v>1445</v>
      </c>
      <c r="K218" s="113" t="s">
        <v>1346</v>
      </c>
      <c r="L218"/>
      <c r="M218" s="122"/>
      <c r="N218" s="122"/>
      <c r="O218"/>
      <c r="P218" s="113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s="14" customFormat="1" ht="15" customHeight="1">
      <c r="A219" s="111" t="s">
        <v>1402</v>
      </c>
      <c r="B219" s="111" t="s">
        <v>1468</v>
      </c>
      <c r="C219" s="105" t="s">
        <v>1458</v>
      </c>
      <c r="D219" s="105">
        <v>369</v>
      </c>
      <c r="E219" s="150">
        <v>4272.3</v>
      </c>
      <c r="F219" s="116"/>
      <c r="G219" s="108">
        <v>46244</v>
      </c>
      <c r="H219" s="117">
        <v>46252</v>
      </c>
      <c r="I219" s="117">
        <v>46252</v>
      </c>
      <c r="J219" s="112"/>
      <c r="K219" s="113" t="s">
        <v>1405</v>
      </c>
      <c r="L219"/>
      <c r="M219" s="122"/>
      <c r="N219" s="122"/>
      <c r="O219"/>
      <c r="P219" s="113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s="14" customFormat="1" ht="15" customHeight="1">
      <c r="A220" s="111" t="s">
        <v>1402</v>
      </c>
      <c r="B220" s="111" t="s">
        <v>1468</v>
      </c>
      <c r="C220" s="105" t="s">
        <v>1458</v>
      </c>
      <c r="D220" s="105">
        <v>369</v>
      </c>
      <c r="E220" s="150">
        <v>9968.7000000000007</v>
      </c>
      <c r="F220" s="116"/>
      <c r="G220" s="108">
        <v>46244</v>
      </c>
      <c r="H220" s="117">
        <v>46252</v>
      </c>
      <c r="I220" s="117">
        <v>46252</v>
      </c>
      <c r="J220" s="104"/>
      <c r="K220" s="113" t="s">
        <v>1405</v>
      </c>
      <c r="L220"/>
      <c r="M220" s="122"/>
      <c r="N220" s="122"/>
      <c r="O220"/>
      <c r="P220" s="113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s="14" customFormat="1" ht="15" customHeight="1">
      <c r="A221" s="111" t="s">
        <v>1402</v>
      </c>
      <c r="B221" s="111" t="s">
        <v>1469</v>
      </c>
      <c r="C221" s="105" t="s">
        <v>1460</v>
      </c>
      <c r="D221" s="105">
        <v>370</v>
      </c>
      <c r="E221" s="150">
        <v>8935.6</v>
      </c>
      <c r="F221" s="116"/>
      <c r="G221" s="108">
        <v>46245</v>
      </c>
      <c r="H221" s="117">
        <v>46252</v>
      </c>
      <c r="I221" s="117">
        <v>46252</v>
      </c>
      <c r="J221" s="113"/>
      <c r="K221" s="113" t="s">
        <v>1405</v>
      </c>
      <c r="M221" s="108"/>
      <c r="N221" s="149"/>
      <c r="P221" s="560"/>
    </row>
    <row r="222" spans="1:38" s="14" customFormat="1" ht="15" customHeight="1">
      <c r="A222" s="111" t="s">
        <v>1402</v>
      </c>
      <c r="B222" s="111" t="s">
        <v>1470</v>
      </c>
      <c r="C222" s="105" t="s">
        <v>1471</v>
      </c>
      <c r="D222" s="105">
        <v>372</v>
      </c>
      <c r="E222" s="150">
        <v>15042</v>
      </c>
      <c r="F222" s="116"/>
      <c r="G222" s="108">
        <v>46245</v>
      </c>
      <c r="H222" s="117">
        <v>46252</v>
      </c>
      <c r="I222" s="117">
        <v>46252</v>
      </c>
      <c r="J222" s="113"/>
      <c r="K222" s="113" t="s">
        <v>1405</v>
      </c>
      <c r="L222"/>
      <c r="M222" s="122"/>
      <c r="N222" s="122"/>
      <c r="O222"/>
      <c r="P222" s="113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s="14" customFormat="1" ht="15" customHeight="1">
      <c r="A223" s="111" t="s">
        <v>1410</v>
      </c>
      <c r="B223" s="114" t="s">
        <v>1411</v>
      </c>
      <c r="C223" s="136" t="s">
        <v>1412</v>
      </c>
      <c r="D223" s="136">
        <v>363</v>
      </c>
      <c r="E223" s="118">
        <v>31500</v>
      </c>
      <c r="F223" s="151" t="s">
        <v>19</v>
      </c>
      <c r="G223" s="108">
        <v>46240</v>
      </c>
      <c r="H223" s="117">
        <v>46254</v>
      </c>
      <c r="I223" s="117">
        <v>46255</v>
      </c>
      <c r="J223" s="112"/>
      <c r="K223" s="113"/>
      <c r="L223"/>
      <c r="M223" s="122"/>
      <c r="N223" s="122"/>
      <c r="O223"/>
      <c r="P223" s="11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s="14" customFormat="1" ht="15" customHeight="1">
      <c r="A224" s="111" t="s">
        <v>1375</v>
      </c>
      <c r="B224" s="111" t="s">
        <v>281</v>
      </c>
      <c r="C224" s="105" t="s">
        <v>1348</v>
      </c>
      <c r="D224" s="105">
        <v>373</v>
      </c>
      <c r="E224" s="118">
        <v>4400</v>
      </c>
      <c r="F224" s="116" t="s">
        <v>19</v>
      </c>
      <c r="G224" s="108">
        <v>46248</v>
      </c>
      <c r="H224" s="108">
        <f>G224+21</f>
        <v>46269</v>
      </c>
      <c r="I224" s="108">
        <v>46267</v>
      </c>
      <c r="J224" s="194" t="s">
        <v>1472</v>
      </c>
      <c r="K224" s="113" t="s">
        <v>1377</v>
      </c>
      <c r="M224" s="122"/>
      <c r="N224" s="122"/>
      <c r="P224" s="113"/>
    </row>
    <row r="225" spans="1:38" s="14" customFormat="1" ht="15" customHeight="1">
      <c r="A225" s="111" t="s">
        <v>1473</v>
      </c>
      <c r="B225" s="114" t="s">
        <v>1473</v>
      </c>
      <c r="C225" s="136" t="s">
        <v>1412</v>
      </c>
      <c r="D225" s="136">
        <v>365</v>
      </c>
      <c r="E225" s="118">
        <v>36000</v>
      </c>
      <c r="F225" s="116" t="s">
        <v>19</v>
      </c>
      <c r="G225" s="108">
        <v>46240</v>
      </c>
      <c r="H225" s="117">
        <v>46244</v>
      </c>
      <c r="I225" s="117">
        <v>46244</v>
      </c>
      <c r="J225" s="192"/>
      <c r="K225" s="113"/>
      <c r="L225"/>
      <c r="M225" s="122"/>
      <c r="N225" s="122"/>
      <c r="O225"/>
      <c r="P225" s="113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</row>
    <row r="226" spans="1:38" s="14" customFormat="1" ht="15" customHeight="1">
      <c r="A226" s="111" t="s">
        <v>1375</v>
      </c>
      <c r="B226" s="111" t="s">
        <v>281</v>
      </c>
      <c r="C226" s="105" t="s">
        <v>1348</v>
      </c>
      <c r="D226" s="105">
        <v>374</v>
      </c>
      <c r="E226" s="118">
        <v>4400</v>
      </c>
      <c r="F226" s="116" t="s">
        <v>19</v>
      </c>
      <c r="G226" s="108">
        <v>46248</v>
      </c>
      <c r="H226" s="108">
        <f>G226+21</f>
        <v>46269</v>
      </c>
      <c r="I226" s="108">
        <v>46267</v>
      </c>
      <c r="J226" s="194" t="s">
        <v>1472</v>
      </c>
      <c r="K226" s="113" t="s">
        <v>1377</v>
      </c>
      <c r="M226" s="122"/>
      <c r="N226" s="122"/>
      <c r="P226" s="113"/>
    </row>
    <row r="227" spans="1:38" s="14" customFormat="1" ht="15" customHeight="1">
      <c r="A227" s="111" t="s">
        <v>1375</v>
      </c>
      <c r="B227" s="114" t="s">
        <v>281</v>
      </c>
      <c r="C227" s="136" t="s">
        <v>1361</v>
      </c>
      <c r="D227" s="136">
        <v>375</v>
      </c>
      <c r="E227" s="118">
        <v>4400</v>
      </c>
      <c r="F227" s="116" t="s">
        <v>19</v>
      </c>
      <c r="G227" s="108">
        <v>46248</v>
      </c>
      <c r="H227" s="117">
        <f>G227+21</f>
        <v>46269</v>
      </c>
      <c r="I227" s="117">
        <v>46267</v>
      </c>
      <c r="J227" s="148" t="s">
        <v>1472</v>
      </c>
      <c r="K227" s="113" t="s">
        <v>1377</v>
      </c>
      <c r="L227"/>
      <c r="M227" s="122"/>
      <c r="N227" s="122"/>
      <c r="O227"/>
      <c r="P227" s="195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</row>
    <row r="228" spans="1:38" s="14" customFormat="1" ht="15" customHeight="1">
      <c r="A228" s="111" t="s">
        <v>1375</v>
      </c>
      <c r="B228" s="114" t="s">
        <v>281</v>
      </c>
      <c r="C228" s="136" t="s">
        <v>1361</v>
      </c>
      <c r="D228" s="136">
        <v>376</v>
      </c>
      <c r="E228" s="118">
        <v>4400</v>
      </c>
      <c r="F228" s="116" t="s">
        <v>19</v>
      </c>
      <c r="G228" s="108">
        <v>46248</v>
      </c>
      <c r="H228" s="117">
        <f>G228+21</f>
        <v>46269</v>
      </c>
      <c r="I228" s="117">
        <v>46267</v>
      </c>
      <c r="J228" s="148" t="s">
        <v>1474</v>
      </c>
      <c r="K228" s="113" t="s">
        <v>1377</v>
      </c>
      <c r="L228"/>
      <c r="M228" s="122"/>
      <c r="N228" s="122"/>
      <c r="O228"/>
      <c r="P228" s="113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</row>
    <row r="229" spans="1:38" s="14" customFormat="1" ht="15" customHeight="1">
      <c r="A229" s="111" t="s">
        <v>1402</v>
      </c>
      <c r="B229" s="111" t="s">
        <v>1475</v>
      </c>
      <c r="C229" s="105" t="s">
        <v>1460</v>
      </c>
      <c r="D229" s="105">
        <v>377</v>
      </c>
      <c r="E229" s="118">
        <v>14242</v>
      </c>
      <c r="F229" s="116"/>
      <c r="G229" s="108">
        <v>46247</v>
      </c>
      <c r="H229" s="108">
        <v>46255</v>
      </c>
      <c r="I229" s="108">
        <v>46255</v>
      </c>
      <c r="J229" s="113"/>
      <c r="K229" s="113" t="s">
        <v>1405</v>
      </c>
      <c r="M229" s="108"/>
      <c r="N229" s="149"/>
      <c r="P229" s="560"/>
    </row>
    <row r="230" spans="1:38" s="102" customFormat="1" ht="15" customHeight="1">
      <c r="A230" s="114" t="s">
        <v>1375</v>
      </c>
      <c r="B230" s="114" t="s">
        <v>281</v>
      </c>
      <c r="C230" s="114" t="s">
        <v>1476</v>
      </c>
      <c r="D230" s="136">
        <v>378</v>
      </c>
      <c r="E230" s="118">
        <v>4400</v>
      </c>
      <c r="F230" s="116" t="s">
        <v>19</v>
      </c>
      <c r="G230" s="152">
        <v>46248</v>
      </c>
      <c r="H230" s="152">
        <f>G230+21</f>
        <v>46269</v>
      </c>
      <c r="I230" s="108">
        <v>46267</v>
      </c>
      <c r="J230" s="114" t="s">
        <v>1477</v>
      </c>
      <c r="K230" s="113" t="s">
        <v>1377</v>
      </c>
      <c r="L230" s="14"/>
      <c r="M230" s="122"/>
      <c r="N230" s="122"/>
      <c r="O230" s="14"/>
      <c r="P230" s="113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</row>
    <row r="231" spans="1:38" s="14" customFormat="1" ht="15" customHeight="1">
      <c r="A231" s="111" t="s">
        <v>1375</v>
      </c>
      <c r="B231" s="111" t="s">
        <v>281</v>
      </c>
      <c r="C231" s="105" t="s">
        <v>1371</v>
      </c>
      <c r="D231" s="105">
        <v>379</v>
      </c>
      <c r="E231" s="118">
        <v>4400</v>
      </c>
      <c r="F231" s="116" t="s">
        <v>19</v>
      </c>
      <c r="G231" s="108">
        <v>46248</v>
      </c>
      <c r="H231" s="108">
        <f>G231+21</f>
        <v>46269</v>
      </c>
      <c r="I231" s="108">
        <v>46267</v>
      </c>
      <c r="J231" s="111" t="s">
        <v>1477</v>
      </c>
      <c r="K231" s="113" t="s">
        <v>1377</v>
      </c>
      <c r="M231" s="122"/>
      <c r="N231" s="122"/>
      <c r="P231" s="113"/>
    </row>
    <row r="232" spans="1:38" s="14" customFormat="1" ht="15" customHeight="1">
      <c r="A232" s="111" t="s">
        <v>1375</v>
      </c>
      <c r="B232" s="111" t="s">
        <v>281</v>
      </c>
      <c r="C232" s="105" t="s">
        <v>1371</v>
      </c>
      <c r="D232" s="105">
        <v>380</v>
      </c>
      <c r="E232" s="118">
        <v>4400</v>
      </c>
      <c r="F232" s="116" t="s">
        <v>19</v>
      </c>
      <c r="G232" s="108">
        <v>46248</v>
      </c>
      <c r="H232" s="108">
        <f>G232+21</f>
        <v>46269</v>
      </c>
      <c r="I232" s="108">
        <v>46267</v>
      </c>
      <c r="J232" s="111" t="s">
        <v>1477</v>
      </c>
      <c r="K232" s="113" t="s">
        <v>1377</v>
      </c>
      <c r="M232" s="122"/>
      <c r="N232" s="122"/>
      <c r="P232" s="113"/>
    </row>
    <row r="233" spans="1:38" s="14" customFormat="1" ht="15" customHeight="1">
      <c r="A233" s="111" t="s">
        <v>1402</v>
      </c>
      <c r="B233" s="111" t="s">
        <v>1478</v>
      </c>
      <c r="C233" s="105" t="s">
        <v>1479</v>
      </c>
      <c r="D233" s="105">
        <v>381</v>
      </c>
      <c r="E233" s="118">
        <v>7120.5</v>
      </c>
      <c r="F233" s="118"/>
      <c r="G233" s="108">
        <v>46248</v>
      </c>
      <c r="H233" s="108">
        <v>46254</v>
      </c>
      <c r="I233" s="117">
        <v>46254</v>
      </c>
      <c r="J233" s="191"/>
      <c r="K233" s="113" t="s">
        <v>1346</v>
      </c>
      <c r="L233"/>
      <c r="M233" s="122"/>
      <c r="N233" s="122"/>
      <c r="O233"/>
      <c r="P233" s="11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s="14" customFormat="1" ht="15" customHeight="1">
      <c r="A234" s="111" t="s">
        <v>1402</v>
      </c>
      <c r="B234" s="111" t="s">
        <v>1478</v>
      </c>
      <c r="C234" s="105" t="s">
        <v>1479</v>
      </c>
      <c r="D234" s="105">
        <v>382</v>
      </c>
      <c r="E234" s="118">
        <v>7120.5</v>
      </c>
      <c r="F234" s="118"/>
      <c r="G234" s="108">
        <v>46248</v>
      </c>
      <c r="H234" s="108">
        <v>46254</v>
      </c>
      <c r="I234" s="117">
        <v>46254</v>
      </c>
      <c r="J234" s="191"/>
      <c r="K234" s="113" t="s">
        <v>1346</v>
      </c>
      <c r="L234"/>
      <c r="M234" s="122"/>
      <c r="N234" s="122"/>
      <c r="O234"/>
      <c r="P234" s="113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s="14" customFormat="1" ht="15" customHeight="1">
      <c r="A235" s="111" t="s">
        <v>1375</v>
      </c>
      <c r="B235" s="111" t="s">
        <v>281</v>
      </c>
      <c r="C235" s="105" t="s">
        <v>1348</v>
      </c>
      <c r="D235" s="105">
        <v>383</v>
      </c>
      <c r="E235" s="118">
        <v>4400</v>
      </c>
      <c r="F235" s="116" t="s">
        <v>19</v>
      </c>
      <c r="G235" s="108">
        <v>46248</v>
      </c>
      <c r="H235" s="108">
        <f t="shared" ref="H235:H244" si="8">G235+21</f>
        <v>46269</v>
      </c>
      <c r="I235" s="108">
        <v>46267</v>
      </c>
      <c r="J235" s="194" t="s">
        <v>1474</v>
      </c>
      <c r="K235" s="113" t="s">
        <v>1377</v>
      </c>
      <c r="M235" s="122"/>
      <c r="N235" s="122"/>
      <c r="P235" s="113"/>
    </row>
    <row r="236" spans="1:38" s="14" customFormat="1" ht="15" customHeight="1">
      <c r="A236" s="111" t="s">
        <v>1375</v>
      </c>
      <c r="B236" s="111" t="s">
        <v>281</v>
      </c>
      <c r="C236" s="105" t="s">
        <v>1348</v>
      </c>
      <c r="D236" s="105">
        <v>384</v>
      </c>
      <c r="E236" s="118">
        <v>4400</v>
      </c>
      <c r="F236" s="116" t="s">
        <v>19</v>
      </c>
      <c r="G236" s="108">
        <v>46248</v>
      </c>
      <c r="H236" s="108">
        <f t="shared" si="8"/>
        <v>46269</v>
      </c>
      <c r="I236" s="108">
        <v>46267</v>
      </c>
      <c r="J236" s="194" t="s">
        <v>1474</v>
      </c>
      <c r="K236" s="113" t="s">
        <v>1377</v>
      </c>
      <c r="L236"/>
      <c r="M236" s="122"/>
      <c r="N236" s="122"/>
      <c r="O236"/>
      <c r="P236" s="113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s="14" customFormat="1" ht="15" customHeight="1">
      <c r="A237" s="111" t="s">
        <v>1375</v>
      </c>
      <c r="B237" s="114" t="s">
        <v>281</v>
      </c>
      <c r="C237" s="136" t="s">
        <v>1361</v>
      </c>
      <c r="D237" s="136">
        <v>385</v>
      </c>
      <c r="E237" s="118">
        <v>4400</v>
      </c>
      <c r="F237" s="116" t="s">
        <v>19</v>
      </c>
      <c r="G237" s="108">
        <v>46248</v>
      </c>
      <c r="H237" s="117">
        <f t="shared" si="8"/>
        <v>46269</v>
      </c>
      <c r="I237" s="117">
        <v>46267</v>
      </c>
      <c r="J237" s="254" t="s">
        <v>1474</v>
      </c>
      <c r="K237" s="113" t="s">
        <v>1377</v>
      </c>
      <c r="L237"/>
      <c r="M237" s="122"/>
      <c r="N237" s="122"/>
      <c r="O237"/>
      <c r="P237" s="113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s="14" customFormat="1" ht="15" customHeight="1">
      <c r="A238" s="111" t="s">
        <v>1375</v>
      </c>
      <c r="B238" s="114" t="s">
        <v>281</v>
      </c>
      <c r="C238" s="136" t="s">
        <v>1361</v>
      </c>
      <c r="D238" s="136">
        <v>386</v>
      </c>
      <c r="E238" s="118">
        <v>4400</v>
      </c>
      <c r="F238" s="116" t="s">
        <v>19</v>
      </c>
      <c r="G238" s="108">
        <v>46248</v>
      </c>
      <c r="H238" s="117">
        <f t="shared" si="8"/>
        <v>46269</v>
      </c>
      <c r="I238" s="117">
        <v>46267</v>
      </c>
      <c r="J238" s="254" t="s">
        <v>1474</v>
      </c>
      <c r="K238" s="113" t="s">
        <v>1377</v>
      </c>
      <c r="L238"/>
      <c r="M238" s="122"/>
      <c r="N238" s="122"/>
      <c r="O238"/>
      <c r="P238" s="113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  <c r="AF238" s="140"/>
      <c r="AG238" s="140"/>
      <c r="AH238" s="140"/>
      <c r="AI238" s="140"/>
      <c r="AJ238" s="140"/>
      <c r="AK238" s="140"/>
      <c r="AL238" s="140"/>
    </row>
    <row r="239" spans="1:38" s="14" customFormat="1" ht="15" customHeight="1">
      <c r="A239" s="111" t="s">
        <v>1375</v>
      </c>
      <c r="B239" s="111" t="s">
        <v>281</v>
      </c>
      <c r="C239" s="105" t="s">
        <v>1471</v>
      </c>
      <c r="D239" s="105">
        <v>387</v>
      </c>
      <c r="E239" s="118">
        <v>4400</v>
      </c>
      <c r="F239" s="116" t="s">
        <v>19</v>
      </c>
      <c r="G239" s="108">
        <v>46248</v>
      </c>
      <c r="H239" s="108">
        <f t="shared" si="8"/>
        <v>46269</v>
      </c>
      <c r="I239" s="108">
        <v>46267</v>
      </c>
      <c r="J239" s="194" t="s">
        <v>1474</v>
      </c>
      <c r="K239" s="113" t="s">
        <v>1377</v>
      </c>
      <c r="L239"/>
      <c r="M239" s="122"/>
      <c r="N239" s="122"/>
      <c r="O239"/>
      <c r="P239" s="113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s="14" customFormat="1" ht="15" customHeight="1">
      <c r="A240" s="111" t="s">
        <v>1375</v>
      </c>
      <c r="B240" s="111" t="s">
        <v>281</v>
      </c>
      <c r="C240" s="105" t="s">
        <v>1464</v>
      </c>
      <c r="D240" s="105">
        <v>388</v>
      </c>
      <c r="E240" s="118">
        <v>4400</v>
      </c>
      <c r="F240" s="116" t="s">
        <v>19</v>
      </c>
      <c r="G240" s="108">
        <v>46248</v>
      </c>
      <c r="H240" s="108">
        <f t="shared" si="8"/>
        <v>46269</v>
      </c>
      <c r="I240" s="108">
        <v>46267</v>
      </c>
      <c r="J240" s="194" t="s">
        <v>1480</v>
      </c>
      <c r="K240" s="113" t="s">
        <v>1377</v>
      </c>
      <c r="L240"/>
      <c r="M240" s="122"/>
      <c r="N240" s="122"/>
      <c r="O240"/>
      <c r="P240" s="113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s="14" customFormat="1" ht="15" customHeight="1">
      <c r="A241" s="111" t="s">
        <v>1375</v>
      </c>
      <c r="B241" s="111" t="s">
        <v>281</v>
      </c>
      <c r="C241" s="105" t="s">
        <v>1371</v>
      </c>
      <c r="D241" s="105">
        <v>389</v>
      </c>
      <c r="E241" s="118">
        <v>4400</v>
      </c>
      <c r="F241" s="116" t="s">
        <v>19</v>
      </c>
      <c r="G241" s="108">
        <v>46248</v>
      </c>
      <c r="H241" s="108">
        <f t="shared" si="8"/>
        <v>46269</v>
      </c>
      <c r="I241" s="108">
        <v>46267</v>
      </c>
      <c r="J241" s="111" t="s">
        <v>1481</v>
      </c>
      <c r="K241" s="113" t="s">
        <v>1377</v>
      </c>
      <c r="M241" s="122"/>
      <c r="N241" s="122"/>
      <c r="P241" s="113"/>
    </row>
    <row r="242" spans="1:38" s="14" customFormat="1" ht="15" customHeight="1">
      <c r="A242" s="111" t="s">
        <v>1375</v>
      </c>
      <c r="B242" s="111" t="s">
        <v>281</v>
      </c>
      <c r="C242" s="105" t="s">
        <v>1371</v>
      </c>
      <c r="D242" s="105">
        <v>390</v>
      </c>
      <c r="E242" s="118">
        <v>4400</v>
      </c>
      <c r="F242" s="116" t="s">
        <v>19</v>
      </c>
      <c r="G242" s="108">
        <v>46248</v>
      </c>
      <c r="H242" s="108">
        <f t="shared" si="8"/>
        <v>46269</v>
      </c>
      <c r="I242" s="108">
        <v>46267</v>
      </c>
      <c r="J242" s="111" t="s">
        <v>1481</v>
      </c>
      <c r="K242" s="113" t="s">
        <v>1377</v>
      </c>
      <c r="M242" s="122"/>
      <c r="N242" s="122"/>
      <c r="P242" s="113"/>
    </row>
    <row r="243" spans="1:38" s="14" customFormat="1" ht="15" customHeight="1">
      <c r="A243" s="111" t="s">
        <v>1375</v>
      </c>
      <c r="B243" s="111" t="s">
        <v>281</v>
      </c>
      <c r="C243" s="105" t="s">
        <v>1458</v>
      </c>
      <c r="D243" s="105">
        <v>391</v>
      </c>
      <c r="E243" s="118">
        <v>4400</v>
      </c>
      <c r="F243" s="116" t="s">
        <v>19</v>
      </c>
      <c r="G243" s="108">
        <v>46248</v>
      </c>
      <c r="H243" s="108">
        <f t="shared" si="8"/>
        <v>46269</v>
      </c>
      <c r="I243" s="108">
        <v>46267</v>
      </c>
      <c r="J243" s="111" t="s">
        <v>1481</v>
      </c>
      <c r="K243" s="113" t="s">
        <v>1377</v>
      </c>
      <c r="L243"/>
      <c r="M243" s="122"/>
      <c r="N243" s="122"/>
      <c r="O243"/>
      <c r="P243" s="11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</row>
    <row r="244" spans="1:38" s="14" customFormat="1" ht="15" customHeight="1">
      <c r="A244" s="111" t="s">
        <v>1375</v>
      </c>
      <c r="B244" s="111" t="s">
        <v>281</v>
      </c>
      <c r="C244" s="105" t="s">
        <v>1458</v>
      </c>
      <c r="D244" s="105">
        <v>392</v>
      </c>
      <c r="E244" s="118">
        <v>4400</v>
      </c>
      <c r="F244" s="116" t="s">
        <v>19</v>
      </c>
      <c r="G244" s="108">
        <v>46248</v>
      </c>
      <c r="H244" s="108">
        <f t="shared" si="8"/>
        <v>46269</v>
      </c>
      <c r="I244" s="108">
        <v>46267</v>
      </c>
      <c r="J244" s="111" t="s">
        <v>1480</v>
      </c>
      <c r="K244" s="113" t="s">
        <v>1377</v>
      </c>
      <c r="L244"/>
      <c r="M244" s="122"/>
      <c r="N244" s="122"/>
      <c r="O244"/>
      <c r="P244" s="113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</row>
    <row r="245" spans="1:38" s="14" customFormat="1" ht="15" customHeight="1">
      <c r="A245" s="111" t="s">
        <v>1375</v>
      </c>
      <c r="B245" s="114" t="s">
        <v>281</v>
      </c>
      <c r="C245" s="136" t="s">
        <v>1476</v>
      </c>
      <c r="D245" s="136">
        <v>393</v>
      </c>
      <c r="E245" s="118">
        <v>4400</v>
      </c>
      <c r="F245" s="116" t="s">
        <v>19</v>
      </c>
      <c r="G245" s="108">
        <v>46252</v>
      </c>
      <c r="H245" s="180">
        <v>46276</v>
      </c>
      <c r="I245" s="180">
        <v>46276</v>
      </c>
      <c r="J245" s="148" t="s">
        <v>1482</v>
      </c>
      <c r="K245" s="113" t="s">
        <v>1377</v>
      </c>
      <c r="L245"/>
      <c r="M245" s="122"/>
      <c r="N245" s="122"/>
      <c r="O245"/>
      <c r="P245" s="113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</row>
    <row r="246" spans="1:38" ht="15.75">
      <c r="A246" s="111" t="s">
        <v>1402</v>
      </c>
      <c r="B246" s="114" t="s">
        <v>1483</v>
      </c>
      <c r="C246" s="136" t="s">
        <v>1458</v>
      </c>
      <c r="D246" s="105">
        <v>395</v>
      </c>
      <c r="E246" s="118">
        <v>6254.92</v>
      </c>
      <c r="F246" s="103"/>
      <c r="G246" s="108">
        <v>46247</v>
      </c>
      <c r="H246" s="108">
        <v>46254</v>
      </c>
      <c r="I246" s="117">
        <v>46252</v>
      </c>
      <c r="J246" s="203" t="s">
        <v>1484</v>
      </c>
      <c r="K246" s="113" t="s">
        <v>1405</v>
      </c>
      <c r="M246" s="122"/>
      <c r="N246" s="122"/>
      <c r="P246" s="113"/>
    </row>
    <row r="247" spans="1:38" s="14" customFormat="1" ht="15" customHeight="1">
      <c r="A247" s="111" t="s">
        <v>1402</v>
      </c>
      <c r="B247" s="111" t="s">
        <v>1485</v>
      </c>
      <c r="C247" s="119" t="s">
        <v>1458</v>
      </c>
      <c r="D247" s="105">
        <v>395</v>
      </c>
      <c r="E247" s="118">
        <v>2680.68</v>
      </c>
      <c r="F247" s="118"/>
      <c r="G247" s="108">
        <v>46252</v>
      </c>
      <c r="H247" s="117">
        <v>46260</v>
      </c>
      <c r="I247" s="117">
        <v>46260</v>
      </c>
      <c r="J247" s="132"/>
      <c r="K247" s="113" t="s">
        <v>1405</v>
      </c>
      <c r="L247"/>
      <c r="M247" s="122"/>
      <c r="N247" s="122"/>
      <c r="O247"/>
      <c r="P247" s="113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</row>
    <row r="248" spans="1:38" s="14" customFormat="1" ht="15" customHeight="1">
      <c r="A248" s="111" t="s">
        <v>1402</v>
      </c>
      <c r="B248" s="114" t="s">
        <v>1486</v>
      </c>
      <c r="C248" s="119" t="s">
        <v>1460</v>
      </c>
      <c r="D248" s="105">
        <v>396</v>
      </c>
      <c r="E248" s="118">
        <v>8935.6</v>
      </c>
      <c r="F248" s="118"/>
      <c r="G248" s="108">
        <v>46252</v>
      </c>
      <c r="H248" s="117">
        <v>46260</v>
      </c>
      <c r="I248" s="117">
        <v>46260</v>
      </c>
      <c r="J248" s="132"/>
      <c r="K248" s="113" t="s">
        <v>1405</v>
      </c>
      <c r="M248" s="108"/>
      <c r="N248" s="149"/>
      <c r="P248" s="560"/>
    </row>
    <row r="249" spans="1:38" s="14" customFormat="1" ht="15" customHeight="1">
      <c r="A249" s="111" t="s">
        <v>1375</v>
      </c>
      <c r="B249" s="114" t="s">
        <v>281</v>
      </c>
      <c r="C249" s="136" t="s">
        <v>1348</v>
      </c>
      <c r="D249" s="136">
        <v>397</v>
      </c>
      <c r="E249" s="118">
        <v>4400</v>
      </c>
      <c r="F249" s="116" t="s">
        <v>19</v>
      </c>
      <c r="G249" s="108">
        <v>46252</v>
      </c>
      <c r="H249" s="180">
        <v>46276</v>
      </c>
      <c r="I249" s="180">
        <v>46276</v>
      </c>
      <c r="J249" s="148" t="s">
        <v>1482</v>
      </c>
      <c r="K249" s="113" t="s">
        <v>1377</v>
      </c>
      <c r="L249"/>
      <c r="M249" s="122"/>
      <c r="N249" s="122"/>
      <c r="O249"/>
      <c r="P249" s="113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ht="15.75">
      <c r="A250" s="111" t="s">
        <v>1375</v>
      </c>
      <c r="B250" s="114" t="s">
        <v>281</v>
      </c>
      <c r="C250" s="136" t="s">
        <v>1348</v>
      </c>
      <c r="D250" s="136">
        <v>398</v>
      </c>
      <c r="E250" s="118">
        <v>4400</v>
      </c>
      <c r="F250" s="116" t="s">
        <v>19</v>
      </c>
      <c r="G250" s="108">
        <v>46252</v>
      </c>
      <c r="H250" s="180">
        <v>46276</v>
      </c>
      <c r="I250" s="180">
        <v>46276</v>
      </c>
      <c r="J250" s="148" t="s">
        <v>1482</v>
      </c>
      <c r="K250" s="113" t="s">
        <v>1377</v>
      </c>
      <c r="L250" s="197"/>
      <c r="M250" s="122"/>
      <c r="N250" s="122"/>
      <c r="P250" s="113"/>
    </row>
    <row r="251" spans="1:38" ht="15.75">
      <c r="A251" s="111" t="s">
        <v>1375</v>
      </c>
      <c r="B251" s="114" t="s">
        <v>281</v>
      </c>
      <c r="C251" s="136" t="s">
        <v>1361</v>
      </c>
      <c r="D251" s="136">
        <v>399</v>
      </c>
      <c r="E251" s="118">
        <v>4400</v>
      </c>
      <c r="F251" s="116" t="s">
        <v>19</v>
      </c>
      <c r="G251" s="108">
        <v>46252</v>
      </c>
      <c r="H251" s="180">
        <v>46276</v>
      </c>
      <c r="I251" s="180">
        <v>46276</v>
      </c>
      <c r="J251" s="148" t="s">
        <v>1482</v>
      </c>
      <c r="K251" s="113" t="s">
        <v>1377</v>
      </c>
      <c r="L251" s="102"/>
      <c r="M251" s="122"/>
      <c r="N251" s="122"/>
      <c r="P251" s="113"/>
    </row>
    <row r="252" spans="1:38" ht="15.75">
      <c r="A252" s="111" t="s">
        <v>1375</v>
      </c>
      <c r="B252" s="114" t="s">
        <v>281</v>
      </c>
      <c r="C252" s="136" t="s">
        <v>1361</v>
      </c>
      <c r="D252" s="136">
        <v>400</v>
      </c>
      <c r="E252" s="118">
        <v>4400</v>
      </c>
      <c r="F252" s="116" t="s">
        <v>19</v>
      </c>
      <c r="G252" s="108">
        <v>46252</v>
      </c>
      <c r="H252" s="180">
        <v>46276</v>
      </c>
      <c r="I252" s="180">
        <v>46276</v>
      </c>
      <c r="J252" s="148" t="s">
        <v>1487</v>
      </c>
      <c r="K252" s="113" t="s">
        <v>1377</v>
      </c>
      <c r="M252" s="122"/>
      <c r="N252" s="122"/>
      <c r="P252" s="113"/>
    </row>
    <row r="253" spans="1:38" ht="15.75">
      <c r="A253" s="111" t="s">
        <v>1375</v>
      </c>
      <c r="B253" s="114" t="s">
        <v>281</v>
      </c>
      <c r="C253" s="136" t="s">
        <v>1471</v>
      </c>
      <c r="D253" s="136">
        <v>401</v>
      </c>
      <c r="E253" s="118">
        <v>4400</v>
      </c>
      <c r="F253" s="116" t="s">
        <v>19</v>
      </c>
      <c r="G253" s="108">
        <v>46252</v>
      </c>
      <c r="H253" s="180">
        <v>46276</v>
      </c>
      <c r="I253" s="180">
        <v>46276</v>
      </c>
      <c r="J253" s="148" t="s">
        <v>1487</v>
      </c>
      <c r="K253" s="113" t="s">
        <v>1377</v>
      </c>
      <c r="L253" s="197"/>
      <c r="M253" s="122"/>
      <c r="N253" s="122"/>
      <c r="P253" s="113"/>
    </row>
    <row r="254" spans="1:38" ht="15.75">
      <c r="A254" s="162" t="s">
        <v>1488</v>
      </c>
      <c r="B254" s="162" t="s">
        <v>1489</v>
      </c>
      <c r="C254" s="163" t="s">
        <v>1371</v>
      </c>
      <c r="D254" s="249">
        <v>394</v>
      </c>
      <c r="E254" s="118">
        <v>10214</v>
      </c>
      <c r="F254" s="151" t="s">
        <v>19</v>
      </c>
      <c r="G254" s="164">
        <v>46252</v>
      </c>
      <c r="H254" s="152">
        <v>46272</v>
      </c>
      <c r="I254" s="117">
        <v>46273</v>
      </c>
      <c r="J254" s="132"/>
      <c r="K254" s="113"/>
      <c r="M254" s="122"/>
      <c r="N254" s="122"/>
      <c r="P254" s="113"/>
    </row>
    <row r="255" spans="1:38" ht="15.75">
      <c r="A255" s="111" t="s">
        <v>1375</v>
      </c>
      <c r="B255" s="114" t="s">
        <v>281</v>
      </c>
      <c r="C255" s="136" t="s">
        <v>1471</v>
      </c>
      <c r="D255" s="136">
        <v>402</v>
      </c>
      <c r="E255" s="118">
        <v>4400</v>
      </c>
      <c r="F255" s="116" t="s">
        <v>19</v>
      </c>
      <c r="G255" s="108">
        <v>46252</v>
      </c>
      <c r="H255" s="180">
        <v>46276</v>
      </c>
      <c r="I255" s="180">
        <v>46276</v>
      </c>
      <c r="J255" s="148" t="s">
        <v>1487</v>
      </c>
      <c r="K255" s="113" t="s">
        <v>1377</v>
      </c>
      <c r="L255" s="102"/>
      <c r="M255" s="122"/>
      <c r="N255" s="122"/>
      <c r="P255" s="113"/>
    </row>
    <row r="256" spans="1:38" ht="15.75">
      <c r="A256" s="210" t="s">
        <v>1402</v>
      </c>
      <c r="B256" s="162" t="s">
        <v>1490</v>
      </c>
      <c r="C256" s="163" t="s">
        <v>1467</v>
      </c>
      <c r="D256" s="249">
        <v>403</v>
      </c>
      <c r="E256" s="118">
        <v>8935.6</v>
      </c>
      <c r="F256" s="251"/>
      <c r="G256" s="164">
        <v>46253</v>
      </c>
      <c r="H256" s="117">
        <v>46260</v>
      </c>
      <c r="I256" s="117">
        <v>46260</v>
      </c>
      <c r="J256" s="132"/>
      <c r="K256" s="113" t="s">
        <v>1346</v>
      </c>
      <c r="M256" s="122"/>
      <c r="N256" s="122"/>
      <c r="P256" s="113"/>
    </row>
    <row r="257" spans="1:38" ht="15.75">
      <c r="A257" s="114" t="s">
        <v>1402</v>
      </c>
      <c r="B257" s="111" t="s">
        <v>1491</v>
      </c>
      <c r="C257" s="119" t="s">
        <v>1471</v>
      </c>
      <c r="D257" s="105">
        <v>404</v>
      </c>
      <c r="E257" s="118">
        <v>6254.92</v>
      </c>
      <c r="F257" s="118"/>
      <c r="G257" s="108">
        <v>46254</v>
      </c>
      <c r="H257" s="117">
        <v>46260</v>
      </c>
      <c r="I257" s="117">
        <v>46260</v>
      </c>
      <c r="J257" s="158"/>
      <c r="K257" s="113" t="s">
        <v>1405</v>
      </c>
      <c r="M257" s="122"/>
      <c r="N257" s="122"/>
      <c r="P257" s="113"/>
    </row>
    <row r="258" spans="1:38" ht="15.75">
      <c r="A258" s="114" t="s">
        <v>1402</v>
      </c>
      <c r="B258" s="111" t="s">
        <v>1491</v>
      </c>
      <c r="C258" s="119" t="s">
        <v>1471</v>
      </c>
      <c r="D258" s="249">
        <v>404</v>
      </c>
      <c r="E258" s="118">
        <v>2680.68</v>
      </c>
      <c r="F258" s="118"/>
      <c r="G258" s="164">
        <v>46254</v>
      </c>
      <c r="H258" s="117">
        <v>46261</v>
      </c>
      <c r="I258" s="117">
        <v>46261</v>
      </c>
      <c r="J258" s="158"/>
      <c r="K258" s="113" t="s">
        <v>1405</v>
      </c>
      <c r="M258" s="122"/>
      <c r="N258" s="122"/>
      <c r="P258" s="113"/>
    </row>
    <row r="259" spans="1:38" ht="15.75">
      <c r="A259" s="114" t="s">
        <v>1402</v>
      </c>
      <c r="B259" s="111" t="s">
        <v>1492</v>
      </c>
      <c r="C259" s="119" t="s">
        <v>1458</v>
      </c>
      <c r="D259" s="105">
        <v>405</v>
      </c>
      <c r="E259" s="118">
        <v>8135.6</v>
      </c>
      <c r="F259" s="118"/>
      <c r="G259" s="108">
        <v>46255</v>
      </c>
      <c r="H259" s="117">
        <v>46261</v>
      </c>
      <c r="I259" s="117">
        <v>46261</v>
      </c>
      <c r="J259" s="158"/>
      <c r="K259" s="113" t="s">
        <v>1405</v>
      </c>
      <c r="M259" s="122"/>
      <c r="N259" s="122"/>
      <c r="P259" s="113"/>
    </row>
    <row r="260" spans="1:38" ht="15.75">
      <c r="A260" s="114" t="s">
        <v>1402</v>
      </c>
      <c r="B260" s="111" t="s">
        <v>1493</v>
      </c>
      <c r="C260" s="119" t="s">
        <v>1460</v>
      </c>
      <c r="D260" s="105">
        <v>406</v>
      </c>
      <c r="E260" s="118">
        <v>2440.6799999999998</v>
      </c>
      <c r="F260" s="118"/>
      <c r="G260" s="108">
        <v>46255</v>
      </c>
      <c r="H260" s="117">
        <v>46261</v>
      </c>
      <c r="I260" s="117">
        <v>46261</v>
      </c>
      <c r="J260" s="158"/>
      <c r="K260" s="113" t="s">
        <v>1405</v>
      </c>
      <c r="L260" s="14"/>
      <c r="M260" s="108"/>
      <c r="N260" s="149"/>
      <c r="O260" s="14"/>
      <c r="P260" s="560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</row>
    <row r="261" spans="1:38" ht="15.75">
      <c r="A261" s="114" t="s">
        <v>1402</v>
      </c>
      <c r="B261" s="111" t="s">
        <v>1493</v>
      </c>
      <c r="C261" s="119" t="s">
        <v>1460</v>
      </c>
      <c r="D261" s="249">
        <v>406</v>
      </c>
      <c r="E261" s="118">
        <v>5694.92</v>
      </c>
      <c r="F261" s="118"/>
      <c r="G261" s="108">
        <v>46255</v>
      </c>
      <c r="H261" s="117">
        <v>46261</v>
      </c>
      <c r="I261" s="117">
        <v>46261</v>
      </c>
      <c r="J261" s="158"/>
      <c r="K261" s="113" t="s">
        <v>1405</v>
      </c>
      <c r="L261" s="14"/>
      <c r="M261" s="122"/>
      <c r="N261" s="122"/>
      <c r="O261" s="14"/>
      <c r="P261" s="113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</row>
    <row r="262" spans="1:38" ht="15.75">
      <c r="A262" s="114" t="s">
        <v>1402</v>
      </c>
      <c r="B262" s="111" t="s">
        <v>1494</v>
      </c>
      <c r="C262" s="119" t="s">
        <v>1471</v>
      </c>
      <c r="D262" s="105">
        <v>408</v>
      </c>
      <c r="E262" s="118">
        <v>2458.4499999999998</v>
      </c>
      <c r="F262" s="118"/>
      <c r="G262" s="108">
        <v>46256</v>
      </c>
      <c r="H262" s="117">
        <v>46260</v>
      </c>
      <c r="I262" s="217">
        <v>46260</v>
      </c>
      <c r="J262" s="202" t="s">
        <v>1495</v>
      </c>
      <c r="K262" s="113" t="s">
        <v>1405</v>
      </c>
      <c r="M262" s="122"/>
      <c r="N262" s="122"/>
      <c r="P262" s="113"/>
    </row>
    <row r="263" spans="1:38" ht="15.75">
      <c r="A263" s="111" t="s">
        <v>1402</v>
      </c>
      <c r="B263" s="111" t="s">
        <v>1494</v>
      </c>
      <c r="C263" s="119" t="s">
        <v>1471</v>
      </c>
      <c r="D263" s="105">
        <v>409</v>
      </c>
      <c r="E263" s="118">
        <v>2458.4299999999998</v>
      </c>
      <c r="F263" s="118"/>
      <c r="G263" s="108">
        <v>46256</v>
      </c>
      <c r="H263" s="117">
        <v>46260</v>
      </c>
      <c r="I263" s="117">
        <v>46260</v>
      </c>
      <c r="J263" s="202" t="s">
        <v>1495</v>
      </c>
      <c r="K263" s="113" t="s">
        <v>1405</v>
      </c>
      <c r="M263" s="122"/>
      <c r="N263" s="122"/>
      <c r="P263" s="113"/>
    </row>
    <row r="264" spans="1:38" ht="15.75">
      <c r="A264" s="111" t="s">
        <v>1402</v>
      </c>
      <c r="B264" s="111" t="s">
        <v>1494</v>
      </c>
      <c r="C264" s="119" t="s">
        <v>1471</v>
      </c>
      <c r="D264" s="105">
        <v>410</v>
      </c>
      <c r="E264" s="118">
        <v>2458.4299999999998</v>
      </c>
      <c r="F264" s="118"/>
      <c r="G264" s="108">
        <v>46256</v>
      </c>
      <c r="H264" s="117">
        <v>46260</v>
      </c>
      <c r="I264" s="117">
        <v>46260</v>
      </c>
      <c r="J264" s="158" t="s">
        <v>1495</v>
      </c>
      <c r="K264" s="113" t="s">
        <v>1405</v>
      </c>
      <c r="M264" s="122"/>
      <c r="N264" s="122"/>
      <c r="P264" s="113"/>
    </row>
    <row r="265" spans="1:38" ht="15.75">
      <c r="A265" s="111" t="s">
        <v>1402</v>
      </c>
      <c r="B265" s="111" t="s">
        <v>1494</v>
      </c>
      <c r="C265" s="119" t="s">
        <v>1471</v>
      </c>
      <c r="D265" s="105">
        <v>411</v>
      </c>
      <c r="E265" s="118">
        <v>2458.4299999999998</v>
      </c>
      <c r="F265" s="118"/>
      <c r="G265" s="108">
        <v>46256</v>
      </c>
      <c r="H265" s="117">
        <v>46260</v>
      </c>
      <c r="I265" s="117">
        <v>46260</v>
      </c>
      <c r="J265" s="202" t="s">
        <v>1495</v>
      </c>
      <c r="K265" s="113" t="s">
        <v>1405</v>
      </c>
      <c r="M265" s="122"/>
      <c r="N265" s="122"/>
      <c r="P265" s="113"/>
    </row>
    <row r="266" spans="1:38" ht="15.75">
      <c r="A266" s="111" t="s">
        <v>1402</v>
      </c>
      <c r="B266" s="111" t="s">
        <v>1494</v>
      </c>
      <c r="C266" s="119" t="s">
        <v>1471</v>
      </c>
      <c r="D266" s="105">
        <v>412</v>
      </c>
      <c r="E266" s="118">
        <v>2458.4299999999998</v>
      </c>
      <c r="F266" s="118"/>
      <c r="G266" s="108">
        <v>46256</v>
      </c>
      <c r="H266" s="117">
        <v>46260</v>
      </c>
      <c r="I266" s="117">
        <v>46260</v>
      </c>
      <c r="J266" s="158" t="s">
        <v>1495</v>
      </c>
      <c r="K266" s="113" t="s">
        <v>1405</v>
      </c>
      <c r="M266" s="122"/>
      <c r="N266" s="122"/>
      <c r="P266" s="113"/>
    </row>
    <row r="267" spans="1:38" s="134" customFormat="1" ht="15.75">
      <c r="A267" s="111" t="s">
        <v>1402</v>
      </c>
      <c r="B267" s="111" t="s">
        <v>1494</v>
      </c>
      <c r="C267" s="119" t="s">
        <v>1471</v>
      </c>
      <c r="D267" s="105">
        <v>413</v>
      </c>
      <c r="E267" s="118">
        <v>1948.83</v>
      </c>
      <c r="F267" s="118"/>
      <c r="G267" s="108">
        <v>46256</v>
      </c>
      <c r="H267" s="117">
        <v>46260</v>
      </c>
      <c r="I267" s="117">
        <v>46260</v>
      </c>
      <c r="J267" s="158" t="s">
        <v>1495</v>
      </c>
      <c r="K267" s="113" t="s">
        <v>1405</v>
      </c>
      <c r="L267"/>
      <c r="M267" s="122"/>
      <c r="N267" s="122"/>
      <c r="O267"/>
      <c r="P267" s="113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ht="15.75">
      <c r="A268" s="111" t="s">
        <v>1402</v>
      </c>
      <c r="B268" s="111" t="s">
        <v>1496</v>
      </c>
      <c r="C268" s="119" t="s">
        <v>1458</v>
      </c>
      <c r="D268" s="105">
        <v>414</v>
      </c>
      <c r="E268" s="118">
        <v>15622.5</v>
      </c>
      <c r="F268" s="118" t="s">
        <v>445</v>
      </c>
      <c r="G268" s="108">
        <v>46258</v>
      </c>
      <c r="H268" s="117">
        <f>G268+5</f>
        <v>46263</v>
      </c>
      <c r="I268" s="117">
        <v>46262</v>
      </c>
      <c r="J268" s="202"/>
      <c r="K268" s="113" t="s">
        <v>1405</v>
      </c>
      <c r="M268" s="122"/>
      <c r="N268" s="122"/>
      <c r="P268" s="113"/>
    </row>
    <row r="269" spans="1:38" ht="15.75">
      <c r="A269" s="114" t="s">
        <v>1402</v>
      </c>
      <c r="B269" s="111" t="s">
        <v>1497</v>
      </c>
      <c r="C269" s="119" t="s">
        <v>1479</v>
      </c>
      <c r="D269" s="105">
        <v>415</v>
      </c>
      <c r="E269" s="118">
        <v>15042</v>
      </c>
      <c r="F269" s="151" t="s">
        <v>19</v>
      </c>
      <c r="G269" s="108">
        <v>46258</v>
      </c>
      <c r="H269" s="117">
        <v>46266</v>
      </c>
      <c r="I269" s="117">
        <v>46266</v>
      </c>
      <c r="J269" s="202"/>
      <c r="K269" s="113" t="s">
        <v>1405</v>
      </c>
      <c r="L269" s="14"/>
      <c r="M269" s="108"/>
      <c r="N269" s="149"/>
      <c r="O269" s="14"/>
      <c r="P269" s="560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</row>
    <row r="270" spans="1:38" ht="15.75">
      <c r="A270" s="111" t="s">
        <v>1402</v>
      </c>
      <c r="B270" s="111" t="s">
        <v>1498</v>
      </c>
      <c r="C270" s="119" t="s">
        <v>1460</v>
      </c>
      <c r="D270" s="105">
        <v>417</v>
      </c>
      <c r="E270" s="118">
        <v>14620.65</v>
      </c>
      <c r="F270" s="151" t="s">
        <v>19</v>
      </c>
      <c r="G270" s="152">
        <v>46260</v>
      </c>
      <c r="H270" s="117">
        <f>G270+5</f>
        <v>46265</v>
      </c>
      <c r="I270" s="117">
        <v>46269</v>
      </c>
      <c r="J270" s="193"/>
      <c r="K270" s="113" t="s">
        <v>1346</v>
      </c>
      <c r="M270" s="122"/>
      <c r="N270" s="122"/>
      <c r="P270" s="113"/>
    </row>
    <row r="271" spans="1:38" ht="15.75">
      <c r="A271" s="111" t="s">
        <v>1402</v>
      </c>
      <c r="B271" s="111" t="s">
        <v>1499</v>
      </c>
      <c r="C271" s="119" t="s">
        <v>1458</v>
      </c>
      <c r="D271" s="105">
        <v>420</v>
      </c>
      <c r="E271" s="118">
        <v>7320.5</v>
      </c>
      <c r="F271" s="151" t="s">
        <v>19</v>
      </c>
      <c r="G271" s="108">
        <v>46262</v>
      </c>
      <c r="H271" s="117">
        <f>G271+5</f>
        <v>46267</v>
      </c>
      <c r="I271" s="117">
        <v>46269</v>
      </c>
      <c r="J271" s="193"/>
      <c r="K271" s="113" t="s">
        <v>1346</v>
      </c>
      <c r="M271" s="122"/>
      <c r="N271" s="122"/>
      <c r="P271" s="113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  <c r="AA271" s="140"/>
      <c r="AB271" s="140"/>
      <c r="AC271" s="140"/>
      <c r="AD271" s="140"/>
      <c r="AE271" s="140"/>
      <c r="AF271" s="140"/>
      <c r="AG271" s="140"/>
      <c r="AH271" s="140"/>
      <c r="AI271" s="140"/>
      <c r="AJ271" s="140"/>
      <c r="AK271" s="140"/>
      <c r="AL271" s="140"/>
    </row>
    <row r="272" spans="1:38" ht="15.75">
      <c r="A272" s="111" t="s">
        <v>1402</v>
      </c>
      <c r="B272" s="111" t="s">
        <v>1499</v>
      </c>
      <c r="C272" s="119" t="s">
        <v>1458</v>
      </c>
      <c r="D272" s="105">
        <v>421</v>
      </c>
      <c r="E272" s="118">
        <v>7320.5</v>
      </c>
      <c r="F272" s="151" t="s">
        <v>19</v>
      </c>
      <c r="G272" s="108">
        <v>46262</v>
      </c>
      <c r="H272" s="117">
        <f>G272+5</f>
        <v>46267</v>
      </c>
      <c r="I272" s="117">
        <v>46269</v>
      </c>
      <c r="J272" s="193"/>
      <c r="K272" s="113" t="s">
        <v>1405</v>
      </c>
      <c r="M272" s="122"/>
      <c r="N272" s="122"/>
      <c r="P272" s="113"/>
    </row>
    <row r="273" spans="1:38" ht="15.75">
      <c r="A273" s="111" t="s">
        <v>1402</v>
      </c>
      <c r="B273" s="114" t="s">
        <v>1500</v>
      </c>
      <c r="C273" s="136" t="s">
        <v>1479</v>
      </c>
      <c r="D273" s="136">
        <v>422</v>
      </c>
      <c r="E273" s="118">
        <v>14241</v>
      </c>
      <c r="F273" s="151" t="s">
        <v>19</v>
      </c>
      <c r="G273" s="108">
        <v>46266</v>
      </c>
      <c r="H273" s="180">
        <v>46276</v>
      </c>
      <c r="I273" s="117">
        <v>46275</v>
      </c>
      <c r="J273" s="192" t="s">
        <v>1501</v>
      </c>
      <c r="K273" s="113" t="s">
        <v>1405</v>
      </c>
      <c r="M273" s="122"/>
      <c r="N273" s="122"/>
      <c r="P273" s="113"/>
    </row>
    <row r="274" spans="1:38" ht="15.75">
      <c r="A274" s="111" t="s">
        <v>1402</v>
      </c>
      <c r="B274" s="114" t="s">
        <v>1502</v>
      </c>
      <c r="C274" s="136" t="s">
        <v>1471</v>
      </c>
      <c r="D274" s="136">
        <v>423</v>
      </c>
      <c r="E274" s="118">
        <v>14242</v>
      </c>
      <c r="F274" s="151" t="s">
        <v>19</v>
      </c>
      <c r="G274" s="108">
        <v>46267</v>
      </c>
      <c r="H274" s="117">
        <f>G274+5</f>
        <v>46272</v>
      </c>
      <c r="I274" s="117">
        <v>46274</v>
      </c>
      <c r="J274" s="380">
        <v>81494</v>
      </c>
      <c r="K274" s="113" t="s">
        <v>1405</v>
      </c>
      <c r="M274" s="122"/>
      <c r="N274" s="122"/>
      <c r="P274" s="113"/>
    </row>
    <row r="275" spans="1:38" ht="15.75">
      <c r="A275" s="111" t="s">
        <v>1402</v>
      </c>
      <c r="B275" s="114" t="s">
        <v>1503</v>
      </c>
      <c r="C275" s="136" t="s">
        <v>1348</v>
      </c>
      <c r="D275" s="136">
        <v>427</v>
      </c>
      <c r="E275" s="118">
        <v>8171.5</v>
      </c>
      <c r="F275" s="151" t="s">
        <v>19</v>
      </c>
      <c r="G275" s="108">
        <v>46268</v>
      </c>
      <c r="H275" s="117">
        <f>G275+5</f>
        <v>46273</v>
      </c>
      <c r="I275" s="117">
        <v>46274</v>
      </c>
      <c r="J275" s="194">
        <v>81561</v>
      </c>
      <c r="K275" s="113" t="s">
        <v>1405</v>
      </c>
      <c r="M275" s="122"/>
      <c r="N275" s="122"/>
      <c r="P275" s="113"/>
    </row>
    <row r="276" spans="1:38" ht="15.75">
      <c r="A276" s="111" t="s">
        <v>1402</v>
      </c>
      <c r="B276" s="114" t="s">
        <v>1504</v>
      </c>
      <c r="C276" s="136" t="s">
        <v>1458</v>
      </c>
      <c r="D276" s="136">
        <v>428</v>
      </c>
      <c r="E276" s="118">
        <v>5720.05</v>
      </c>
      <c r="F276" s="151" t="s">
        <v>19</v>
      </c>
      <c r="G276" s="108">
        <v>46268</v>
      </c>
      <c r="H276" s="117">
        <f>G276+5</f>
        <v>46273</v>
      </c>
      <c r="I276" s="117">
        <v>46274</v>
      </c>
      <c r="J276" s="111">
        <v>81541</v>
      </c>
      <c r="K276" s="113" t="s">
        <v>1405</v>
      </c>
      <c r="M276" s="122"/>
      <c r="N276" s="122"/>
      <c r="P276" s="113"/>
    </row>
    <row r="277" spans="1:38" ht="15.75">
      <c r="A277" s="111" t="s">
        <v>1402</v>
      </c>
      <c r="B277" s="114" t="s">
        <v>1504</v>
      </c>
      <c r="C277" s="136" t="s">
        <v>1458</v>
      </c>
      <c r="D277" s="136">
        <v>428</v>
      </c>
      <c r="E277" s="118">
        <v>2451.4499999999998</v>
      </c>
      <c r="F277" s="151" t="s">
        <v>19</v>
      </c>
      <c r="G277" s="108">
        <v>46268</v>
      </c>
      <c r="H277" s="117">
        <f>G277+5</f>
        <v>46273</v>
      </c>
      <c r="I277" s="180">
        <v>46274</v>
      </c>
      <c r="J277" s="111">
        <v>81541</v>
      </c>
      <c r="K277" s="113" t="s">
        <v>1405</v>
      </c>
      <c r="M277" s="122"/>
      <c r="N277" s="122"/>
      <c r="P277" s="113"/>
    </row>
    <row r="278" spans="1:38" ht="15.75">
      <c r="A278" s="111" t="s">
        <v>1410</v>
      </c>
      <c r="B278" s="114" t="s">
        <v>1411</v>
      </c>
      <c r="C278" s="136" t="s">
        <v>1412</v>
      </c>
      <c r="D278" s="136">
        <v>416</v>
      </c>
      <c r="E278" s="118">
        <v>32000</v>
      </c>
      <c r="F278" s="151" t="s">
        <v>19</v>
      </c>
      <c r="G278" s="108">
        <v>46262</v>
      </c>
      <c r="H278" s="213">
        <f>G278+14</f>
        <v>46276</v>
      </c>
      <c r="I278" s="213">
        <v>46279</v>
      </c>
      <c r="J278" s="336"/>
      <c r="K278" s="113"/>
      <c r="M278" s="122"/>
      <c r="N278" s="122"/>
      <c r="P278" s="113"/>
    </row>
    <row r="279" spans="1:38" ht="15.75">
      <c r="A279" s="111" t="s">
        <v>1375</v>
      </c>
      <c r="B279" s="114" t="s">
        <v>281</v>
      </c>
      <c r="C279" s="136" t="s">
        <v>1371</v>
      </c>
      <c r="D279" s="136">
        <v>434</v>
      </c>
      <c r="E279" s="118">
        <v>4400</v>
      </c>
      <c r="F279" s="151" t="s">
        <v>19</v>
      </c>
      <c r="G279" s="108">
        <v>46272</v>
      </c>
      <c r="H279" s="180">
        <v>46297</v>
      </c>
      <c r="I279" s="180">
        <v>46297</v>
      </c>
      <c r="J279" s="192" t="s">
        <v>1505</v>
      </c>
      <c r="K279" s="113" t="s">
        <v>1377</v>
      </c>
      <c r="L279" s="102"/>
      <c r="M279" s="122"/>
      <c r="N279" s="122"/>
      <c r="P279" s="113"/>
    </row>
    <row r="280" spans="1:38" ht="15.75">
      <c r="A280" s="111" t="s">
        <v>1488</v>
      </c>
      <c r="B280" s="114" t="s">
        <v>1506</v>
      </c>
      <c r="C280" s="136" t="s">
        <v>1471</v>
      </c>
      <c r="D280" s="136">
        <v>418</v>
      </c>
      <c r="E280" s="118">
        <v>9250</v>
      </c>
      <c r="F280" s="151" t="s">
        <v>19</v>
      </c>
      <c r="G280" s="108">
        <v>46262</v>
      </c>
      <c r="H280" s="180">
        <v>46289</v>
      </c>
      <c r="I280" s="180">
        <v>46289</v>
      </c>
      <c r="J280" s="192"/>
      <c r="K280" s="113" t="s">
        <v>1507</v>
      </c>
      <c r="M280" s="108"/>
      <c r="N280" s="149"/>
      <c r="O280" s="14"/>
      <c r="P280" s="560"/>
    </row>
    <row r="281" spans="1:38" ht="15.75">
      <c r="A281" s="111" t="s">
        <v>1488</v>
      </c>
      <c r="B281" s="114" t="s">
        <v>1506</v>
      </c>
      <c r="C281" s="136" t="s">
        <v>1471</v>
      </c>
      <c r="D281" s="136">
        <v>419</v>
      </c>
      <c r="E281" s="118">
        <v>9250</v>
      </c>
      <c r="F281" s="151" t="s">
        <v>19</v>
      </c>
      <c r="G281" s="108">
        <v>46262</v>
      </c>
      <c r="H281" s="180">
        <v>46289</v>
      </c>
      <c r="I281" s="180">
        <v>46289</v>
      </c>
      <c r="J281" s="192"/>
      <c r="K281" s="113" t="s">
        <v>1507</v>
      </c>
      <c r="M281" s="108"/>
      <c r="N281" s="149"/>
      <c r="O281" s="14"/>
      <c r="P281" s="560"/>
    </row>
    <row r="282" spans="1:38" ht="15.75">
      <c r="A282" s="111" t="s">
        <v>1375</v>
      </c>
      <c r="B282" s="114" t="s">
        <v>281</v>
      </c>
      <c r="C282" s="136" t="s">
        <v>1371</v>
      </c>
      <c r="D282" s="136">
        <v>435</v>
      </c>
      <c r="E282" s="118">
        <v>4400</v>
      </c>
      <c r="F282" s="151" t="s">
        <v>19</v>
      </c>
      <c r="G282" s="108">
        <v>46272</v>
      </c>
      <c r="H282" s="180">
        <v>46297</v>
      </c>
      <c r="I282" s="180">
        <v>46297</v>
      </c>
      <c r="J282" s="112" t="s">
        <v>1505</v>
      </c>
      <c r="K282" s="113" t="s">
        <v>1377</v>
      </c>
      <c r="M282" s="122"/>
      <c r="N282" s="122"/>
      <c r="P282" s="113"/>
    </row>
    <row r="283" spans="1:38" s="140" customFormat="1" ht="15.75">
      <c r="A283" s="111" t="s">
        <v>1375</v>
      </c>
      <c r="B283" s="114" t="s">
        <v>281</v>
      </c>
      <c r="C283" s="136" t="s">
        <v>1348</v>
      </c>
      <c r="D283" s="136">
        <v>436</v>
      </c>
      <c r="E283" s="118">
        <v>4400</v>
      </c>
      <c r="F283" s="151" t="s">
        <v>19</v>
      </c>
      <c r="G283" s="108">
        <v>46272</v>
      </c>
      <c r="H283" s="213">
        <v>46297</v>
      </c>
      <c r="I283" s="213">
        <v>46297</v>
      </c>
      <c r="J283" s="379" t="s">
        <v>1505</v>
      </c>
      <c r="K283" s="113" t="s">
        <v>1377</v>
      </c>
      <c r="L283"/>
      <c r="M283" s="122"/>
      <c r="N283" s="122"/>
      <c r="O283"/>
      <c r="P283" s="11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</row>
    <row r="284" spans="1:38" s="140" customFormat="1" ht="15.75">
      <c r="A284" s="111" t="s">
        <v>1375</v>
      </c>
      <c r="B284" s="114" t="s">
        <v>281</v>
      </c>
      <c r="C284" s="136" t="s">
        <v>1348</v>
      </c>
      <c r="D284" s="136">
        <v>437</v>
      </c>
      <c r="E284" s="118">
        <v>4400</v>
      </c>
      <c r="F284" s="151" t="s">
        <v>19</v>
      </c>
      <c r="G284" s="108">
        <v>46274</v>
      </c>
      <c r="H284" s="180">
        <v>46297</v>
      </c>
      <c r="I284" s="180">
        <v>46297</v>
      </c>
      <c r="J284" s="112" t="s">
        <v>1505</v>
      </c>
      <c r="K284" s="113" t="s">
        <v>1377</v>
      </c>
      <c r="L284" s="198"/>
      <c r="M284" s="122"/>
      <c r="N284" s="122"/>
      <c r="O284"/>
      <c r="P284" s="113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</row>
    <row r="285" spans="1:38" s="140" customFormat="1" ht="15.75">
      <c r="A285" s="111" t="s">
        <v>1402</v>
      </c>
      <c r="B285" s="114" t="s">
        <v>1508</v>
      </c>
      <c r="C285" s="166" t="s">
        <v>1467</v>
      </c>
      <c r="D285" s="136">
        <v>439</v>
      </c>
      <c r="E285" s="121">
        <v>4984.3500000000004</v>
      </c>
      <c r="F285" s="108" t="s">
        <v>19</v>
      </c>
      <c r="G285" s="108">
        <v>46275</v>
      </c>
      <c r="H285" s="117">
        <f>G285+10</f>
        <v>46285</v>
      </c>
      <c r="I285" s="180">
        <v>46309</v>
      </c>
      <c r="J285" s="111" t="s">
        <v>1509</v>
      </c>
      <c r="K285" s="113" t="s">
        <v>1405</v>
      </c>
      <c r="L285" s="198"/>
      <c r="M285" s="108"/>
      <c r="N285" s="149"/>
      <c r="O285" s="14"/>
      <c r="P285" s="560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</row>
    <row r="286" spans="1:38" ht="15.75">
      <c r="A286" s="111" t="s">
        <v>1410</v>
      </c>
      <c r="B286" s="114" t="s">
        <v>1411</v>
      </c>
      <c r="C286" s="136" t="s">
        <v>1412</v>
      </c>
      <c r="D286" s="136">
        <v>424</v>
      </c>
      <c r="E286" s="118">
        <v>32000</v>
      </c>
      <c r="F286" s="151" t="s">
        <v>19</v>
      </c>
      <c r="G286" s="108">
        <v>46273</v>
      </c>
      <c r="H286" s="180">
        <f>G286+14</f>
        <v>46287</v>
      </c>
      <c r="I286" s="117">
        <v>46288</v>
      </c>
      <c r="J286" s="192"/>
      <c r="K286" s="113"/>
      <c r="L286" s="197"/>
      <c r="M286" s="108"/>
      <c r="N286" s="149"/>
      <c r="O286" s="14"/>
      <c r="P286" s="560"/>
    </row>
    <row r="287" spans="1:38" ht="15.75">
      <c r="A287" s="111" t="s">
        <v>1510</v>
      </c>
      <c r="B287" s="114" t="s">
        <v>1510</v>
      </c>
      <c r="C287" s="136" t="s">
        <v>1510</v>
      </c>
      <c r="D287" s="136">
        <v>425</v>
      </c>
      <c r="E287" s="118" t="s">
        <v>1510</v>
      </c>
      <c r="F287" s="151" t="s">
        <v>19</v>
      </c>
      <c r="G287" s="108" t="s">
        <v>1510</v>
      </c>
      <c r="H287" s="117" t="s">
        <v>1510</v>
      </c>
      <c r="I287" s="180">
        <v>46289</v>
      </c>
      <c r="J287" s="192"/>
      <c r="K287" s="113"/>
      <c r="L287" s="197"/>
      <c r="M287" s="122"/>
      <c r="N287" s="122"/>
      <c r="P287" s="113"/>
    </row>
    <row r="288" spans="1:38" ht="15.75">
      <c r="A288" s="111" t="s">
        <v>1402</v>
      </c>
      <c r="B288" s="114" t="s">
        <v>1508</v>
      </c>
      <c r="C288" s="136" t="s">
        <v>1467</v>
      </c>
      <c r="D288" s="136">
        <v>439</v>
      </c>
      <c r="E288" s="121">
        <v>2136.15</v>
      </c>
      <c r="F288" s="108" t="s">
        <v>19</v>
      </c>
      <c r="G288" s="108">
        <v>46275</v>
      </c>
      <c r="H288" s="117">
        <f>G288+10</f>
        <v>46285</v>
      </c>
      <c r="I288" s="180">
        <v>46309</v>
      </c>
      <c r="J288" s="194" t="s">
        <v>1509</v>
      </c>
      <c r="K288" s="113" t="s">
        <v>1405</v>
      </c>
      <c r="L288" s="198"/>
      <c r="M288" s="108"/>
      <c r="N288" s="149"/>
      <c r="O288" s="14"/>
      <c r="P288" s="560"/>
    </row>
    <row r="289" spans="1:38" ht="15.75">
      <c r="A289" s="111" t="s">
        <v>1402</v>
      </c>
      <c r="B289" s="114" t="s">
        <v>1511</v>
      </c>
      <c r="C289" s="136" t="s">
        <v>1467</v>
      </c>
      <c r="D289" s="136">
        <v>440</v>
      </c>
      <c r="E289" s="121">
        <v>7120.5</v>
      </c>
      <c r="F289" s="108" t="s">
        <v>19</v>
      </c>
      <c r="G289" s="108">
        <v>46275</v>
      </c>
      <c r="H289" s="117">
        <f>G289+10</f>
        <v>46285</v>
      </c>
      <c r="I289" s="180">
        <v>46309</v>
      </c>
      <c r="J289" s="194" t="s">
        <v>1509</v>
      </c>
      <c r="K289" s="113" t="s">
        <v>1405</v>
      </c>
      <c r="L289" s="198"/>
      <c r="M289" s="108"/>
      <c r="N289" s="149"/>
      <c r="O289" s="14"/>
      <c r="P289" s="560"/>
    </row>
    <row r="290" spans="1:38" ht="15.75">
      <c r="A290" s="111" t="s">
        <v>1402</v>
      </c>
      <c r="B290" s="114" t="s">
        <v>1512</v>
      </c>
      <c r="C290" s="136" t="s">
        <v>1458</v>
      </c>
      <c r="D290" s="136">
        <v>441</v>
      </c>
      <c r="E290" s="118">
        <v>14241</v>
      </c>
      <c r="F290" s="151" t="s">
        <v>19</v>
      </c>
      <c r="G290" s="108">
        <v>46276</v>
      </c>
      <c r="H290" s="117">
        <f>G290+10</f>
        <v>46286</v>
      </c>
      <c r="I290" s="117">
        <v>46287</v>
      </c>
      <c r="J290" s="194" t="s">
        <v>1513</v>
      </c>
      <c r="K290" s="113" t="s">
        <v>1405</v>
      </c>
      <c r="L290" s="198"/>
      <c r="M290" s="108"/>
      <c r="N290" s="149"/>
      <c r="O290" s="14"/>
      <c r="P290" s="560"/>
    </row>
    <row r="291" spans="1:38" ht="15.75">
      <c r="A291" s="111" t="s">
        <v>1413</v>
      </c>
      <c r="B291" s="114" t="s">
        <v>1514</v>
      </c>
      <c r="C291" s="136"/>
      <c r="D291" s="136"/>
      <c r="E291" s="118">
        <v>18.739999999999998</v>
      </c>
      <c r="F291" s="151" t="s">
        <v>19</v>
      </c>
      <c r="G291" s="117">
        <v>46301</v>
      </c>
      <c r="H291" s="117">
        <v>46301</v>
      </c>
      <c r="I291" s="108">
        <v>46301</v>
      </c>
      <c r="J291" s="558"/>
      <c r="K291" s="113"/>
      <c r="M291" s="113"/>
      <c r="N291" s="154"/>
      <c r="P291" s="180"/>
    </row>
    <row r="292" spans="1:38" s="140" customFormat="1" ht="15.75">
      <c r="A292" s="111" t="s">
        <v>1515</v>
      </c>
      <c r="B292" s="114" t="s">
        <v>1516</v>
      </c>
      <c r="C292" s="136"/>
      <c r="D292" s="136"/>
      <c r="E292" s="118">
        <v>8600</v>
      </c>
      <c r="F292" s="151" t="s">
        <v>19</v>
      </c>
      <c r="G292" s="117">
        <v>46301</v>
      </c>
      <c r="H292" s="117">
        <v>46301</v>
      </c>
      <c r="I292" s="108">
        <v>46301</v>
      </c>
      <c r="J292" s="558"/>
      <c r="K292" s="113"/>
      <c r="L292"/>
      <c r="M292" s="113"/>
      <c r="N292" s="154"/>
      <c r="O292"/>
      <c r="P292" s="180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</row>
    <row r="293" spans="1:38" ht="15.75">
      <c r="A293" s="111" t="s">
        <v>1515</v>
      </c>
      <c r="B293" s="114" t="s">
        <v>1516</v>
      </c>
      <c r="C293" s="136"/>
      <c r="D293" s="136"/>
      <c r="E293" s="118">
        <v>2800</v>
      </c>
      <c r="F293" s="151" t="s">
        <v>19</v>
      </c>
      <c r="G293" s="117">
        <v>46301</v>
      </c>
      <c r="H293" s="117">
        <v>46301</v>
      </c>
      <c r="I293" s="108">
        <v>46301</v>
      </c>
      <c r="J293" s="558"/>
      <c r="K293" s="113"/>
      <c r="M293" s="113"/>
      <c r="N293" s="154"/>
      <c r="P293" s="180"/>
    </row>
    <row r="294" spans="1:38" s="140" customFormat="1" ht="15.75">
      <c r="A294" s="111" t="s">
        <v>1515</v>
      </c>
      <c r="B294" s="114" t="s">
        <v>1516</v>
      </c>
      <c r="C294" s="136"/>
      <c r="D294" s="136"/>
      <c r="E294" s="118">
        <v>12000</v>
      </c>
      <c r="F294" s="151" t="s">
        <v>19</v>
      </c>
      <c r="G294" s="117">
        <v>46301</v>
      </c>
      <c r="H294" s="117">
        <v>46301</v>
      </c>
      <c r="I294" s="108">
        <v>46301</v>
      </c>
      <c r="J294" s="558"/>
      <c r="K294" s="113"/>
      <c r="L294"/>
      <c r="M294" s="113"/>
      <c r="N294" s="154"/>
      <c r="O294"/>
      <c r="P294" s="180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</row>
    <row r="295" spans="1:38" ht="15.75">
      <c r="A295" s="111" t="s">
        <v>1375</v>
      </c>
      <c r="B295" s="114" t="s">
        <v>281</v>
      </c>
      <c r="C295" s="136" t="s">
        <v>1348</v>
      </c>
      <c r="D295" s="136">
        <v>442</v>
      </c>
      <c r="E295" s="118">
        <v>4400</v>
      </c>
      <c r="F295" s="151" t="s">
        <v>19</v>
      </c>
      <c r="G295" s="117">
        <v>46277</v>
      </c>
      <c r="H295" s="180">
        <v>46297</v>
      </c>
      <c r="I295" s="180">
        <v>46297</v>
      </c>
      <c r="J295" s="112" t="s">
        <v>1505</v>
      </c>
      <c r="K295" s="113" t="s">
        <v>1377</v>
      </c>
      <c r="L295" s="197"/>
      <c r="M295" s="122"/>
      <c r="N295" s="122"/>
      <c r="P295" s="113"/>
    </row>
    <row r="296" spans="1:38" ht="15.75">
      <c r="A296" s="111" t="s">
        <v>1375</v>
      </c>
      <c r="B296" s="114" t="s">
        <v>281</v>
      </c>
      <c r="C296" s="136" t="s">
        <v>1348</v>
      </c>
      <c r="D296" s="136">
        <v>443</v>
      </c>
      <c r="E296" s="118">
        <v>4400</v>
      </c>
      <c r="F296" s="151" t="s">
        <v>19</v>
      </c>
      <c r="G296" s="117">
        <v>46277</v>
      </c>
      <c r="H296" s="180">
        <v>46297</v>
      </c>
      <c r="I296" s="180">
        <v>46297</v>
      </c>
      <c r="J296" s="192" t="s">
        <v>1505</v>
      </c>
      <c r="K296" s="113" t="s">
        <v>1377</v>
      </c>
      <c r="L296" s="197"/>
      <c r="M296" s="122"/>
      <c r="N296" s="122"/>
      <c r="P296" s="113"/>
    </row>
    <row r="297" spans="1:38" s="140" customFormat="1" ht="15.75">
      <c r="A297" s="111" t="s">
        <v>1375</v>
      </c>
      <c r="B297" s="114" t="s">
        <v>281</v>
      </c>
      <c r="C297" s="136" t="s">
        <v>1371</v>
      </c>
      <c r="D297" s="136">
        <v>444</v>
      </c>
      <c r="E297" s="118">
        <v>4400</v>
      </c>
      <c r="F297" s="151" t="s">
        <v>19</v>
      </c>
      <c r="G297" s="117">
        <v>46277</v>
      </c>
      <c r="H297" s="180">
        <v>46297</v>
      </c>
      <c r="I297" s="180">
        <v>46297</v>
      </c>
      <c r="J297" s="192" t="s">
        <v>1517</v>
      </c>
      <c r="K297" s="113" t="s">
        <v>1377</v>
      </c>
      <c r="L297" s="197"/>
      <c r="M297" s="122"/>
      <c r="N297" s="122"/>
      <c r="O297"/>
      <c r="P297" s="113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</row>
    <row r="298" spans="1:38" s="140" customFormat="1" ht="15.75">
      <c r="A298" s="111" t="s">
        <v>1375</v>
      </c>
      <c r="B298" s="114" t="s">
        <v>281</v>
      </c>
      <c r="C298" s="136" t="s">
        <v>1371</v>
      </c>
      <c r="D298" s="136">
        <v>445</v>
      </c>
      <c r="E298" s="118">
        <v>4400</v>
      </c>
      <c r="F298" s="151" t="s">
        <v>19</v>
      </c>
      <c r="G298" s="117">
        <v>46277</v>
      </c>
      <c r="H298" s="180">
        <v>46297</v>
      </c>
      <c r="I298" s="180">
        <v>46297</v>
      </c>
      <c r="J298" s="192" t="s">
        <v>1517</v>
      </c>
      <c r="K298" s="113" t="s">
        <v>1377</v>
      </c>
      <c r="L298" s="197"/>
      <c r="M298" s="122"/>
      <c r="N298" s="122"/>
      <c r="O298"/>
      <c r="P298" s="113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</row>
    <row r="299" spans="1:38" ht="15.75">
      <c r="A299" s="111" t="s">
        <v>1375</v>
      </c>
      <c r="B299" s="114" t="s">
        <v>281</v>
      </c>
      <c r="C299" s="136" t="s">
        <v>1361</v>
      </c>
      <c r="D299" s="136">
        <v>446</v>
      </c>
      <c r="E299" s="121">
        <v>4400</v>
      </c>
      <c r="F299" s="116" t="s">
        <v>19</v>
      </c>
      <c r="G299" s="180">
        <v>46277</v>
      </c>
      <c r="H299" s="180">
        <v>46304</v>
      </c>
      <c r="I299" s="180">
        <v>46295</v>
      </c>
      <c r="J299" s="192" t="s">
        <v>1518</v>
      </c>
      <c r="K299" s="113" t="s">
        <v>1377</v>
      </c>
      <c r="L299" s="197"/>
      <c r="M299" s="122"/>
      <c r="N299" s="122"/>
      <c r="P299" s="113"/>
    </row>
    <row r="300" spans="1:38" s="140" customFormat="1" ht="15.75">
      <c r="A300" s="111" t="s">
        <v>1375</v>
      </c>
      <c r="B300" s="114" t="s">
        <v>281</v>
      </c>
      <c r="C300" s="136" t="s">
        <v>1361</v>
      </c>
      <c r="D300" s="136">
        <v>447</v>
      </c>
      <c r="E300" s="121">
        <v>4400</v>
      </c>
      <c r="F300" s="116" t="s">
        <v>19</v>
      </c>
      <c r="G300" s="180">
        <v>46277</v>
      </c>
      <c r="H300" s="180">
        <v>46304</v>
      </c>
      <c r="I300" s="180">
        <v>46295</v>
      </c>
      <c r="J300" s="192" t="s">
        <v>1518</v>
      </c>
      <c r="K300" s="113" t="s">
        <v>1377</v>
      </c>
      <c r="L300" s="197"/>
      <c r="M300" s="122"/>
      <c r="N300" s="122"/>
      <c r="O300"/>
      <c r="P300" s="113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</row>
    <row r="301" spans="1:38" ht="15.75">
      <c r="A301" s="111" t="s">
        <v>1515</v>
      </c>
      <c r="B301" s="114" t="s">
        <v>1516</v>
      </c>
      <c r="C301" s="136"/>
      <c r="D301" s="136"/>
      <c r="E301" s="118">
        <v>1100</v>
      </c>
      <c r="F301" s="151" t="s">
        <v>19</v>
      </c>
      <c r="G301" s="117">
        <v>46302</v>
      </c>
      <c r="H301" s="117">
        <v>46302</v>
      </c>
      <c r="I301" s="108">
        <v>46302</v>
      </c>
      <c r="J301" s="558"/>
      <c r="K301" s="113"/>
      <c r="M301" s="113"/>
      <c r="N301" s="154"/>
      <c r="P301" s="180"/>
    </row>
    <row r="302" spans="1:38" ht="15.75">
      <c r="A302" s="111" t="s">
        <v>1519</v>
      </c>
      <c r="B302" s="114" t="s">
        <v>1520</v>
      </c>
      <c r="C302" s="136"/>
      <c r="D302" s="136"/>
      <c r="E302" s="118">
        <v>3610.34</v>
      </c>
      <c r="F302" s="151" t="s">
        <v>19</v>
      </c>
      <c r="G302" s="117">
        <v>46302</v>
      </c>
      <c r="H302" s="117">
        <v>46302</v>
      </c>
      <c r="I302" s="108">
        <v>46302</v>
      </c>
      <c r="J302" s="558"/>
      <c r="K302" s="113"/>
      <c r="M302" s="113"/>
      <c r="N302" s="154"/>
      <c r="P302" s="180"/>
    </row>
    <row r="303" spans="1:38" s="140" customFormat="1" ht="15.75">
      <c r="A303" s="114" t="s">
        <v>1346</v>
      </c>
      <c r="B303" s="114" t="s">
        <v>1521</v>
      </c>
      <c r="C303" s="267" t="s">
        <v>1522</v>
      </c>
      <c r="D303" s="136">
        <v>514</v>
      </c>
      <c r="E303" s="121">
        <v>574.79999999999995</v>
      </c>
      <c r="F303" s="151" t="s">
        <v>19</v>
      </c>
      <c r="G303" s="180">
        <v>46290</v>
      </c>
      <c r="H303" s="180">
        <v>46304</v>
      </c>
      <c r="I303" s="180">
        <v>46304</v>
      </c>
      <c r="J303" s="321" t="s">
        <v>1523</v>
      </c>
      <c r="K303" s="113"/>
      <c r="L303" s="218"/>
      <c r="M303" s="180"/>
      <c r="N303" s="180"/>
      <c r="O303" s="283"/>
      <c r="P303" s="28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</row>
    <row r="304" spans="1:38" s="140" customFormat="1" ht="15.75">
      <c r="A304" s="111" t="s">
        <v>1402</v>
      </c>
      <c r="B304" s="114" t="s">
        <v>1524</v>
      </c>
      <c r="C304" s="136" t="s">
        <v>1460</v>
      </c>
      <c r="D304" s="136">
        <v>448</v>
      </c>
      <c r="E304" s="118">
        <v>14241</v>
      </c>
      <c r="F304" s="151" t="s">
        <v>19</v>
      </c>
      <c r="G304" s="117">
        <v>46279</v>
      </c>
      <c r="H304" s="117">
        <f>G304+10</f>
        <v>46289</v>
      </c>
      <c r="I304" s="117">
        <v>46287</v>
      </c>
      <c r="J304" s="194" t="s">
        <v>1525</v>
      </c>
      <c r="K304" s="113" t="s">
        <v>1405</v>
      </c>
      <c r="L304"/>
      <c r="M304" s="108"/>
      <c r="N304" s="149"/>
      <c r="O304" s="14"/>
      <c r="P304" s="560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</row>
    <row r="305" spans="1:38" ht="15.75">
      <c r="A305" s="114" t="s">
        <v>1346</v>
      </c>
      <c r="B305" s="114" t="s">
        <v>1521</v>
      </c>
      <c r="C305" s="267" t="s">
        <v>1522</v>
      </c>
      <c r="D305" s="136">
        <v>514</v>
      </c>
      <c r="E305" s="121">
        <v>12375.6</v>
      </c>
      <c r="F305" s="151" t="s">
        <v>19</v>
      </c>
      <c r="G305" s="180">
        <v>46290</v>
      </c>
      <c r="H305" s="180">
        <v>46290</v>
      </c>
      <c r="I305" s="180">
        <v>46290</v>
      </c>
      <c r="J305" s="321" t="s">
        <v>1523</v>
      </c>
      <c r="K305" s="113"/>
      <c r="L305" s="218"/>
      <c r="M305" s="180"/>
      <c r="N305" s="180"/>
      <c r="O305" s="283"/>
      <c r="P305" s="28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</row>
    <row r="306" spans="1:38" ht="15.75">
      <c r="A306" s="159" t="s">
        <v>1346</v>
      </c>
      <c r="B306" s="159" t="s">
        <v>1526</v>
      </c>
      <c r="C306" s="270" t="s">
        <v>1367</v>
      </c>
      <c r="D306" s="239">
        <v>0.7</v>
      </c>
      <c r="E306" s="127">
        <v>3640</v>
      </c>
      <c r="F306" s="147">
        <v>3780</v>
      </c>
      <c r="G306" s="181">
        <v>46303</v>
      </c>
      <c r="H306" s="181">
        <v>46303</v>
      </c>
      <c r="I306" s="180">
        <v>46303</v>
      </c>
      <c r="J306" s="373" t="s">
        <v>1527</v>
      </c>
      <c r="K306" s="113"/>
      <c r="L306" s="68"/>
      <c r="M306" s="270"/>
      <c r="N306" s="264"/>
      <c r="O306" s="68"/>
      <c r="P306" s="181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</row>
    <row r="307" spans="1:38" ht="15.75">
      <c r="A307" s="159" t="s">
        <v>1515</v>
      </c>
      <c r="B307" s="159" t="s">
        <v>1528</v>
      </c>
      <c r="C307" s="114" t="s">
        <v>1515</v>
      </c>
      <c r="D307" s="159" t="s">
        <v>1515</v>
      </c>
      <c r="E307" s="127">
        <v>2800</v>
      </c>
      <c r="F307" s="117" t="s">
        <v>19</v>
      </c>
      <c r="G307" s="181">
        <v>46303</v>
      </c>
      <c r="H307" s="181">
        <v>46303</v>
      </c>
      <c r="I307" s="181">
        <v>46303</v>
      </c>
      <c r="J307" s="334"/>
      <c r="K307" s="113"/>
      <c r="M307" s="242"/>
      <c r="N307" s="242"/>
      <c r="P307" s="232"/>
    </row>
    <row r="308" spans="1:38" ht="15.75">
      <c r="A308" s="159" t="s">
        <v>1515</v>
      </c>
      <c r="B308" s="159" t="s">
        <v>1529</v>
      </c>
      <c r="C308" s="114" t="s">
        <v>1515</v>
      </c>
      <c r="D308" s="159" t="s">
        <v>1515</v>
      </c>
      <c r="E308" s="127">
        <v>2000</v>
      </c>
      <c r="F308" s="117" t="s">
        <v>19</v>
      </c>
      <c r="G308" s="181">
        <v>46303</v>
      </c>
      <c r="H308" s="181">
        <v>46303</v>
      </c>
      <c r="I308" s="181">
        <v>46303</v>
      </c>
      <c r="J308" s="311"/>
      <c r="K308" s="113"/>
      <c r="M308" s="242"/>
      <c r="N308" s="242"/>
      <c r="P308" s="232"/>
    </row>
    <row r="309" spans="1:38" ht="15.75">
      <c r="A309" s="165" t="s">
        <v>1375</v>
      </c>
      <c r="B309" s="159" t="s">
        <v>281</v>
      </c>
      <c r="C309" s="166" t="s">
        <v>1367</v>
      </c>
      <c r="D309" s="166">
        <v>449</v>
      </c>
      <c r="E309" s="127">
        <v>4400</v>
      </c>
      <c r="F309" s="116" t="s">
        <v>19</v>
      </c>
      <c r="G309" s="181">
        <v>46279</v>
      </c>
      <c r="H309" s="181">
        <v>46304</v>
      </c>
      <c r="I309" s="181">
        <v>46295</v>
      </c>
      <c r="J309" s="203" t="s">
        <v>1518</v>
      </c>
      <c r="K309" s="113" t="s">
        <v>1377</v>
      </c>
      <c r="M309" s="122"/>
      <c r="N309" s="170"/>
      <c r="P309" s="171"/>
    </row>
    <row r="310" spans="1:38" ht="15.75">
      <c r="A310" s="165" t="s">
        <v>1375</v>
      </c>
      <c r="B310" s="159" t="s">
        <v>281</v>
      </c>
      <c r="C310" s="166" t="s">
        <v>1367</v>
      </c>
      <c r="D310" s="166">
        <v>450</v>
      </c>
      <c r="E310" s="127">
        <v>4400</v>
      </c>
      <c r="F310" s="116" t="s">
        <v>19</v>
      </c>
      <c r="G310" s="181">
        <v>46279</v>
      </c>
      <c r="H310" s="181">
        <v>46304</v>
      </c>
      <c r="I310" s="181">
        <v>46295</v>
      </c>
      <c r="J310" s="203" t="s">
        <v>1518</v>
      </c>
      <c r="K310" s="113" t="s">
        <v>1377</v>
      </c>
      <c r="M310" s="122"/>
      <c r="N310" s="170"/>
      <c r="P310" s="171"/>
    </row>
    <row r="311" spans="1:38" ht="15.75">
      <c r="A311" s="165" t="s">
        <v>1375</v>
      </c>
      <c r="B311" s="159" t="s">
        <v>281</v>
      </c>
      <c r="C311" s="166" t="s">
        <v>1348</v>
      </c>
      <c r="D311" s="166">
        <v>453</v>
      </c>
      <c r="E311" s="127">
        <v>4400</v>
      </c>
      <c r="F311" s="116" t="s">
        <v>19</v>
      </c>
      <c r="G311" s="179">
        <v>46280</v>
      </c>
      <c r="H311" s="181">
        <v>46304</v>
      </c>
      <c r="I311" s="181">
        <v>46295</v>
      </c>
      <c r="J311" s="203" t="s">
        <v>1518</v>
      </c>
      <c r="K311" s="113" t="s">
        <v>1377</v>
      </c>
      <c r="M311" s="122"/>
      <c r="N311" s="170"/>
      <c r="P311" s="171"/>
    </row>
    <row r="312" spans="1:38" ht="15.75">
      <c r="A312" s="159" t="s">
        <v>1515</v>
      </c>
      <c r="B312" s="159" t="s">
        <v>1528</v>
      </c>
      <c r="C312" s="159" t="s">
        <v>1515</v>
      </c>
      <c r="D312" s="159" t="s">
        <v>1515</v>
      </c>
      <c r="E312" s="127">
        <v>1250</v>
      </c>
      <c r="F312" s="117" t="s">
        <v>19</v>
      </c>
      <c r="G312" s="181">
        <v>46303</v>
      </c>
      <c r="H312" s="181">
        <v>46303</v>
      </c>
      <c r="I312" s="181">
        <v>46303</v>
      </c>
      <c r="J312" s="311"/>
      <c r="K312" s="113"/>
      <c r="M312" s="242"/>
      <c r="N312" s="242"/>
      <c r="P312" s="232"/>
    </row>
    <row r="313" spans="1:38" s="140" customFormat="1" ht="15.75">
      <c r="A313" s="159" t="s">
        <v>1515</v>
      </c>
      <c r="B313" s="159" t="s">
        <v>1530</v>
      </c>
      <c r="C313" s="159" t="s">
        <v>1515</v>
      </c>
      <c r="D313" s="159" t="s">
        <v>1515</v>
      </c>
      <c r="E313" s="127">
        <v>1000</v>
      </c>
      <c r="F313" s="117" t="s">
        <v>19</v>
      </c>
      <c r="G313" s="181">
        <v>46303</v>
      </c>
      <c r="H313" s="181">
        <v>46303</v>
      </c>
      <c r="I313" s="181">
        <v>46303</v>
      </c>
      <c r="J313" s="311"/>
      <c r="K313" s="113"/>
      <c r="L313"/>
      <c r="M313" s="242"/>
      <c r="N313" s="242"/>
      <c r="O313"/>
      <c r="P313" s="232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 spans="1:38" ht="15.75">
      <c r="A314" s="159" t="s">
        <v>1515</v>
      </c>
      <c r="B314" s="159" t="s">
        <v>1528</v>
      </c>
      <c r="C314" s="159" t="s">
        <v>1515</v>
      </c>
      <c r="D314" s="159" t="s">
        <v>1515</v>
      </c>
      <c r="E314" s="127">
        <v>800</v>
      </c>
      <c r="F314" s="117" t="s">
        <v>19</v>
      </c>
      <c r="G314" s="181">
        <v>46303</v>
      </c>
      <c r="H314" s="180">
        <v>46303</v>
      </c>
      <c r="I314" s="180">
        <v>46303</v>
      </c>
      <c r="J314" s="103"/>
      <c r="K314" s="113"/>
      <c r="M314" s="242"/>
      <c r="N314" s="242"/>
      <c r="P314" s="232"/>
    </row>
    <row r="315" spans="1:38" ht="15.75">
      <c r="A315" s="365" t="s">
        <v>1346</v>
      </c>
      <c r="B315" s="365" t="s">
        <v>1531</v>
      </c>
      <c r="C315" s="368"/>
      <c r="D315" s="369"/>
      <c r="E315" s="370">
        <v>23750</v>
      </c>
      <c r="F315" s="364" t="s">
        <v>19</v>
      </c>
      <c r="G315" s="366">
        <v>46303</v>
      </c>
      <c r="H315" s="366">
        <v>46303</v>
      </c>
      <c r="I315" s="366">
        <v>46303</v>
      </c>
      <c r="J315" s="311" t="s">
        <v>1532</v>
      </c>
      <c r="K315" s="113"/>
      <c r="M315" s="242"/>
      <c r="N315" s="242"/>
      <c r="P315" s="232"/>
    </row>
    <row r="316" spans="1:38" ht="15.75">
      <c r="A316" s="165" t="s">
        <v>1375</v>
      </c>
      <c r="B316" s="159" t="s">
        <v>281</v>
      </c>
      <c r="C316" s="166" t="s">
        <v>1348</v>
      </c>
      <c r="D316" s="166">
        <v>454</v>
      </c>
      <c r="E316" s="127">
        <v>4400</v>
      </c>
      <c r="F316" s="116" t="s">
        <v>19</v>
      </c>
      <c r="G316" s="179">
        <v>46280</v>
      </c>
      <c r="H316" s="181">
        <v>46304</v>
      </c>
      <c r="I316" s="181">
        <v>46295</v>
      </c>
      <c r="J316" s="203" t="s">
        <v>1518</v>
      </c>
      <c r="K316" s="113" t="s">
        <v>1377</v>
      </c>
      <c r="M316" s="122"/>
      <c r="N316" s="170"/>
      <c r="P316" s="171"/>
    </row>
    <row r="317" spans="1:38" ht="15.75">
      <c r="A317" s="165" t="s">
        <v>1375</v>
      </c>
      <c r="B317" s="159" t="s">
        <v>281</v>
      </c>
      <c r="C317" s="166" t="s">
        <v>1361</v>
      </c>
      <c r="D317" s="166">
        <v>455</v>
      </c>
      <c r="E317" s="167">
        <v>4400</v>
      </c>
      <c r="F317" s="116" t="s">
        <v>19</v>
      </c>
      <c r="G317" s="168">
        <v>46280</v>
      </c>
      <c r="H317" s="181">
        <v>46304</v>
      </c>
      <c r="I317" s="181">
        <v>46295</v>
      </c>
      <c r="J317" s="196" t="s">
        <v>1533</v>
      </c>
      <c r="K317" s="113" t="s">
        <v>1377</v>
      </c>
      <c r="M317" s="122"/>
      <c r="N317" s="170"/>
      <c r="P317" s="171"/>
    </row>
    <row r="318" spans="1:38" ht="15.75">
      <c r="A318" s="165" t="s">
        <v>1375</v>
      </c>
      <c r="B318" s="159" t="s">
        <v>281</v>
      </c>
      <c r="C318" s="166" t="s">
        <v>1361</v>
      </c>
      <c r="D318" s="166">
        <v>456</v>
      </c>
      <c r="E318" s="167">
        <v>4400</v>
      </c>
      <c r="F318" s="116" t="s">
        <v>19</v>
      </c>
      <c r="G318" s="168">
        <v>46280</v>
      </c>
      <c r="H318" s="181">
        <v>46304</v>
      </c>
      <c r="I318" s="181">
        <v>46295</v>
      </c>
      <c r="J318" s="196" t="s">
        <v>1533</v>
      </c>
      <c r="K318" s="113" t="s">
        <v>1377</v>
      </c>
      <c r="M318" s="122"/>
      <c r="N318" s="170"/>
      <c r="P318" s="171"/>
    </row>
    <row r="319" spans="1:38" ht="15.75">
      <c r="A319" s="159" t="s">
        <v>1375</v>
      </c>
      <c r="B319" s="159" t="s">
        <v>281</v>
      </c>
      <c r="C319" s="225" t="s">
        <v>1371</v>
      </c>
      <c r="D319" s="166">
        <v>457</v>
      </c>
      <c r="E319" s="127">
        <v>4400</v>
      </c>
      <c r="F319" s="116" t="s">
        <v>19</v>
      </c>
      <c r="G319" s="179">
        <v>46280</v>
      </c>
      <c r="H319" s="181">
        <v>46304</v>
      </c>
      <c r="I319" s="181">
        <v>46295</v>
      </c>
      <c r="J319" s="196" t="s">
        <v>1533</v>
      </c>
      <c r="K319" s="113" t="s">
        <v>1377</v>
      </c>
      <c r="L319" s="198"/>
      <c r="M319" s="135"/>
      <c r="N319" s="264"/>
      <c r="O319" s="218"/>
      <c r="P319" s="181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</row>
    <row r="320" spans="1:38" ht="15.75">
      <c r="A320" s="159" t="s">
        <v>1375</v>
      </c>
      <c r="B320" s="159" t="s">
        <v>281</v>
      </c>
      <c r="C320" s="225" t="s">
        <v>1371</v>
      </c>
      <c r="D320" s="225">
        <v>458</v>
      </c>
      <c r="E320" s="127">
        <v>4400</v>
      </c>
      <c r="F320" s="116" t="s">
        <v>19</v>
      </c>
      <c r="G320" s="179">
        <v>46280</v>
      </c>
      <c r="H320" s="181">
        <v>46304</v>
      </c>
      <c r="I320" s="181">
        <v>46295</v>
      </c>
      <c r="J320" s="196" t="s">
        <v>1533</v>
      </c>
      <c r="K320" s="113" t="s">
        <v>1377</v>
      </c>
      <c r="L320" s="198"/>
      <c r="M320" s="135"/>
      <c r="N320" s="264"/>
      <c r="O320" s="218"/>
      <c r="P320" s="181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</row>
    <row r="321" spans="1:38" ht="15.75">
      <c r="A321" s="159" t="s">
        <v>1375</v>
      </c>
      <c r="B321" s="159" t="s">
        <v>281</v>
      </c>
      <c r="C321" s="225" t="s">
        <v>1458</v>
      </c>
      <c r="D321" s="135">
        <v>459</v>
      </c>
      <c r="E321" s="127">
        <v>4400</v>
      </c>
      <c r="F321" s="116" t="s">
        <v>19</v>
      </c>
      <c r="G321" s="179">
        <v>46281</v>
      </c>
      <c r="H321" s="180">
        <v>46304</v>
      </c>
      <c r="I321" s="180">
        <v>46295</v>
      </c>
      <c r="J321" s="158" t="s">
        <v>1534</v>
      </c>
      <c r="K321" s="113" t="s">
        <v>1377</v>
      </c>
      <c r="M321" s="135"/>
      <c r="N321" s="264"/>
      <c r="O321" s="218"/>
      <c r="P321" s="181"/>
    </row>
    <row r="322" spans="1:38" ht="15.75">
      <c r="A322" s="159" t="s">
        <v>1375</v>
      </c>
      <c r="B322" s="159" t="s">
        <v>281</v>
      </c>
      <c r="C322" s="225" t="s">
        <v>1458</v>
      </c>
      <c r="D322" s="135">
        <v>460</v>
      </c>
      <c r="E322" s="127">
        <v>4400</v>
      </c>
      <c r="F322" s="116" t="s">
        <v>19</v>
      </c>
      <c r="G322" s="179">
        <v>46281</v>
      </c>
      <c r="H322" s="181">
        <v>46304</v>
      </c>
      <c r="I322" s="181">
        <v>46295</v>
      </c>
      <c r="J322" s="158" t="s">
        <v>1534</v>
      </c>
      <c r="K322" s="113" t="s">
        <v>1377</v>
      </c>
      <c r="M322" s="135"/>
      <c r="N322" s="264"/>
      <c r="O322" s="218"/>
      <c r="P322" s="181"/>
    </row>
    <row r="323" spans="1:38" ht="15.75">
      <c r="A323" s="165" t="s">
        <v>1402</v>
      </c>
      <c r="B323" s="159" t="s">
        <v>1535</v>
      </c>
      <c r="C323" s="225" t="s">
        <v>1460</v>
      </c>
      <c r="D323" s="225">
        <v>461</v>
      </c>
      <c r="E323" s="127">
        <v>14241</v>
      </c>
      <c r="F323" s="151" t="s">
        <v>19</v>
      </c>
      <c r="G323" s="179">
        <v>46282</v>
      </c>
      <c r="H323" s="169">
        <f>G323+10</f>
        <v>46292</v>
      </c>
      <c r="I323" s="169">
        <v>46287</v>
      </c>
      <c r="J323" s="165" t="s">
        <v>1536</v>
      </c>
      <c r="K323" s="113" t="s">
        <v>1405</v>
      </c>
      <c r="M323" s="168"/>
      <c r="N323" s="221"/>
      <c r="O323" s="14"/>
      <c r="P323" s="188"/>
    </row>
    <row r="324" spans="1:38" ht="15.75">
      <c r="A324" s="165" t="s">
        <v>1402</v>
      </c>
      <c r="B324" s="159" t="s">
        <v>1537</v>
      </c>
      <c r="C324" s="166" t="s">
        <v>1348</v>
      </c>
      <c r="D324" s="225">
        <v>462</v>
      </c>
      <c r="E324" s="127">
        <v>7120.5</v>
      </c>
      <c r="F324" s="151" t="s">
        <v>19</v>
      </c>
      <c r="G324" s="179">
        <v>46282</v>
      </c>
      <c r="H324" s="169">
        <f>G324+10</f>
        <v>46292</v>
      </c>
      <c r="I324" s="169">
        <v>46294</v>
      </c>
      <c r="J324" s="165" t="s">
        <v>1538</v>
      </c>
      <c r="K324" s="113" t="s">
        <v>1405</v>
      </c>
      <c r="M324" s="225"/>
      <c r="N324" s="264"/>
      <c r="O324" s="218"/>
      <c r="P324" s="181"/>
    </row>
    <row r="325" spans="1:38" ht="15.75">
      <c r="A325" s="165" t="s">
        <v>1402</v>
      </c>
      <c r="B325" s="159" t="s">
        <v>1537</v>
      </c>
      <c r="C325" s="166" t="s">
        <v>1348</v>
      </c>
      <c r="D325" s="225">
        <v>463</v>
      </c>
      <c r="E325" s="127">
        <v>7120.5</v>
      </c>
      <c r="F325" s="151" t="s">
        <v>19</v>
      </c>
      <c r="G325" s="179">
        <v>46282</v>
      </c>
      <c r="H325" s="169">
        <f>G325+10</f>
        <v>46292</v>
      </c>
      <c r="I325" s="169">
        <v>46294</v>
      </c>
      <c r="J325" s="165" t="s">
        <v>1538</v>
      </c>
      <c r="K325" s="113" t="s">
        <v>1405</v>
      </c>
      <c r="M325" s="225"/>
      <c r="N325" s="264"/>
      <c r="O325" s="218"/>
      <c r="P325" s="181"/>
    </row>
    <row r="326" spans="1:38" ht="15.75">
      <c r="A326" s="159" t="s">
        <v>1375</v>
      </c>
      <c r="B326" s="159" t="s">
        <v>281</v>
      </c>
      <c r="C326" s="225" t="s">
        <v>1361</v>
      </c>
      <c r="D326" s="225">
        <v>464</v>
      </c>
      <c r="E326" s="127">
        <v>4400</v>
      </c>
      <c r="F326" s="116" t="s">
        <v>19</v>
      </c>
      <c r="G326" s="179">
        <v>46282</v>
      </c>
      <c r="H326" s="181">
        <v>46304</v>
      </c>
      <c r="I326" s="181">
        <v>46295</v>
      </c>
      <c r="J326" s="196" t="s">
        <v>1539</v>
      </c>
      <c r="K326" s="113" t="s">
        <v>1377</v>
      </c>
      <c r="M326" s="135"/>
      <c r="N326" s="264"/>
      <c r="O326" s="218"/>
      <c r="P326" s="181"/>
    </row>
    <row r="327" spans="1:38" ht="15.75">
      <c r="A327" s="159" t="s">
        <v>1375</v>
      </c>
      <c r="B327" s="159" t="s">
        <v>281</v>
      </c>
      <c r="C327" s="225" t="s">
        <v>1361</v>
      </c>
      <c r="D327" s="225">
        <v>465</v>
      </c>
      <c r="E327" s="127">
        <v>4400</v>
      </c>
      <c r="F327" s="116" t="s">
        <v>19</v>
      </c>
      <c r="G327" s="179">
        <v>46282</v>
      </c>
      <c r="H327" s="181">
        <v>46304</v>
      </c>
      <c r="I327" s="181">
        <v>46295</v>
      </c>
      <c r="J327" s="196" t="s">
        <v>1539</v>
      </c>
      <c r="K327" s="113" t="s">
        <v>1377</v>
      </c>
      <c r="M327" s="135"/>
      <c r="N327" s="264"/>
      <c r="O327" s="218"/>
      <c r="P327" s="181"/>
    </row>
    <row r="328" spans="1:38" ht="15.75">
      <c r="A328" s="159" t="s">
        <v>1375</v>
      </c>
      <c r="B328" s="159" t="s">
        <v>281</v>
      </c>
      <c r="C328" s="225" t="s">
        <v>1371</v>
      </c>
      <c r="D328" s="225">
        <v>466</v>
      </c>
      <c r="E328" s="127">
        <v>4400</v>
      </c>
      <c r="F328" s="116" t="s">
        <v>19</v>
      </c>
      <c r="G328" s="179">
        <v>46282</v>
      </c>
      <c r="H328" s="181">
        <v>46304</v>
      </c>
      <c r="I328" s="181">
        <v>46295</v>
      </c>
      <c r="J328" s="196" t="s">
        <v>1539</v>
      </c>
      <c r="K328" s="113" t="s">
        <v>1377</v>
      </c>
      <c r="M328" s="135"/>
      <c r="N328" s="264"/>
      <c r="O328" s="218"/>
      <c r="P328" s="181"/>
    </row>
    <row r="329" spans="1:38" s="134" customFormat="1" ht="15.75">
      <c r="A329" s="159" t="s">
        <v>1375</v>
      </c>
      <c r="B329" s="159" t="s">
        <v>281</v>
      </c>
      <c r="C329" s="225" t="s">
        <v>1371</v>
      </c>
      <c r="D329" s="225">
        <v>467</v>
      </c>
      <c r="E329" s="127">
        <v>4400</v>
      </c>
      <c r="F329" s="116" t="s">
        <v>19</v>
      </c>
      <c r="G329" s="179">
        <v>46282</v>
      </c>
      <c r="H329" s="181">
        <v>46304</v>
      </c>
      <c r="I329" s="181">
        <v>46295</v>
      </c>
      <c r="J329" s="196" t="s">
        <v>1539</v>
      </c>
      <c r="K329" s="113" t="s">
        <v>1377</v>
      </c>
      <c r="L329"/>
      <c r="M329" s="135"/>
      <c r="N329" s="264"/>
      <c r="O329" s="218"/>
      <c r="P329" s="181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</row>
    <row r="330" spans="1:38" ht="15.75">
      <c r="A330" s="159" t="s">
        <v>1375</v>
      </c>
      <c r="B330" s="159" t="s">
        <v>281</v>
      </c>
      <c r="C330" s="166" t="s">
        <v>1367</v>
      </c>
      <c r="D330" s="225">
        <v>468</v>
      </c>
      <c r="E330" s="127">
        <v>4400</v>
      </c>
      <c r="F330" s="116" t="s">
        <v>19</v>
      </c>
      <c r="G330" s="179">
        <v>46282</v>
      </c>
      <c r="H330" s="181">
        <v>46304</v>
      </c>
      <c r="I330" s="181">
        <v>46295</v>
      </c>
      <c r="J330" s="196" t="s">
        <v>1539</v>
      </c>
      <c r="K330" s="113" t="s">
        <v>1377</v>
      </c>
      <c r="M330" s="135"/>
      <c r="N330" s="264"/>
      <c r="O330" s="218"/>
      <c r="P330" s="181"/>
    </row>
    <row r="331" spans="1:38" ht="15.75">
      <c r="A331" s="159" t="s">
        <v>1375</v>
      </c>
      <c r="B331" s="159" t="s">
        <v>281</v>
      </c>
      <c r="C331" s="136" t="s">
        <v>1367</v>
      </c>
      <c r="D331" s="225">
        <v>469</v>
      </c>
      <c r="E331" s="127">
        <v>4400</v>
      </c>
      <c r="F331" s="116" t="s">
        <v>19</v>
      </c>
      <c r="G331" s="179">
        <v>46282</v>
      </c>
      <c r="H331" s="181">
        <v>46304</v>
      </c>
      <c r="I331" s="181">
        <v>46295</v>
      </c>
      <c r="J331" s="196" t="s">
        <v>1539</v>
      </c>
      <c r="K331" s="113" t="s">
        <v>1377</v>
      </c>
      <c r="M331" s="135"/>
      <c r="N331" s="264"/>
      <c r="O331" s="218"/>
      <c r="P331" s="181"/>
    </row>
    <row r="332" spans="1:38" ht="15.75">
      <c r="A332" s="159" t="s">
        <v>1375</v>
      </c>
      <c r="B332" s="159" t="s">
        <v>281</v>
      </c>
      <c r="C332" s="135" t="s">
        <v>1458</v>
      </c>
      <c r="D332" s="225">
        <v>470</v>
      </c>
      <c r="E332" s="127">
        <v>4400</v>
      </c>
      <c r="F332" s="116" t="s">
        <v>19</v>
      </c>
      <c r="G332" s="179">
        <v>46283</v>
      </c>
      <c r="H332" s="181">
        <v>46304</v>
      </c>
      <c r="I332" s="181">
        <v>46295</v>
      </c>
      <c r="J332" s="159" t="s">
        <v>1539</v>
      </c>
      <c r="K332" s="113" t="s">
        <v>1377</v>
      </c>
      <c r="L332" s="216"/>
      <c r="M332" s="135"/>
      <c r="N332" s="127"/>
      <c r="O332" s="284"/>
      <c r="P332" s="219"/>
    </row>
    <row r="333" spans="1:38" ht="15.75">
      <c r="A333" s="159" t="s">
        <v>1375</v>
      </c>
      <c r="B333" s="159" t="s">
        <v>281</v>
      </c>
      <c r="C333" s="225" t="s">
        <v>1458</v>
      </c>
      <c r="D333" s="225">
        <v>471</v>
      </c>
      <c r="E333" s="127">
        <v>4400</v>
      </c>
      <c r="F333" s="116" t="s">
        <v>19</v>
      </c>
      <c r="G333" s="179">
        <v>46283</v>
      </c>
      <c r="H333" s="181">
        <v>46304</v>
      </c>
      <c r="I333" s="181">
        <v>46295</v>
      </c>
      <c r="J333" s="159" t="s">
        <v>1539</v>
      </c>
      <c r="K333" s="113" t="s">
        <v>1377</v>
      </c>
      <c r="L333" s="216"/>
      <c r="M333" s="135"/>
      <c r="N333" s="127"/>
      <c r="O333" s="284"/>
      <c r="P333" s="219"/>
    </row>
    <row r="334" spans="1:38" ht="15.75">
      <c r="A334" s="165" t="s">
        <v>1402</v>
      </c>
      <c r="B334" s="159" t="s">
        <v>1540</v>
      </c>
      <c r="C334" s="225" t="s">
        <v>1467</v>
      </c>
      <c r="D334" s="225">
        <v>472</v>
      </c>
      <c r="E334" s="127">
        <v>7120.5</v>
      </c>
      <c r="F334" s="108" t="s">
        <v>19</v>
      </c>
      <c r="G334" s="179">
        <v>46283</v>
      </c>
      <c r="H334" s="169">
        <f>G334+10</f>
        <v>46293</v>
      </c>
      <c r="I334" s="181">
        <v>46309</v>
      </c>
      <c r="J334" s="159" t="s">
        <v>1541</v>
      </c>
      <c r="K334" s="113" t="s">
        <v>1405</v>
      </c>
      <c r="L334" s="216"/>
      <c r="M334" s="225"/>
      <c r="N334" s="127"/>
      <c r="O334" s="284"/>
      <c r="P334" s="219"/>
    </row>
    <row r="335" spans="1:38" ht="15.75">
      <c r="A335" s="165" t="s">
        <v>1402</v>
      </c>
      <c r="B335" s="159" t="s">
        <v>1540</v>
      </c>
      <c r="C335" s="225" t="s">
        <v>1467</v>
      </c>
      <c r="D335" s="225">
        <v>473</v>
      </c>
      <c r="E335" s="127">
        <v>7120.5</v>
      </c>
      <c r="F335" s="108" t="s">
        <v>19</v>
      </c>
      <c r="G335" s="179">
        <v>46283</v>
      </c>
      <c r="H335" s="169">
        <f>G335+10</f>
        <v>46293</v>
      </c>
      <c r="I335" s="181">
        <v>46309</v>
      </c>
      <c r="J335" s="159" t="s">
        <v>1542</v>
      </c>
      <c r="K335" s="113" t="s">
        <v>1405</v>
      </c>
      <c r="L335" s="216"/>
      <c r="M335" s="225"/>
      <c r="N335" s="127"/>
      <c r="O335" s="284"/>
      <c r="P335" s="219"/>
    </row>
    <row r="336" spans="1:38" ht="15.75">
      <c r="A336" s="159" t="s">
        <v>1375</v>
      </c>
      <c r="B336" s="159" t="s">
        <v>281</v>
      </c>
      <c r="C336" s="225" t="s">
        <v>1361</v>
      </c>
      <c r="D336" s="225">
        <v>474</v>
      </c>
      <c r="E336" s="127">
        <v>4400</v>
      </c>
      <c r="F336" s="116" t="s">
        <v>19</v>
      </c>
      <c r="G336" s="179">
        <v>46284</v>
      </c>
      <c r="H336" s="181">
        <v>46304</v>
      </c>
      <c r="I336" s="181">
        <v>46295</v>
      </c>
      <c r="J336" s="159" t="s">
        <v>1543</v>
      </c>
      <c r="K336" s="113" t="s">
        <v>1377</v>
      </c>
      <c r="L336" s="216"/>
      <c r="M336" s="135"/>
      <c r="N336" s="127"/>
      <c r="O336" s="284"/>
      <c r="P336" s="219"/>
    </row>
    <row r="337" spans="1:16" ht="15.75">
      <c r="A337" s="114" t="s">
        <v>1375</v>
      </c>
      <c r="B337" s="159" t="s">
        <v>281</v>
      </c>
      <c r="C337" s="225" t="s">
        <v>1361</v>
      </c>
      <c r="D337" s="135">
        <v>475</v>
      </c>
      <c r="E337" s="127">
        <v>4400</v>
      </c>
      <c r="F337" s="116" t="s">
        <v>19</v>
      </c>
      <c r="G337" s="179">
        <v>46284</v>
      </c>
      <c r="H337" s="181">
        <v>46304</v>
      </c>
      <c r="I337" s="181">
        <v>46295</v>
      </c>
      <c r="J337" s="159" t="s">
        <v>1543</v>
      </c>
      <c r="K337" s="113" t="s">
        <v>1377</v>
      </c>
      <c r="L337" s="216"/>
      <c r="M337" s="135"/>
      <c r="N337" s="127"/>
      <c r="O337" s="284"/>
      <c r="P337" s="219"/>
    </row>
    <row r="338" spans="1:16" ht="15.75">
      <c r="A338" s="114" t="s">
        <v>1375</v>
      </c>
      <c r="B338" s="114" t="s">
        <v>281</v>
      </c>
      <c r="C338" s="136" t="s">
        <v>1367</v>
      </c>
      <c r="D338" s="135">
        <v>476</v>
      </c>
      <c r="E338" s="121">
        <v>4400</v>
      </c>
      <c r="F338" s="116" t="s">
        <v>19</v>
      </c>
      <c r="G338" s="179">
        <v>46284</v>
      </c>
      <c r="H338" s="180">
        <v>46304</v>
      </c>
      <c r="I338" s="180">
        <v>46295</v>
      </c>
      <c r="J338" s="114" t="s">
        <v>1543</v>
      </c>
      <c r="K338" s="113" t="s">
        <v>1377</v>
      </c>
      <c r="L338" s="216"/>
      <c r="M338" s="135"/>
      <c r="N338" s="121"/>
      <c r="O338" s="284"/>
      <c r="P338" s="286"/>
    </row>
    <row r="339" spans="1:16" ht="15.75">
      <c r="A339" s="114" t="s">
        <v>1375</v>
      </c>
      <c r="B339" s="114" t="s">
        <v>281</v>
      </c>
      <c r="C339" s="136" t="s">
        <v>1367</v>
      </c>
      <c r="D339" s="135">
        <v>477</v>
      </c>
      <c r="E339" s="121">
        <v>4400</v>
      </c>
      <c r="F339" s="116" t="s">
        <v>19</v>
      </c>
      <c r="G339" s="152">
        <v>46284</v>
      </c>
      <c r="H339" s="213">
        <v>46304</v>
      </c>
      <c r="I339" s="213">
        <v>46295</v>
      </c>
      <c r="J339" s="210" t="s">
        <v>1543</v>
      </c>
      <c r="K339" s="113" t="s">
        <v>1377</v>
      </c>
      <c r="L339" s="216"/>
      <c r="M339" s="135"/>
      <c r="N339" s="127"/>
      <c r="O339" s="284"/>
      <c r="P339" s="219"/>
    </row>
    <row r="340" spans="1:16" ht="15.75">
      <c r="A340" s="159" t="s">
        <v>1375</v>
      </c>
      <c r="B340" s="159" t="s">
        <v>281</v>
      </c>
      <c r="C340" s="225" t="s">
        <v>1544</v>
      </c>
      <c r="D340" s="225">
        <v>478</v>
      </c>
      <c r="E340" s="127">
        <v>4400</v>
      </c>
      <c r="F340" s="116" t="s">
        <v>19</v>
      </c>
      <c r="G340" s="179">
        <v>46284</v>
      </c>
      <c r="H340" s="180">
        <v>46304</v>
      </c>
      <c r="I340" s="181">
        <v>46295</v>
      </c>
      <c r="J340" s="210" t="s">
        <v>1543</v>
      </c>
      <c r="K340" s="113" t="s">
        <v>1377</v>
      </c>
      <c r="L340" s="216"/>
      <c r="M340" s="135"/>
      <c r="N340" s="127"/>
      <c r="O340" s="284"/>
      <c r="P340" s="219"/>
    </row>
    <row r="341" spans="1:16" ht="15.75">
      <c r="A341" s="159" t="s">
        <v>1375</v>
      </c>
      <c r="B341" s="159" t="s">
        <v>281</v>
      </c>
      <c r="C341" s="225" t="s">
        <v>1544</v>
      </c>
      <c r="D341" s="225">
        <v>479</v>
      </c>
      <c r="E341" s="127">
        <v>4400</v>
      </c>
      <c r="F341" s="116" t="s">
        <v>19</v>
      </c>
      <c r="G341" s="152">
        <v>46284</v>
      </c>
      <c r="H341" s="180">
        <v>46304</v>
      </c>
      <c r="I341" s="181">
        <v>46295</v>
      </c>
      <c r="J341" s="114" t="s">
        <v>1543</v>
      </c>
      <c r="K341" s="113" t="s">
        <v>1377</v>
      </c>
      <c r="L341" s="216"/>
      <c r="M341" s="135"/>
      <c r="N341" s="121"/>
      <c r="O341" s="284"/>
      <c r="P341" s="286"/>
    </row>
    <row r="342" spans="1:16" ht="15.75">
      <c r="A342" s="159" t="s">
        <v>1375</v>
      </c>
      <c r="B342" s="159" t="s">
        <v>281</v>
      </c>
      <c r="C342" s="225" t="s">
        <v>1458</v>
      </c>
      <c r="D342" s="225">
        <v>480</v>
      </c>
      <c r="E342" s="127">
        <v>4400</v>
      </c>
      <c r="F342" s="116" t="s">
        <v>19</v>
      </c>
      <c r="G342" s="179">
        <v>46284</v>
      </c>
      <c r="H342" s="180">
        <v>46304</v>
      </c>
      <c r="I342" s="180">
        <v>46295</v>
      </c>
      <c r="J342" s="114" t="s">
        <v>1545</v>
      </c>
      <c r="K342" s="113" t="s">
        <v>1377</v>
      </c>
      <c r="L342" s="216"/>
      <c r="M342" s="135"/>
      <c r="N342" s="127"/>
      <c r="O342" s="284"/>
      <c r="P342" s="219"/>
    </row>
    <row r="343" spans="1:16" ht="15.75">
      <c r="A343" s="159" t="s">
        <v>1375</v>
      </c>
      <c r="B343" s="159" t="s">
        <v>281</v>
      </c>
      <c r="C343" s="225" t="s">
        <v>1458</v>
      </c>
      <c r="D343" s="225">
        <v>481</v>
      </c>
      <c r="E343" s="127">
        <v>4400</v>
      </c>
      <c r="F343" s="116" t="s">
        <v>19</v>
      </c>
      <c r="G343" s="152">
        <v>46284</v>
      </c>
      <c r="H343" s="180">
        <v>46304</v>
      </c>
      <c r="I343" s="180">
        <v>46295</v>
      </c>
      <c r="J343" s="256" t="s">
        <v>1545</v>
      </c>
      <c r="K343" s="113" t="s">
        <v>1377</v>
      </c>
      <c r="L343" s="216"/>
      <c r="M343" s="135"/>
      <c r="N343" s="127"/>
      <c r="O343" s="284"/>
      <c r="P343" s="219"/>
    </row>
    <row r="344" spans="1:16" ht="15.75">
      <c r="A344" s="159" t="s">
        <v>1375</v>
      </c>
      <c r="B344" s="159" t="s">
        <v>281</v>
      </c>
      <c r="C344" s="225" t="s">
        <v>1460</v>
      </c>
      <c r="D344" s="225">
        <v>482</v>
      </c>
      <c r="E344" s="127">
        <v>4400</v>
      </c>
      <c r="F344" s="116" t="s">
        <v>19</v>
      </c>
      <c r="G344" s="179">
        <v>46286</v>
      </c>
      <c r="H344" s="180">
        <v>46304</v>
      </c>
      <c r="I344" s="180">
        <v>46295</v>
      </c>
      <c r="J344" s="158" t="s">
        <v>1534</v>
      </c>
      <c r="K344" s="113" t="s">
        <v>1377</v>
      </c>
      <c r="L344" s="216"/>
      <c r="M344" s="135"/>
      <c r="N344" s="121"/>
      <c r="O344" s="284"/>
      <c r="P344" s="286"/>
    </row>
    <row r="345" spans="1:16" ht="15.75">
      <c r="A345" s="159" t="s">
        <v>1375</v>
      </c>
      <c r="B345" s="159" t="s">
        <v>281</v>
      </c>
      <c r="C345" s="225" t="s">
        <v>1460</v>
      </c>
      <c r="D345" s="225">
        <v>483</v>
      </c>
      <c r="E345" s="127">
        <v>4400</v>
      </c>
      <c r="F345" s="116" t="s">
        <v>19</v>
      </c>
      <c r="G345" s="179">
        <v>46286</v>
      </c>
      <c r="H345" s="180">
        <v>46304</v>
      </c>
      <c r="I345" s="180">
        <v>46295</v>
      </c>
      <c r="J345" s="158" t="s">
        <v>1534</v>
      </c>
      <c r="K345" s="113" t="s">
        <v>1377</v>
      </c>
      <c r="L345" s="216"/>
      <c r="M345" s="135"/>
      <c r="N345" s="121"/>
      <c r="O345" s="284"/>
      <c r="P345" s="286"/>
    </row>
    <row r="346" spans="1:16" ht="15.75">
      <c r="A346" s="159" t="s">
        <v>1375</v>
      </c>
      <c r="B346" s="159" t="s">
        <v>281</v>
      </c>
      <c r="C346" s="225" t="s">
        <v>1361</v>
      </c>
      <c r="D346" s="166">
        <v>484</v>
      </c>
      <c r="E346" s="127">
        <v>4400</v>
      </c>
      <c r="F346" s="116" t="s">
        <v>19</v>
      </c>
      <c r="G346" s="179">
        <v>46287</v>
      </c>
      <c r="H346" s="180">
        <v>46311</v>
      </c>
      <c r="I346" s="180">
        <v>46295</v>
      </c>
      <c r="J346" s="158" t="s">
        <v>1546</v>
      </c>
      <c r="K346" s="113" t="s">
        <v>1377</v>
      </c>
      <c r="M346" s="122"/>
      <c r="N346" s="122"/>
      <c r="P346" s="113"/>
    </row>
    <row r="347" spans="1:16" ht="15.75">
      <c r="A347" s="159" t="s">
        <v>1375</v>
      </c>
      <c r="B347" s="159" t="s">
        <v>281</v>
      </c>
      <c r="C347" s="225" t="s">
        <v>1361</v>
      </c>
      <c r="D347" s="166">
        <v>485</v>
      </c>
      <c r="E347" s="127">
        <v>4400</v>
      </c>
      <c r="F347" s="116" t="s">
        <v>19</v>
      </c>
      <c r="G347" s="179">
        <v>46287</v>
      </c>
      <c r="H347" s="180">
        <v>46311</v>
      </c>
      <c r="I347" s="180">
        <v>46295</v>
      </c>
      <c r="J347" s="158" t="s">
        <v>1546</v>
      </c>
      <c r="K347" s="113" t="s">
        <v>1377</v>
      </c>
      <c r="M347" s="122"/>
      <c r="N347" s="122"/>
      <c r="P347" s="113"/>
    </row>
    <row r="348" spans="1:16" ht="15.75">
      <c r="A348" s="159" t="s">
        <v>1375</v>
      </c>
      <c r="B348" s="159" t="s">
        <v>281</v>
      </c>
      <c r="C348" s="166" t="s">
        <v>1367</v>
      </c>
      <c r="D348" s="166">
        <v>486</v>
      </c>
      <c r="E348" s="127">
        <v>4400</v>
      </c>
      <c r="F348" s="116" t="s">
        <v>19</v>
      </c>
      <c r="G348" s="179">
        <v>46287</v>
      </c>
      <c r="H348" s="214">
        <v>46311</v>
      </c>
      <c r="I348" s="214">
        <v>46295</v>
      </c>
      <c r="J348" s="349" t="s">
        <v>1546</v>
      </c>
      <c r="K348" s="113" t="s">
        <v>1377</v>
      </c>
      <c r="M348" s="122"/>
      <c r="N348" s="170"/>
      <c r="P348" s="171"/>
    </row>
    <row r="349" spans="1:16" ht="15.75">
      <c r="A349" s="159" t="s">
        <v>1375</v>
      </c>
      <c r="B349" s="159" t="s">
        <v>281</v>
      </c>
      <c r="C349" s="166" t="s">
        <v>1367</v>
      </c>
      <c r="D349" s="166">
        <v>487</v>
      </c>
      <c r="E349" s="127">
        <v>4400</v>
      </c>
      <c r="F349" s="116" t="s">
        <v>19</v>
      </c>
      <c r="G349" s="179">
        <v>46287</v>
      </c>
      <c r="H349" s="181">
        <v>46311</v>
      </c>
      <c r="I349" s="181">
        <v>46295</v>
      </c>
      <c r="J349" s="114" t="s">
        <v>1547</v>
      </c>
      <c r="K349" s="113" t="s">
        <v>1377</v>
      </c>
      <c r="M349" s="122"/>
      <c r="N349" s="170"/>
      <c r="P349" s="171"/>
    </row>
    <row r="350" spans="1:16" ht="15.75">
      <c r="A350" s="159" t="s">
        <v>1375</v>
      </c>
      <c r="B350" s="159" t="s">
        <v>281</v>
      </c>
      <c r="C350" s="225" t="s">
        <v>1458</v>
      </c>
      <c r="D350" s="166">
        <v>488</v>
      </c>
      <c r="E350" s="127">
        <v>4400</v>
      </c>
      <c r="F350" s="116" t="s">
        <v>19</v>
      </c>
      <c r="G350" s="179">
        <v>46287</v>
      </c>
      <c r="H350" s="181">
        <v>46311</v>
      </c>
      <c r="I350" s="181">
        <v>46295</v>
      </c>
      <c r="J350" s="114" t="s">
        <v>1548</v>
      </c>
      <c r="K350" s="113" t="s">
        <v>1377</v>
      </c>
      <c r="M350" s="122"/>
      <c r="N350" s="170"/>
      <c r="P350" s="171"/>
    </row>
    <row r="351" spans="1:16" ht="15.75">
      <c r="A351" s="159" t="s">
        <v>1375</v>
      </c>
      <c r="B351" s="159" t="s">
        <v>281</v>
      </c>
      <c r="C351" s="225" t="s">
        <v>1458</v>
      </c>
      <c r="D351" s="166">
        <v>489</v>
      </c>
      <c r="E351" s="127">
        <v>4400</v>
      </c>
      <c r="F351" s="116" t="s">
        <v>19</v>
      </c>
      <c r="G351" s="179">
        <v>46287</v>
      </c>
      <c r="H351" s="181">
        <v>46311</v>
      </c>
      <c r="I351" s="180">
        <v>46295</v>
      </c>
      <c r="J351" s="114" t="s">
        <v>1548</v>
      </c>
      <c r="K351" s="113" t="s">
        <v>1377</v>
      </c>
      <c r="M351" s="122"/>
      <c r="N351" s="170"/>
      <c r="P351" s="171"/>
    </row>
    <row r="352" spans="1:16" ht="15.75">
      <c r="A352" s="159" t="s">
        <v>1375</v>
      </c>
      <c r="B352" s="159" t="s">
        <v>281</v>
      </c>
      <c r="C352" s="225" t="s">
        <v>1460</v>
      </c>
      <c r="D352" s="166">
        <v>490</v>
      </c>
      <c r="E352" s="127">
        <v>4400</v>
      </c>
      <c r="F352" s="116" t="s">
        <v>19</v>
      </c>
      <c r="G352" s="179">
        <v>46288</v>
      </c>
      <c r="H352" s="180">
        <v>46311</v>
      </c>
      <c r="I352" s="180">
        <v>46295</v>
      </c>
      <c r="J352" s="114" t="s">
        <v>1549</v>
      </c>
      <c r="K352" s="113" t="s">
        <v>1377</v>
      </c>
      <c r="M352" s="122"/>
      <c r="N352" s="122"/>
      <c r="P352" s="113"/>
    </row>
    <row r="353" spans="1:38" ht="15.75">
      <c r="A353" s="159" t="s">
        <v>1375</v>
      </c>
      <c r="B353" s="159" t="s">
        <v>281</v>
      </c>
      <c r="C353" s="225" t="s">
        <v>1460</v>
      </c>
      <c r="D353" s="166">
        <v>491</v>
      </c>
      <c r="E353" s="127">
        <v>4400</v>
      </c>
      <c r="F353" s="116" t="s">
        <v>19</v>
      </c>
      <c r="G353" s="179">
        <v>46288</v>
      </c>
      <c r="H353" s="214">
        <v>46311</v>
      </c>
      <c r="I353" s="180">
        <v>46295</v>
      </c>
      <c r="J353" s="255" t="s">
        <v>1549</v>
      </c>
      <c r="K353" s="113" t="s">
        <v>1377</v>
      </c>
      <c r="M353" s="122"/>
      <c r="N353" s="170"/>
      <c r="P353" s="171"/>
    </row>
    <row r="354" spans="1:38" ht="15.75">
      <c r="A354" s="159" t="s">
        <v>1375</v>
      </c>
      <c r="B354" s="159" t="s">
        <v>281</v>
      </c>
      <c r="C354" s="166" t="s">
        <v>1367</v>
      </c>
      <c r="D354" s="166">
        <v>492</v>
      </c>
      <c r="E354" s="127">
        <f>4400-3103.1</f>
        <v>1296.9000000000001</v>
      </c>
      <c r="F354" s="116" t="s">
        <v>19</v>
      </c>
      <c r="G354" s="179">
        <v>46288</v>
      </c>
      <c r="H354" s="181">
        <v>46311</v>
      </c>
      <c r="I354" s="181">
        <v>46295</v>
      </c>
      <c r="J354" s="159" t="s">
        <v>1549</v>
      </c>
      <c r="K354" s="113" t="s">
        <v>1377</v>
      </c>
      <c r="M354" s="122"/>
      <c r="N354" s="170"/>
      <c r="P354" s="171"/>
    </row>
    <row r="355" spans="1:38" ht="15.75">
      <c r="A355" s="159" t="s">
        <v>1375</v>
      </c>
      <c r="B355" s="159" t="s">
        <v>281</v>
      </c>
      <c r="C355" s="166" t="s">
        <v>1367</v>
      </c>
      <c r="D355" s="166">
        <v>493</v>
      </c>
      <c r="E355" s="127">
        <v>4400</v>
      </c>
      <c r="F355" s="116" t="s">
        <v>19</v>
      </c>
      <c r="G355" s="179">
        <v>46288</v>
      </c>
      <c r="H355" s="181">
        <v>46311</v>
      </c>
      <c r="I355" s="180">
        <v>46295</v>
      </c>
      <c r="J355" s="114" t="s">
        <v>1548</v>
      </c>
      <c r="K355" s="113" t="s">
        <v>1377</v>
      </c>
      <c r="M355" s="122"/>
      <c r="N355" s="170"/>
      <c r="P355" s="171"/>
    </row>
    <row r="356" spans="1:38" ht="15.75">
      <c r="A356" s="159" t="s">
        <v>1375</v>
      </c>
      <c r="B356" s="159" t="s">
        <v>281</v>
      </c>
      <c r="C356" s="225" t="s">
        <v>1458</v>
      </c>
      <c r="D356" s="166">
        <v>494</v>
      </c>
      <c r="E356" s="127">
        <v>4400</v>
      </c>
      <c r="F356" s="116" t="s">
        <v>19</v>
      </c>
      <c r="G356" s="179">
        <v>46289</v>
      </c>
      <c r="H356" s="181">
        <v>46311</v>
      </c>
      <c r="I356" s="180">
        <v>46295</v>
      </c>
      <c r="J356" s="114" t="s">
        <v>1547</v>
      </c>
      <c r="K356" s="113" t="s">
        <v>1377</v>
      </c>
      <c r="M356" s="122"/>
      <c r="N356" s="170"/>
      <c r="P356" s="171"/>
    </row>
    <row r="357" spans="1:38" ht="15.75">
      <c r="A357" s="159" t="s">
        <v>1375</v>
      </c>
      <c r="B357" s="159" t="s">
        <v>281</v>
      </c>
      <c r="C357" s="225" t="s">
        <v>1458</v>
      </c>
      <c r="D357" s="166">
        <v>495</v>
      </c>
      <c r="E357" s="127">
        <v>4400</v>
      </c>
      <c r="F357" s="116" t="s">
        <v>19</v>
      </c>
      <c r="G357" s="179">
        <v>46289</v>
      </c>
      <c r="H357" s="180">
        <v>46311</v>
      </c>
      <c r="I357" s="180">
        <v>46295</v>
      </c>
      <c r="J357" s="114" t="s">
        <v>1550</v>
      </c>
      <c r="K357" s="113" t="s">
        <v>1377</v>
      </c>
      <c r="M357" s="122"/>
      <c r="N357" s="122"/>
      <c r="P357" s="113"/>
    </row>
    <row r="358" spans="1:38" ht="15.75">
      <c r="A358" s="159" t="s">
        <v>1375</v>
      </c>
      <c r="B358" s="159" t="s">
        <v>281</v>
      </c>
      <c r="C358" s="135" t="s">
        <v>1460</v>
      </c>
      <c r="D358" s="166">
        <v>496</v>
      </c>
      <c r="E358" s="127">
        <v>4400</v>
      </c>
      <c r="F358" s="116" t="s">
        <v>19</v>
      </c>
      <c r="G358" s="179">
        <v>46291</v>
      </c>
      <c r="H358" s="180">
        <v>46311</v>
      </c>
      <c r="I358" s="180">
        <v>46295</v>
      </c>
      <c r="J358" s="114" t="s">
        <v>1548</v>
      </c>
      <c r="K358" s="113" t="s">
        <v>1377</v>
      </c>
      <c r="M358" s="122"/>
      <c r="N358" s="122"/>
      <c r="P358" s="113"/>
    </row>
    <row r="359" spans="1:38" ht="15.75">
      <c r="A359" s="159" t="s">
        <v>1375</v>
      </c>
      <c r="B359" s="159" t="s">
        <v>281</v>
      </c>
      <c r="C359" s="135" t="s">
        <v>1460</v>
      </c>
      <c r="D359" s="166">
        <v>497</v>
      </c>
      <c r="E359" s="127">
        <v>4400</v>
      </c>
      <c r="F359" s="116" t="s">
        <v>19</v>
      </c>
      <c r="G359" s="179">
        <v>46292</v>
      </c>
      <c r="H359" s="180">
        <v>46311</v>
      </c>
      <c r="I359" s="180">
        <v>46295</v>
      </c>
      <c r="J359" s="114" t="s">
        <v>1548</v>
      </c>
      <c r="K359" s="113" t="s">
        <v>1377</v>
      </c>
      <c r="M359" s="122"/>
      <c r="N359" s="122"/>
      <c r="P359" s="113"/>
    </row>
    <row r="360" spans="1:38" ht="15.75">
      <c r="A360" s="159" t="s">
        <v>1375</v>
      </c>
      <c r="B360" s="159" t="s">
        <v>281</v>
      </c>
      <c r="C360" s="225" t="s">
        <v>1371</v>
      </c>
      <c r="D360" s="166">
        <v>498</v>
      </c>
      <c r="E360" s="127">
        <v>4400</v>
      </c>
      <c r="F360" s="116" t="s">
        <v>19</v>
      </c>
      <c r="G360" s="179">
        <v>46292</v>
      </c>
      <c r="H360" s="180">
        <v>46311</v>
      </c>
      <c r="I360" s="180">
        <v>46295</v>
      </c>
      <c r="J360" s="114" t="s">
        <v>1550</v>
      </c>
      <c r="K360" s="113" t="s">
        <v>1377</v>
      </c>
      <c r="M360" s="122"/>
      <c r="N360" s="122"/>
      <c r="P360" s="113"/>
    </row>
    <row r="361" spans="1:38" ht="15.75">
      <c r="A361" s="114" t="s">
        <v>1375</v>
      </c>
      <c r="B361" s="114" t="s">
        <v>281</v>
      </c>
      <c r="C361" s="135" t="s">
        <v>1371</v>
      </c>
      <c r="D361" s="136">
        <v>499</v>
      </c>
      <c r="E361" s="121">
        <v>4400</v>
      </c>
      <c r="F361" s="116" t="s">
        <v>19</v>
      </c>
      <c r="G361" s="367">
        <v>46292</v>
      </c>
      <c r="H361" s="180">
        <v>46311</v>
      </c>
      <c r="I361" s="181">
        <v>46295</v>
      </c>
      <c r="J361" s="159" t="s">
        <v>1550</v>
      </c>
      <c r="K361" s="113" t="s">
        <v>1377</v>
      </c>
      <c r="M361" s="122"/>
      <c r="N361" s="170"/>
      <c r="P361" s="171"/>
    </row>
    <row r="362" spans="1:38" ht="15.75">
      <c r="A362" s="343" t="s">
        <v>1402</v>
      </c>
      <c r="B362" s="343" t="s">
        <v>1403</v>
      </c>
      <c r="C362" s="247" t="s">
        <v>1348</v>
      </c>
      <c r="D362" s="243">
        <v>502</v>
      </c>
      <c r="E362" s="174">
        <v>3560.5</v>
      </c>
      <c r="F362" s="180"/>
      <c r="G362" s="180">
        <v>46293</v>
      </c>
      <c r="H362" s="184">
        <v>46293</v>
      </c>
      <c r="I362" s="184" t="s">
        <v>1386</v>
      </c>
      <c r="J362" s="381" t="s">
        <v>1404</v>
      </c>
      <c r="K362" s="113" t="s">
        <v>1405</v>
      </c>
      <c r="L362" s="216"/>
      <c r="M362" s="166"/>
      <c r="N362" s="127"/>
      <c r="O362" s="283"/>
      <c r="P362" s="219"/>
    </row>
    <row r="363" spans="1:38" ht="15.75">
      <c r="A363" s="159" t="s">
        <v>1346</v>
      </c>
      <c r="B363" s="159" t="s">
        <v>1551</v>
      </c>
      <c r="C363" s="270" t="s">
        <v>1522</v>
      </c>
      <c r="D363" s="166">
        <v>514</v>
      </c>
      <c r="E363" s="127">
        <v>5303.4</v>
      </c>
      <c r="F363" s="308" t="s">
        <v>19</v>
      </c>
      <c r="G363" s="180">
        <v>46290</v>
      </c>
      <c r="H363" s="180">
        <v>46302</v>
      </c>
      <c r="I363" s="180">
        <v>46302</v>
      </c>
      <c r="J363" s="248" t="s">
        <v>1523</v>
      </c>
      <c r="K363" s="113"/>
      <c r="L363" s="218"/>
      <c r="M363" s="180"/>
      <c r="N363" s="180"/>
      <c r="O363" s="283"/>
      <c r="P363" s="28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</row>
    <row r="364" spans="1:38" ht="15.75">
      <c r="A364" s="111" t="s">
        <v>1346</v>
      </c>
      <c r="B364" s="111" t="s">
        <v>1552</v>
      </c>
      <c r="C364" s="104" t="s">
        <v>1553</v>
      </c>
      <c r="D364" s="154">
        <v>0.35</v>
      </c>
      <c r="E364" s="118">
        <v>2030</v>
      </c>
      <c r="F364" s="151" t="s">
        <v>19</v>
      </c>
      <c r="G364" s="213">
        <v>46293</v>
      </c>
      <c r="H364" s="180">
        <f>G364+5</f>
        <v>46298</v>
      </c>
      <c r="I364" s="180">
        <v>46281</v>
      </c>
      <c r="J364" s="349"/>
      <c r="K364" s="113" t="s">
        <v>1346</v>
      </c>
      <c r="L364" s="197"/>
      <c r="M364" s="307"/>
      <c r="N364" s="178"/>
      <c r="O364" s="233"/>
      <c r="P364" s="169"/>
    </row>
    <row r="365" spans="1:38" ht="15.75">
      <c r="A365" s="111" t="s">
        <v>1346</v>
      </c>
      <c r="B365" s="111" t="s">
        <v>1552</v>
      </c>
      <c r="C365" s="104" t="s">
        <v>1553</v>
      </c>
      <c r="D365" s="154">
        <v>0.35</v>
      </c>
      <c r="E365" s="118">
        <v>2030</v>
      </c>
      <c r="F365" s="151" t="s">
        <v>19</v>
      </c>
      <c r="G365" s="180">
        <v>46293</v>
      </c>
      <c r="H365" s="180">
        <f>G365+5</f>
        <v>46298</v>
      </c>
      <c r="I365" s="180">
        <v>46281</v>
      </c>
      <c r="J365" s="202"/>
      <c r="K365" s="113" t="s">
        <v>1346</v>
      </c>
      <c r="L365" s="197"/>
      <c r="M365" s="307"/>
      <c r="N365" s="178"/>
      <c r="O365" s="233"/>
      <c r="P365" s="169"/>
    </row>
    <row r="366" spans="1:38" ht="15.75">
      <c r="A366" s="111" t="s">
        <v>1346</v>
      </c>
      <c r="B366" s="114" t="s">
        <v>1554</v>
      </c>
      <c r="C366" s="267" t="s">
        <v>1553</v>
      </c>
      <c r="D366" s="177" t="s">
        <v>1385</v>
      </c>
      <c r="E366" s="118">
        <v>600</v>
      </c>
      <c r="F366" s="151" t="s">
        <v>19</v>
      </c>
      <c r="G366" s="117">
        <v>46287</v>
      </c>
      <c r="H366" s="117">
        <v>46287</v>
      </c>
      <c r="I366" s="117">
        <v>46287</v>
      </c>
      <c r="J366" s="202"/>
      <c r="K366" s="113" t="s">
        <v>1346</v>
      </c>
      <c r="M366" s="242"/>
      <c r="N366" s="242"/>
      <c r="P366" s="232"/>
    </row>
    <row r="367" spans="1:38" ht="15.75">
      <c r="A367" s="111" t="s">
        <v>1346</v>
      </c>
      <c r="B367" s="114" t="s">
        <v>1555</v>
      </c>
      <c r="C367" s="267" t="s">
        <v>1553</v>
      </c>
      <c r="D367" s="177">
        <v>0.15</v>
      </c>
      <c r="E367" s="118">
        <v>870</v>
      </c>
      <c r="F367" s="151" t="s">
        <v>19</v>
      </c>
      <c r="G367" s="108">
        <v>46281</v>
      </c>
      <c r="H367" s="117">
        <f>G367+5</f>
        <v>46286</v>
      </c>
      <c r="I367" s="117">
        <v>46287</v>
      </c>
      <c r="J367" s="158"/>
      <c r="K367" s="113" t="s">
        <v>1346</v>
      </c>
      <c r="M367" s="108"/>
      <c r="N367" s="149"/>
      <c r="O367" s="14"/>
      <c r="P367" s="560"/>
    </row>
    <row r="368" spans="1:38" ht="15.75">
      <c r="A368" s="165" t="s">
        <v>1346</v>
      </c>
      <c r="B368" s="159" t="s">
        <v>1555</v>
      </c>
      <c r="C368" s="267" t="s">
        <v>1553</v>
      </c>
      <c r="D368" s="177">
        <v>0.15</v>
      </c>
      <c r="E368" s="118">
        <v>870</v>
      </c>
      <c r="F368" s="151" t="s">
        <v>19</v>
      </c>
      <c r="G368" s="117">
        <v>46287</v>
      </c>
      <c r="H368" s="117">
        <v>46287</v>
      </c>
      <c r="I368" s="117">
        <v>46287</v>
      </c>
      <c r="J368" s="158"/>
      <c r="K368" s="113" t="s">
        <v>1346</v>
      </c>
      <c r="M368" s="262"/>
      <c r="N368" s="130"/>
      <c r="P368" s="129"/>
    </row>
    <row r="369" spans="1:38" ht="15.75">
      <c r="A369" s="159" t="s">
        <v>1346</v>
      </c>
      <c r="B369" s="114" t="s">
        <v>1556</v>
      </c>
      <c r="C369" s="278" t="s">
        <v>1557</v>
      </c>
      <c r="D369" s="177">
        <v>0.2</v>
      </c>
      <c r="E369" s="121">
        <v>4033.18</v>
      </c>
      <c r="F369" s="151" t="s">
        <v>19</v>
      </c>
      <c r="G369" s="152">
        <v>46282</v>
      </c>
      <c r="H369" s="180">
        <f>G369+5</f>
        <v>46287</v>
      </c>
      <c r="I369" s="180">
        <v>46286</v>
      </c>
      <c r="J369" s="114" t="s">
        <v>1558</v>
      </c>
      <c r="K369" s="113" t="s">
        <v>1346</v>
      </c>
      <c r="L369" s="216"/>
      <c r="M369" s="325"/>
      <c r="N369" s="121"/>
      <c r="O369" s="284"/>
      <c r="P369" s="286"/>
    </row>
    <row r="370" spans="1:38" ht="15.75">
      <c r="A370" s="159" t="s">
        <v>1346</v>
      </c>
      <c r="B370" s="114" t="s">
        <v>1556</v>
      </c>
      <c r="C370" s="277" t="s">
        <v>1557</v>
      </c>
      <c r="D370" s="239">
        <v>0.5</v>
      </c>
      <c r="E370" s="127">
        <v>11206.48</v>
      </c>
      <c r="F370" s="151" t="s">
        <v>19</v>
      </c>
      <c r="G370" s="179">
        <v>46282</v>
      </c>
      <c r="H370" s="180">
        <v>46282</v>
      </c>
      <c r="I370" s="180">
        <v>46283</v>
      </c>
      <c r="J370" s="114" t="s">
        <v>1558</v>
      </c>
      <c r="K370" s="113" t="s">
        <v>1346</v>
      </c>
      <c r="L370" s="216"/>
      <c r="M370" s="135"/>
      <c r="N370" s="212"/>
      <c r="O370" s="218"/>
      <c r="P370" s="180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</row>
    <row r="371" spans="1:38" ht="15.75">
      <c r="A371" s="159" t="s">
        <v>1346</v>
      </c>
      <c r="B371" s="159" t="s">
        <v>1556</v>
      </c>
      <c r="C371" s="277" t="s">
        <v>1557</v>
      </c>
      <c r="D371" s="239" t="s">
        <v>1354</v>
      </c>
      <c r="E371" s="127">
        <v>-3233.05</v>
      </c>
      <c r="F371" s="117"/>
      <c r="G371" s="179">
        <v>46282</v>
      </c>
      <c r="H371" s="214">
        <f>G371+5</f>
        <v>46287</v>
      </c>
      <c r="I371" s="352" t="s">
        <v>1354</v>
      </c>
      <c r="J371" s="255" t="s">
        <v>1559</v>
      </c>
      <c r="K371" s="113" t="s">
        <v>1560</v>
      </c>
      <c r="L371" s="355"/>
      <c r="M371" s="225"/>
      <c r="N371" s="264"/>
      <c r="O371" s="218"/>
      <c r="P371" s="181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</row>
    <row r="372" spans="1:38" ht="15.75">
      <c r="A372" s="159" t="s">
        <v>1346</v>
      </c>
      <c r="B372" s="159" t="s">
        <v>1561</v>
      </c>
      <c r="C372" s="277" t="s">
        <v>1557</v>
      </c>
      <c r="D372" s="239">
        <v>0.3</v>
      </c>
      <c r="E372" s="127">
        <v>6531.29</v>
      </c>
      <c r="F372" s="151" t="s">
        <v>19</v>
      </c>
      <c r="G372" s="179">
        <v>46282</v>
      </c>
      <c r="H372" s="181">
        <v>46297</v>
      </c>
      <c r="I372" s="181">
        <v>46293</v>
      </c>
      <c r="J372" s="159" t="s">
        <v>1558</v>
      </c>
      <c r="K372" s="113" t="s">
        <v>1346</v>
      </c>
      <c r="L372" s="216"/>
      <c r="M372" s="225"/>
      <c r="N372" s="127"/>
      <c r="O372" s="284"/>
      <c r="P372" s="219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</row>
    <row r="373" spans="1:38" ht="15.75">
      <c r="A373" s="159" t="s">
        <v>1346</v>
      </c>
      <c r="B373" s="159" t="s">
        <v>1562</v>
      </c>
      <c r="C373" s="277" t="s">
        <v>1563</v>
      </c>
      <c r="D373" s="239">
        <v>0.2</v>
      </c>
      <c r="E373" s="127">
        <v>4033.18</v>
      </c>
      <c r="F373" s="151" t="s">
        <v>19</v>
      </c>
      <c r="G373" s="179">
        <v>46282</v>
      </c>
      <c r="H373" s="181">
        <v>46282</v>
      </c>
      <c r="I373" s="181">
        <v>46286</v>
      </c>
      <c r="J373" s="114" t="s">
        <v>1558</v>
      </c>
      <c r="K373" s="113" t="s">
        <v>1346</v>
      </c>
      <c r="L373" s="216"/>
      <c r="M373" s="225"/>
      <c r="N373" s="127"/>
      <c r="O373" s="284"/>
      <c r="P373" s="219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</row>
    <row r="374" spans="1:38" ht="15.75">
      <c r="A374" s="159" t="s">
        <v>1346</v>
      </c>
      <c r="B374" s="114" t="s">
        <v>1562</v>
      </c>
      <c r="C374" s="277" t="s">
        <v>1563</v>
      </c>
      <c r="D374" s="177">
        <v>0.5</v>
      </c>
      <c r="E374" s="121">
        <v>11206.48</v>
      </c>
      <c r="F374" s="151" t="s">
        <v>19</v>
      </c>
      <c r="G374" s="152">
        <v>46282</v>
      </c>
      <c r="H374" s="180">
        <f>G374+5</f>
        <v>46287</v>
      </c>
      <c r="I374" s="180">
        <v>46283</v>
      </c>
      <c r="J374" s="114" t="s">
        <v>1558</v>
      </c>
      <c r="K374" s="113" t="s">
        <v>1346</v>
      </c>
      <c r="L374" s="216"/>
      <c r="M374" s="225"/>
      <c r="N374" s="127"/>
      <c r="O374" s="284"/>
      <c r="P374" s="219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</row>
    <row r="375" spans="1:38" ht="15.75">
      <c r="A375" s="114" t="s">
        <v>1346</v>
      </c>
      <c r="B375" s="114" t="s">
        <v>1562</v>
      </c>
      <c r="C375" s="278" t="s">
        <v>1563</v>
      </c>
      <c r="D375" s="177" t="s">
        <v>1354</v>
      </c>
      <c r="E375" s="121">
        <v>-3233.05</v>
      </c>
      <c r="F375" s="152"/>
      <c r="G375" s="152">
        <v>46282</v>
      </c>
      <c r="H375" s="180">
        <v>46282</v>
      </c>
      <c r="I375" s="177" t="s">
        <v>1354</v>
      </c>
      <c r="J375" s="114" t="s">
        <v>1559</v>
      </c>
      <c r="K375" s="113" t="s">
        <v>1560</v>
      </c>
      <c r="L375" s="216"/>
      <c r="M375" s="135"/>
      <c r="N375" s="121"/>
      <c r="O375" s="284"/>
      <c r="P375" s="219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</row>
    <row r="376" spans="1:38" ht="15.75">
      <c r="A376" s="114" t="s">
        <v>1346</v>
      </c>
      <c r="B376" s="114" t="s">
        <v>1564</v>
      </c>
      <c r="C376" s="278" t="s">
        <v>1563</v>
      </c>
      <c r="D376" s="177">
        <v>0.3</v>
      </c>
      <c r="E376" s="121">
        <v>6531.29</v>
      </c>
      <c r="F376" s="151" t="s">
        <v>19</v>
      </c>
      <c r="G376" s="179">
        <v>46282</v>
      </c>
      <c r="H376" s="180">
        <v>46297</v>
      </c>
      <c r="I376" s="180">
        <v>46293</v>
      </c>
      <c r="J376" s="114" t="s">
        <v>1558</v>
      </c>
      <c r="K376" s="113" t="s">
        <v>1346</v>
      </c>
      <c r="L376" s="216"/>
      <c r="M376" s="356"/>
      <c r="N376" s="265"/>
      <c r="O376" s="284"/>
      <c r="P376" s="270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</row>
    <row r="377" spans="1:38" s="68" customFormat="1" ht="15.75">
      <c r="A377" s="159" t="s">
        <v>1346</v>
      </c>
      <c r="B377" s="159" t="s">
        <v>1565</v>
      </c>
      <c r="C377" s="267" t="s">
        <v>1557</v>
      </c>
      <c r="D377" s="136"/>
      <c r="E377" s="121">
        <v>24141.5</v>
      </c>
      <c r="F377" s="151" t="s">
        <v>19</v>
      </c>
      <c r="G377" s="181">
        <v>46282</v>
      </c>
      <c r="H377" s="180">
        <v>46293</v>
      </c>
      <c r="I377" s="180">
        <v>46293</v>
      </c>
      <c r="J377" s="136" t="s">
        <v>1566</v>
      </c>
      <c r="K377" s="113"/>
      <c r="M377" s="287"/>
      <c r="N377" s="287"/>
      <c r="P377" s="341"/>
    </row>
    <row r="378" spans="1:38" s="68" customFormat="1" ht="15.75">
      <c r="A378" s="114" t="s">
        <v>1346</v>
      </c>
      <c r="B378" s="114" t="s">
        <v>1567</v>
      </c>
      <c r="C378" s="267" t="s">
        <v>1568</v>
      </c>
      <c r="D378" s="136"/>
      <c r="E378" s="121">
        <v>23917.58</v>
      </c>
      <c r="F378" s="151" t="s">
        <v>19</v>
      </c>
      <c r="G378" s="180">
        <v>46282</v>
      </c>
      <c r="H378" s="180">
        <v>46293</v>
      </c>
      <c r="I378" s="180">
        <v>46293</v>
      </c>
      <c r="J378" s="136" t="s">
        <v>1566</v>
      </c>
      <c r="K378" s="113"/>
      <c r="M378" s="267"/>
      <c r="N378" s="212"/>
      <c r="P378" s="181"/>
    </row>
    <row r="379" spans="1:38" ht="15.75">
      <c r="A379" s="159" t="s">
        <v>1346</v>
      </c>
      <c r="B379" s="159" t="s">
        <v>1569</v>
      </c>
      <c r="C379" s="278" t="s">
        <v>1361</v>
      </c>
      <c r="D379" s="136">
        <v>500</v>
      </c>
      <c r="E379" s="121">
        <v>15239.67</v>
      </c>
      <c r="F379" s="151" t="s">
        <v>19</v>
      </c>
      <c r="G379" s="180">
        <v>46290</v>
      </c>
      <c r="H379" s="180">
        <v>46290</v>
      </c>
      <c r="I379" s="180">
        <v>46290</v>
      </c>
      <c r="J379" s="166" t="s">
        <v>1570</v>
      </c>
      <c r="K379" s="113"/>
      <c r="L379" s="68"/>
      <c r="M379" s="357"/>
      <c r="N379" s="287"/>
      <c r="O379" s="68"/>
      <c r="P379" s="341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</row>
    <row r="380" spans="1:38" ht="15.75">
      <c r="A380" s="159" t="s">
        <v>1346</v>
      </c>
      <c r="B380" s="159" t="s">
        <v>1571</v>
      </c>
      <c r="C380" s="278" t="s">
        <v>1361</v>
      </c>
      <c r="D380" s="136">
        <v>500</v>
      </c>
      <c r="E380" s="121">
        <v>6531.28</v>
      </c>
      <c r="F380" s="151" t="s">
        <v>19</v>
      </c>
      <c r="G380" s="180">
        <v>46290</v>
      </c>
      <c r="H380" s="180">
        <f>G380+10</f>
        <v>46300</v>
      </c>
      <c r="I380" s="152">
        <v>46302</v>
      </c>
      <c r="J380" s="166" t="s">
        <v>1572</v>
      </c>
      <c r="K380" s="113"/>
      <c r="L380" s="216"/>
      <c r="M380" s="235"/>
      <c r="N380" s="121"/>
      <c r="O380" s="283"/>
      <c r="P380" s="181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</row>
    <row r="381" spans="1:38" s="68" customFormat="1" ht="15.75">
      <c r="A381" s="114" t="s">
        <v>1346</v>
      </c>
      <c r="B381" s="114" t="s">
        <v>1571</v>
      </c>
      <c r="C381" s="278" t="s">
        <v>1361</v>
      </c>
      <c r="D381" s="136">
        <v>500</v>
      </c>
      <c r="E381" s="121">
        <v>2587.12</v>
      </c>
      <c r="F381" s="151" t="s">
        <v>19</v>
      </c>
      <c r="G381" s="180">
        <v>46300</v>
      </c>
      <c r="H381" s="180">
        <v>46302</v>
      </c>
      <c r="I381" s="180">
        <v>46304</v>
      </c>
      <c r="J381" s="136"/>
      <c r="K381" s="113"/>
      <c r="M381" s="135"/>
      <c r="N381" s="121"/>
      <c r="P381" s="286"/>
    </row>
    <row r="382" spans="1:38" s="68" customFormat="1" ht="15.75">
      <c r="A382" s="114" t="s">
        <v>1346</v>
      </c>
      <c r="B382" s="114" t="s">
        <v>1573</v>
      </c>
      <c r="C382" s="267" t="s">
        <v>1574</v>
      </c>
      <c r="D382" s="177">
        <v>0.7</v>
      </c>
      <c r="E382" s="121">
        <f>4500*70%</f>
        <v>3150</v>
      </c>
      <c r="F382" s="151" t="s">
        <v>19</v>
      </c>
      <c r="G382" s="180">
        <v>46301</v>
      </c>
      <c r="H382" s="213">
        <f>G382+5</f>
        <v>46306</v>
      </c>
      <c r="I382" s="213">
        <v>46304</v>
      </c>
      <c r="J382" s="367"/>
      <c r="K382" s="113"/>
      <c r="L382" s="317"/>
      <c r="M382" s="270"/>
      <c r="N382" s="264"/>
      <c r="O382" s="283"/>
      <c r="P382" s="181"/>
    </row>
    <row r="383" spans="1:38" s="68" customFormat="1" ht="15.75">
      <c r="A383" s="114" t="s">
        <v>1346</v>
      </c>
      <c r="B383" s="114" t="s">
        <v>1575</v>
      </c>
      <c r="C383" s="267" t="s">
        <v>1574</v>
      </c>
      <c r="D383" s="177">
        <v>0.7</v>
      </c>
      <c r="E383" s="121">
        <v>5266.88</v>
      </c>
      <c r="F383" s="151" t="s">
        <v>19</v>
      </c>
      <c r="G383" s="180">
        <v>46296</v>
      </c>
      <c r="H383" s="180">
        <v>46298</v>
      </c>
      <c r="I383" s="180">
        <v>46304</v>
      </c>
      <c r="J383" s="121" t="s">
        <v>1576</v>
      </c>
      <c r="K383" s="113"/>
      <c r="L383" s="310"/>
      <c r="M383" s="180"/>
      <c r="N383" s="180"/>
      <c r="O383" s="330"/>
      <c r="P383" s="127"/>
    </row>
    <row r="384" spans="1:38" ht="15.75">
      <c r="A384" s="114" t="s">
        <v>1515</v>
      </c>
      <c r="B384" s="114" t="s">
        <v>1528</v>
      </c>
      <c r="C384" s="114" t="s">
        <v>1515</v>
      </c>
      <c r="D384" s="114" t="s">
        <v>1515</v>
      </c>
      <c r="E384" s="121">
        <v>2000</v>
      </c>
      <c r="F384" s="151" t="s">
        <v>19</v>
      </c>
      <c r="G384" s="180">
        <v>46304</v>
      </c>
      <c r="H384" s="180">
        <v>46304</v>
      </c>
      <c r="I384" s="180">
        <v>46304</v>
      </c>
      <c r="J384" s="152"/>
      <c r="K384" s="113"/>
      <c r="M384" s="130"/>
      <c r="N384" s="130"/>
      <c r="P384" s="232"/>
    </row>
    <row r="385" spans="1:38" ht="15.75">
      <c r="A385" s="128" t="s">
        <v>1402</v>
      </c>
      <c r="B385" s="128" t="s">
        <v>1403</v>
      </c>
      <c r="C385" s="173" t="s">
        <v>1348</v>
      </c>
      <c r="D385" s="183">
        <v>503</v>
      </c>
      <c r="E385" s="174">
        <v>3560.5</v>
      </c>
      <c r="F385" s="180"/>
      <c r="G385" s="180">
        <v>46293</v>
      </c>
      <c r="H385" s="184">
        <v>46293</v>
      </c>
      <c r="I385" s="184" t="s">
        <v>1386</v>
      </c>
      <c r="J385" s="128" t="s">
        <v>1404</v>
      </c>
      <c r="K385" s="113" t="s">
        <v>1405</v>
      </c>
      <c r="L385" s="216"/>
      <c r="M385" s="235"/>
      <c r="N385" s="121"/>
      <c r="O385" s="283"/>
      <c r="P385" s="181"/>
    </row>
    <row r="386" spans="1:38" ht="15.75">
      <c r="A386" s="128" t="s">
        <v>1402</v>
      </c>
      <c r="B386" s="128" t="s">
        <v>1403</v>
      </c>
      <c r="C386" s="173" t="s">
        <v>1348</v>
      </c>
      <c r="D386" s="183">
        <v>504</v>
      </c>
      <c r="E386" s="174">
        <v>3560.5</v>
      </c>
      <c r="F386" s="180"/>
      <c r="G386" s="180">
        <v>46293</v>
      </c>
      <c r="H386" s="184">
        <v>46293</v>
      </c>
      <c r="I386" s="184" t="s">
        <v>1386</v>
      </c>
      <c r="J386" s="128" t="s">
        <v>1404</v>
      </c>
      <c r="K386" s="113" t="s">
        <v>1405</v>
      </c>
      <c r="L386" s="216"/>
      <c r="M386" s="235"/>
      <c r="N386" s="121"/>
      <c r="O386" s="283"/>
      <c r="P386" s="181"/>
    </row>
    <row r="387" spans="1:38" ht="15.75">
      <c r="A387" s="114" t="s">
        <v>1346</v>
      </c>
      <c r="B387" s="114" t="s">
        <v>1577</v>
      </c>
      <c r="C387" s="267" t="s">
        <v>1367</v>
      </c>
      <c r="D387" s="177">
        <v>0.3</v>
      </c>
      <c r="E387" s="121">
        <f>7000*30%</f>
        <v>2100</v>
      </c>
      <c r="F387" s="117"/>
      <c r="G387" s="180">
        <v>46292</v>
      </c>
      <c r="H387" s="180">
        <f>G387+5</f>
        <v>46297</v>
      </c>
      <c r="I387" s="180" t="s">
        <v>1386</v>
      </c>
      <c r="J387" s="121" t="s">
        <v>1527</v>
      </c>
      <c r="K387" s="113"/>
      <c r="L387" s="68"/>
      <c r="M387" s="289"/>
      <c r="N387" s="212"/>
      <c r="O387" s="68"/>
      <c r="P387" s="181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</row>
    <row r="388" spans="1:38" ht="15.75">
      <c r="A388" s="114" t="s">
        <v>1515</v>
      </c>
      <c r="B388" s="114" t="s">
        <v>1528</v>
      </c>
      <c r="C388" s="114" t="s">
        <v>1515</v>
      </c>
      <c r="D388" s="114" t="s">
        <v>1515</v>
      </c>
      <c r="E388" s="121">
        <v>1000</v>
      </c>
      <c r="F388" s="151" t="s">
        <v>19</v>
      </c>
      <c r="G388" s="180">
        <v>46304</v>
      </c>
      <c r="H388" s="180">
        <v>46304</v>
      </c>
      <c r="I388" s="180">
        <v>46304</v>
      </c>
      <c r="J388" s="152"/>
      <c r="K388" s="113"/>
      <c r="M388" s="262"/>
      <c r="N388" s="130"/>
      <c r="P388" s="232"/>
    </row>
    <row r="389" spans="1:38" ht="15.75">
      <c r="A389" s="114" t="s">
        <v>1346</v>
      </c>
      <c r="B389" s="114" t="s">
        <v>1578</v>
      </c>
      <c r="C389" s="267" t="s">
        <v>1574</v>
      </c>
      <c r="D389" s="177" t="s">
        <v>1211</v>
      </c>
      <c r="E389" s="121">
        <v>999</v>
      </c>
      <c r="F389" s="151" t="s">
        <v>19</v>
      </c>
      <c r="G389" s="180">
        <v>46301</v>
      </c>
      <c r="H389" s="180">
        <v>46304</v>
      </c>
      <c r="I389" s="180">
        <v>46304</v>
      </c>
      <c r="J389" s="103"/>
      <c r="K389" s="113"/>
      <c r="M389" s="262"/>
      <c r="N389" s="130"/>
      <c r="P389" s="232"/>
    </row>
    <row r="390" spans="1:38" ht="15.75">
      <c r="A390" s="359" t="s">
        <v>1579</v>
      </c>
      <c r="B390" s="359" t="s">
        <v>1580</v>
      </c>
      <c r="C390" s="360"/>
      <c r="D390" s="361"/>
      <c r="E390" s="362">
        <v>350</v>
      </c>
      <c r="F390" s="151" t="s">
        <v>19</v>
      </c>
      <c r="G390" s="371">
        <v>46304</v>
      </c>
      <c r="H390" s="363">
        <v>46304</v>
      </c>
      <c r="I390" s="363">
        <v>46304</v>
      </c>
      <c r="J390" s="103" t="s">
        <v>1532</v>
      </c>
      <c r="K390" s="113"/>
      <c r="M390" s="262"/>
      <c r="N390" s="130"/>
      <c r="P390" s="232"/>
    </row>
    <row r="391" spans="1:38" ht="15.75">
      <c r="A391" s="114" t="s">
        <v>1515</v>
      </c>
      <c r="B391" s="114" t="s">
        <v>1528</v>
      </c>
      <c r="C391" s="114" t="s">
        <v>1515</v>
      </c>
      <c r="D391" s="114" t="s">
        <v>1515</v>
      </c>
      <c r="E391" s="121">
        <v>1000</v>
      </c>
      <c r="F391" s="151" t="s">
        <v>19</v>
      </c>
      <c r="G391" s="345">
        <v>46304</v>
      </c>
      <c r="H391" s="180">
        <v>46304</v>
      </c>
      <c r="I391" s="180">
        <v>46304</v>
      </c>
      <c r="J391" s="103"/>
      <c r="K391" s="113"/>
      <c r="M391" s="262"/>
      <c r="N391" s="130"/>
      <c r="P391" s="232"/>
    </row>
    <row r="392" spans="1:38" ht="15.75">
      <c r="A392" s="114" t="s">
        <v>1346</v>
      </c>
      <c r="B392" s="114" t="s">
        <v>1581</v>
      </c>
      <c r="C392" s="267" t="s">
        <v>1574</v>
      </c>
      <c r="D392" s="177">
        <v>0.3</v>
      </c>
      <c r="E392" s="121">
        <v>1316.72</v>
      </c>
      <c r="F392" s="117"/>
      <c r="G392" s="180">
        <v>46296</v>
      </c>
      <c r="H392" s="180">
        <v>46298</v>
      </c>
      <c r="I392" s="180" t="s">
        <v>366</v>
      </c>
      <c r="J392" s="121" t="s">
        <v>1576</v>
      </c>
      <c r="K392" s="113"/>
      <c r="L392" s="310"/>
      <c r="M392" s="290"/>
      <c r="N392" s="180"/>
      <c r="O392" s="330"/>
      <c r="P392" s="127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</row>
    <row r="393" spans="1:38" s="134" customFormat="1" ht="15.75">
      <c r="A393" s="111" t="s">
        <v>1519</v>
      </c>
      <c r="B393" s="114" t="s">
        <v>1519</v>
      </c>
      <c r="C393" s="136" t="s">
        <v>1367</v>
      </c>
      <c r="D393" s="136" t="s">
        <v>1398</v>
      </c>
      <c r="E393" s="118">
        <v>14000</v>
      </c>
      <c r="F393" s="108" t="s">
        <v>19</v>
      </c>
      <c r="G393" s="117">
        <v>46276</v>
      </c>
      <c r="H393" s="180">
        <v>46300</v>
      </c>
      <c r="I393" s="117" t="s">
        <v>1386</v>
      </c>
      <c r="J393" s="111" t="s">
        <v>1582</v>
      </c>
      <c r="K393" s="113" t="s">
        <v>1507</v>
      </c>
      <c r="L393" s="198"/>
      <c r="M393" s="234"/>
      <c r="N393" s="122"/>
      <c r="O393"/>
      <c r="P393" s="11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</row>
    <row r="394" spans="1:38" s="134" customFormat="1" ht="15.75">
      <c r="A394" s="159" t="s">
        <v>1375</v>
      </c>
      <c r="B394" s="159" t="s">
        <v>281</v>
      </c>
      <c r="C394" s="225" t="s">
        <v>1458</v>
      </c>
      <c r="D394" s="136">
        <v>507</v>
      </c>
      <c r="E394" s="127">
        <v>4400</v>
      </c>
      <c r="F394" s="108" t="s">
        <v>19</v>
      </c>
      <c r="G394" s="181">
        <v>46294</v>
      </c>
      <c r="H394" s="213">
        <v>46318</v>
      </c>
      <c r="I394" s="180">
        <v>46309</v>
      </c>
      <c r="J394" s="255" t="s">
        <v>1583</v>
      </c>
      <c r="K394" s="113" t="s">
        <v>1377</v>
      </c>
      <c r="L394" s="396"/>
      <c r="M394" s="183"/>
      <c r="N394" s="344"/>
      <c r="O394" s="348"/>
      <c r="P394" s="335"/>
    </row>
    <row r="395" spans="1:38" s="134" customFormat="1" ht="15.75">
      <c r="A395" s="159" t="s">
        <v>1375</v>
      </c>
      <c r="B395" s="159" t="s">
        <v>281</v>
      </c>
      <c r="C395" s="225" t="s">
        <v>1458</v>
      </c>
      <c r="D395" s="136">
        <v>508</v>
      </c>
      <c r="E395" s="127">
        <v>4400</v>
      </c>
      <c r="F395" s="108" t="s">
        <v>19</v>
      </c>
      <c r="G395" s="181">
        <v>46294</v>
      </c>
      <c r="H395" s="180">
        <v>46318</v>
      </c>
      <c r="I395" s="180">
        <v>46309</v>
      </c>
      <c r="J395" s="159" t="s">
        <v>1583</v>
      </c>
      <c r="K395" s="113" t="s">
        <v>1377</v>
      </c>
      <c r="L395" s="396"/>
      <c r="M395" s="183"/>
      <c r="N395" s="344"/>
      <c r="O395" s="348"/>
      <c r="P395" s="335"/>
    </row>
    <row r="396" spans="1:38" ht="15.75">
      <c r="A396" s="159" t="s">
        <v>1375</v>
      </c>
      <c r="B396" s="159" t="s">
        <v>281</v>
      </c>
      <c r="C396" s="225" t="s">
        <v>1584</v>
      </c>
      <c r="D396" s="136">
        <v>509</v>
      </c>
      <c r="E396" s="127">
        <v>4400</v>
      </c>
      <c r="F396" s="108" t="s">
        <v>19</v>
      </c>
      <c r="G396" s="181">
        <v>46294</v>
      </c>
      <c r="H396" s="180">
        <v>46318</v>
      </c>
      <c r="I396" s="180">
        <v>46309</v>
      </c>
      <c r="J396" s="114" t="s">
        <v>1583</v>
      </c>
      <c r="K396" s="113" t="s">
        <v>1377</v>
      </c>
      <c r="L396" s="396"/>
      <c r="M396" s="183"/>
      <c r="N396" s="174"/>
      <c r="O396" s="348"/>
      <c r="P396" s="335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</row>
    <row r="397" spans="1:38" ht="15.75">
      <c r="A397" s="159" t="s">
        <v>1375</v>
      </c>
      <c r="B397" s="159" t="s">
        <v>281</v>
      </c>
      <c r="C397" s="225" t="s">
        <v>1584</v>
      </c>
      <c r="D397" s="136">
        <v>510</v>
      </c>
      <c r="E397" s="127">
        <v>4400</v>
      </c>
      <c r="F397" s="108" t="s">
        <v>19</v>
      </c>
      <c r="G397" s="181">
        <v>46294</v>
      </c>
      <c r="H397" s="180">
        <v>46318</v>
      </c>
      <c r="I397" s="180">
        <v>46309</v>
      </c>
      <c r="J397" s="114" t="s">
        <v>1583</v>
      </c>
      <c r="K397" s="113" t="s">
        <v>1377</v>
      </c>
      <c r="L397" s="396"/>
      <c r="M397" s="183"/>
      <c r="N397" s="174"/>
      <c r="O397" s="348"/>
      <c r="P397" s="335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</row>
    <row r="398" spans="1:38" ht="15.75">
      <c r="A398" s="159" t="s">
        <v>1402</v>
      </c>
      <c r="B398" s="159" t="s">
        <v>1585</v>
      </c>
      <c r="C398" s="225" t="s">
        <v>1460</v>
      </c>
      <c r="D398" s="136">
        <v>511</v>
      </c>
      <c r="E398" s="127">
        <v>8135.6</v>
      </c>
      <c r="F398" s="151" t="s">
        <v>19</v>
      </c>
      <c r="G398" s="181">
        <v>46295</v>
      </c>
      <c r="H398" s="180">
        <f>G398+10</f>
        <v>46305</v>
      </c>
      <c r="I398" s="117">
        <v>46301</v>
      </c>
      <c r="J398" s="114" t="s">
        <v>1586</v>
      </c>
      <c r="K398" s="113" t="s">
        <v>1405</v>
      </c>
      <c r="L398" s="216"/>
      <c r="M398" s="235"/>
      <c r="N398" s="121"/>
      <c r="O398" s="283"/>
      <c r="P398" s="181"/>
    </row>
    <row r="399" spans="1:38" s="68" customFormat="1" ht="15.75">
      <c r="A399" s="159" t="s">
        <v>1402</v>
      </c>
      <c r="B399" s="159" t="s">
        <v>1587</v>
      </c>
      <c r="C399" s="225" t="s">
        <v>1367</v>
      </c>
      <c r="D399" s="136">
        <v>512</v>
      </c>
      <c r="E399" s="127">
        <v>14242</v>
      </c>
      <c r="F399" s="180"/>
      <c r="G399" s="378">
        <v>46296</v>
      </c>
      <c r="H399" s="180">
        <f>G399+10</f>
        <v>46306</v>
      </c>
      <c r="I399" s="117" t="s">
        <v>1386</v>
      </c>
      <c r="J399" s="114" t="s">
        <v>1588</v>
      </c>
      <c r="K399" s="113" t="s">
        <v>1405</v>
      </c>
      <c r="L399" s="233"/>
      <c r="M399" s="117"/>
      <c r="N399" s="117"/>
      <c r="O399" s="282"/>
      <c r="P399" s="232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</row>
    <row r="400" spans="1:38" ht="15.75">
      <c r="A400" s="165" t="s">
        <v>1402</v>
      </c>
      <c r="B400" s="159" t="s">
        <v>1589</v>
      </c>
      <c r="C400" s="166" t="s">
        <v>1460</v>
      </c>
      <c r="D400" s="136">
        <v>513</v>
      </c>
      <c r="E400" s="167">
        <v>9969.4</v>
      </c>
      <c r="F400" s="108" t="s">
        <v>19</v>
      </c>
      <c r="G400" s="377">
        <v>46297</v>
      </c>
      <c r="H400" s="117">
        <f>G400+10</f>
        <v>46307</v>
      </c>
      <c r="I400" s="180">
        <v>46308</v>
      </c>
      <c r="J400" s="267" t="s">
        <v>1590</v>
      </c>
      <c r="K400" s="113" t="s">
        <v>1405</v>
      </c>
      <c r="L400" s="233"/>
      <c r="M400" s="117"/>
      <c r="N400" s="117"/>
      <c r="O400" s="282"/>
      <c r="P400" s="232"/>
    </row>
    <row r="401" spans="1:38" s="134" customFormat="1" ht="15.6" customHeight="1">
      <c r="A401" s="114" t="s">
        <v>1515</v>
      </c>
      <c r="B401" s="114" t="s">
        <v>1528</v>
      </c>
      <c r="C401" s="114" t="s">
        <v>1515</v>
      </c>
      <c r="D401" s="114" t="s">
        <v>1515</v>
      </c>
      <c r="E401" s="121">
        <v>7500</v>
      </c>
      <c r="F401" s="151" t="s">
        <v>19</v>
      </c>
      <c r="G401" s="180">
        <v>46308</v>
      </c>
      <c r="H401" s="213">
        <v>46308</v>
      </c>
      <c r="I401" s="180">
        <v>46308</v>
      </c>
      <c r="J401" s="372"/>
      <c r="K401" s="113"/>
      <c r="L401"/>
      <c r="M401" s="262"/>
      <c r="N401" s="130"/>
      <c r="O401" s="374"/>
      <c r="P401" s="129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</row>
    <row r="402" spans="1:38" s="134" customFormat="1" ht="15.75">
      <c r="A402" s="114" t="s">
        <v>1515</v>
      </c>
      <c r="B402" s="114" t="s">
        <v>1528</v>
      </c>
      <c r="C402" s="114" t="s">
        <v>1515</v>
      </c>
      <c r="D402" s="114" t="s">
        <v>1515</v>
      </c>
      <c r="E402" s="121">
        <v>2000</v>
      </c>
      <c r="F402" s="151" t="s">
        <v>19</v>
      </c>
      <c r="G402" s="345">
        <v>46308</v>
      </c>
      <c r="H402" s="180">
        <v>46308</v>
      </c>
      <c r="I402" s="180">
        <v>46308</v>
      </c>
      <c r="J402" s="311"/>
      <c r="K402" s="113"/>
      <c r="L402"/>
      <c r="M402" s="262"/>
      <c r="N402" s="130"/>
      <c r="O402" s="262"/>
      <c r="P402" s="129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</row>
    <row r="403" spans="1:38" ht="15.75">
      <c r="A403" s="111" t="s">
        <v>1413</v>
      </c>
      <c r="B403" s="111" t="s">
        <v>1591</v>
      </c>
      <c r="C403" s="119" t="s">
        <v>1592</v>
      </c>
      <c r="D403" s="154" t="s">
        <v>1593</v>
      </c>
      <c r="E403" s="167">
        <v>2000</v>
      </c>
      <c r="F403" s="151" t="s">
        <v>19</v>
      </c>
      <c r="G403" s="180">
        <v>46281</v>
      </c>
      <c r="H403" s="180">
        <v>46281</v>
      </c>
      <c r="I403" s="181">
        <v>46281</v>
      </c>
      <c r="J403" s="223" t="s">
        <v>1594</v>
      </c>
      <c r="K403" s="113" t="s">
        <v>1595</v>
      </c>
      <c r="L403" s="45"/>
      <c r="M403" s="122"/>
      <c r="N403" s="122"/>
      <c r="O403" s="262"/>
      <c r="P403" s="113"/>
    </row>
    <row r="404" spans="1:38" ht="15.75">
      <c r="A404" s="114" t="s">
        <v>1272</v>
      </c>
      <c r="B404" s="114" t="s">
        <v>1596</v>
      </c>
      <c r="C404" s="136" t="s">
        <v>1597</v>
      </c>
      <c r="D404" s="136" t="s">
        <v>1597</v>
      </c>
      <c r="E404" s="118">
        <v>42</v>
      </c>
      <c r="F404" s="151" t="s">
        <v>19</v>
      </c>
      <c r="G404" s="117">
        <v>46295</v>
      </c>
      <c r="H404" s="117">
        <v>46295</v>
      </c>
      <c r="I404" s="169">
        <v>46295</v>
      </c>
      <c r="J404" s="166" t="s">
        <v>1597</v>
      </c>
      <c r="K404" s="113" t="s">
        <v>1597</v>
      </c>
      <c r="L404" s="314"/>
      <c r="M404" s="117"/>
      <c r="N404" s="117"/>
      <c r="O404" s="340"/>
      <c r="P404" s="129"/>
    </row>
    <row r="405" spans="1:38" ht="15.75">
      <c r="A405" s="114" t="s">
        <v>1515</v>
      </c>
      <c r="B405" s="114" t="s">
        <v>1528</v>
      </c>
      <c r="C405" s="114" t="s">
        <v>1515</v>
      </c>
      <c r="D405" s="114" t="s">
        <v>1515</v>
      </c>
      <c r="E405" s="121">
        <v>4000</v>
      </c>
      <c r="F405" s="151" t="s">
        <v>19</v>
      </c>
      <c r="G405" s="345">
        <v>46308</v>
      </c>
      <c r="H405" s="180">
        <v>46308</v>
      </c>
      <c r="I405" s="180">
        <v>46308</v>
      </c>
      <c r="J405" s="103"/>
      <c r="K405" s="113"/>
      <c r="M405" s="262"/>
      <c r="N405" s="130"/>
      <c r="O405" s="262"/>
      <c r="P405" s="129"/>
    </row>
    <row r="406" spans="1:38" ht="15.75">
      <c r="A406" s="111" t="s">
        <v>1402</v>
      </c>
      <c r="B406" s="114" t="s">
        <v>1589</v>
      </c>
      <c r="C406" s="136" t="s">
        <v>1460</v>
      </c>
      <c r="D406" s="136">
        <v>513</v>
      </c>
      <c r="E406" s="118">
        <v>4272.6000000000004</v>
      </c>
      <c r="F406" s="108" t="s">
        <v>19</v>
      </c>
      <c r="G406" s="238">
        <v>46297</v>
      </c>
      <c r="H406" s="117">
        <f>G406+10</f>
        <v>46307</v>
      </c>
      <c r="I406" s="180">
        <v>46309</v>
      </c>
      <c r="J406" s="267" t="s">
        <v>1590</v>
      </c>
      <c r="K406" s="113" t="s">
        <v>1405</v>
      </c>
      <c r="L406" s="383"/>
      <c r="M406" s="117"/>
      <c r="N406" s="117"/>
      <c r="O406" s="340"/>
      <c r="P406" s="129"/>
    </row>
    <row r="407" spans="1:38" ht="15.75">
      <c r="A407" s="159" t="s">
        <v>1346</v>
      </c>
      <c r="B407" s="114" t="s">
        <v>1598</v>
      </c>
      <c r="C407" s="270" t="s">
        <v>1599</v>
      </c>
      <c r="D407" s="212">
        <v>0.7</v>
      </c>
      <c r="E407" s="121">
        <f>7000*70%</f>
        <v>4900</v>
      </c>
      <c r="F407" s="117"/>
      <c r="G407" s="180">
        <v>46292</v>
      </c>
      <c r="H407" s="180">
        <v>46293</v>
      </c>
      <c r="I407" s="179">
        <v>46293</v>
      </c>
      <c r="J407" s="196" t="s">
        <v>1407</v>
      </c>
      <c r="K407" s="113"/>
      <c r="L407" s="354"/>
      <c r="M407" s="267"/>
      <c r="N407" s="212"/>
      <c r="O407" s="357"/>
      <c r="P407" s="180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</row>
    <row r="408" spans="1:38" ht="15.75">
      <c r="A408" s="159" t="s">
        <v>1346</v>
      </c>
      <c r="B408" s="114" t="s">
        <v>1600</v>
      </c>
      <c r="C408" s="270" t="s">
        <v>1574</v>
      </c>
      <c r="D408" s="177">
        <v>0.3</v>
      </c>
      <c r="E408" s="121">
        <f>4500*30%</f>
        <v>1350</v>
      </c>
      <c r="F408" s="117"/>
      <c r="G408" s="180">
        <v>46301</v>
      </c>
      <c r="H408" s="180">
        <f>H407+5</f>
        <v>46298</v>
      </c>
      <c r="I408" s="181" t="s">
        <v>1386</v>
      </c>
      <c r="J408" s="152"/>
      <c r="K408" s="113"/>
      <c r="L408" s="354"/>
      <c r="M408" s="267"/>
      <c r="N408" s="212"/>
      <c r="O408" s="357"/>
      <c r="P408" s="180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</row>
    <row r="409" spans="1:38" ht="15.75">
      <c r="A409" s="159" t="s">
        <v>1515</v>
      </c>
      <c r="B409" s="114" t="s">
        <v>1528</v>
      </c>
      <c r="C409" s="114" t="s">
        <v>1515</v>
      </c>
      <c r="D409" s="114" t="s">
        <v>1515</v>
      </c>
      <c r="E409" s="121">
        <v>1000</v>
      </c>
      <c r="F409" s="151" t="s">
        <v>19</v>
      </c>
      <c r="G409" s="180">
        <v>46308</v>
      </c>
      <c r="H409" s="180">
        <v>46308</v>
      </c>
      <c r="I409" s="181">
        <v>46308</v>
      </c>
      <c r="J409" s="311"/>
      <c r="K409" s="113"/>
      <c r="L409" s="313"/>
      <c r="M409" s="130"/>
      <c r="N409" s="130"/>
      <c r="O409" s="262"/>
      <c r="P409" s="129"/>
    </row>
    <row r="410" spans="1:38" ht="15.75">
      <c r="A410" s="159" t="s">
        <v>1346</v>
      </c>
      <c r="B410" s="114" t="s">
        <v>1601</v>
      </c>
      <c r="C410" s="267" t="s">
        <v>1367</v>
      </c>
      <c r="D410" s="177" t="s">
        <v>1602</v>
      </c>
      <c r="E410" s="121">
        <v>300</v>
      </c>
      <c r="F410" s="117"/>
      <c r="G410" s="180">
        <v>46303</v>
      </c>
      <c r="H410" s="180">
        <f>H408+5</f>
        <v>46303</v>
      </c>
      <c r="I410" s="181" t="s">
        <v>1386</v>
      </c>
      <c r="J410" s="121" t="s">
        <v>1527</v>
      </c>
      <c r="K410" s="113"/>
      <c r="L410" s="354"/>
      <c r="M410" s="267"/>
      <c r="N410" s="212"/>
      <c r="O410" s="357"/>
      <c r="P410" s="180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</row>
    <row r="411" spans="1:38" ht="15.75">
      <c r="A411" s="159" t="s">
        <v>1375</v>
      </c>
      <c r="B411" s="114" t="s">
        <v>281</v>
      </c>
      <c r="C411" s="136" t="s">
        <v>1367</v>
      </c>
      <c r="D411" s="136">
        <v>505</v>
      </c>
      <c r="E411" s="121">
        <v>4400</v>
      </c>
      <c r="F411" s="180"/>
      <c r="G411" s="180">
        <v>46294</v>
      </c>
      <c r="H411" s="180">
        <v>46318</v>
      </c>
      <c r="I411" s="169" t="s">
        <v>1386</v>
      </c>
      <c r="J411" s="210" t="s">
        <v>1603</v>
      </c>
      <c r="K411" s="113" t="s">
        <v>1377</v>
      </c>
      <c r="L411" s="397"/>
      <c r="M411" s="136"/>
      <c r="N411" s="121"/>
      <c r="O411" s="386"/>
      <c r="P411" s="180"/>
    </row>
    <row r="412" spans="1:38" ht="15.75">
      <c r="A412" s="159" t="s">
        <v>1515</v>
      </c>
      <c r="B412" s="114" t="s">
        <v>1528</v>
      </c>
      <c r="C412" s="114" t="s">
        <v>1515</v>
      </c>
      <c r="D412" s="114" t="s">
        <v>1515</v>
      </c>
      <c r="E412" s="121">
        <v>1700</v>
      </c>
      <c r="F412" s="151" t="s">
        <v>19</v>
      </c>
      <c r="G412" s="180">
        <v>46308</v>
      </c>
      <c r="H412" s="180">
        <v>46308</v>
      </c>
      <c r="I412" s="180">
        <v>46308</v>
      </c>
      <c r="J412" s="103"/>
      <c r="K412" s="113"/>
      <c r="L412" s="313"/>
      <c r="M412" s="130"/>
      <c r="N412" s="130"/>
      <c r="O412" s="262"/>
      <c r="P412" s="129"/>
    </row>
    <row r="413" spans="1:38" ht="15.75">
      <c r="A413" s="111" t="s">
        <v>1413</v>
      </c>
      <c r="B413" s="111" t="s">
        <v>1604</v>
      </c>
      <c r="C413" s="173" t="s">
        <v>1605</v>
      </c>
      <c r="D413" s="154" t="s">
        <v>1605</v>
      </c>
      <c r="E413" s="118">
        <v>100</v>
      </c>
      <c r="F413" s="151" t="s">
        <v>19</v>
      </c>
      <c r="G413" s="180">
        <v>46281</v>
      </c>
      <c r="H413" s="180">
        <v>46281</v>
      </c>
      <c r="I413" s="181">
        <v>46281</v>
      </c>
      <c r="J413" s="196" t="s">
        <v>1605</v>
      </c>
      <c r="K413" s="113"/>
      <c r="L413" s="337"/>
      <c r="M413" s="119"/>
      <c r="N413" s="154"/>
      <c r="O413" s="339"/>
      <c r="P413" s="117"/>
    </row>
    <row r="414" spans="1:38" s="68" customFormat="1" ht="15.75">
      <c r="A414" s="159" t="s">
        <v>1375</v>
      </c>
      <c r="B414" s="159" t="s">
        <v>281</v>
      </c>
      <c r="C414" s="136" t="s">
        <v>1479</v>
      </c>
      <c r="D414" s="136">
        <v>515</v>
      </c>
      <c r="E414" s="121">
        <v>4400</v>
      </c>
      <c r="F414" s="108" t="s">
        <v>19</v>
      </c>
      <c r="G414" s="181">
        <v>46298</v>
      </c>
      <c r="H414" s="180">
        <v>46318</v>
      </c>
      <c r="I414" s="180">
        <v>46309</v>
      </c>
      <c r="J414" s="267" t="s">
        <v>1606</v>
      </c>
      <c r="K414" s="113" t="s">
        <v>1377</v>
      </c>
      <c r="L414" s="346"/>
      <c r="M414" s="183"/>
      <c r="N414" s="174"/>
      <c r="O414" s="348"/>
      <c r="P414" s="18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</row>
    <row r="415" spans="1:38" s="68" customFormat="1" ht="15.75">
      <c r="A415" s="159" t="s">
        <v>1375</v>
      </c>
      <c r="B415" s="159" t="s">
        <v>281</v>
      </c>
      <c r="C415" s="136" t="s">
        <v>1479</v>
      </c>
      <c r="D415" s="136">
        <v>516</v>
      </c>
      <c r="E415" s="121">
        <v>4400</v>
      </c>
      <c r="F415" s="108" t="s">
        <v>19</v>
      </c>
      <c r="G415" s="181">
        <v>46298</v>
      </c>
      <c r="H415" s="180">
        <v>46318</v>
      </c>
      <c r="I415" s="180">
        <v>46309</v>
      </c>
      <c r="J415" s="267" t="s">
        <v>1606</v>
      </c>
      <c r="K415" s="113" t="s">
        <v>1377</v>
      </c>
      <c r="L415" s="346"/>
      <c r="M415" s="183"/>
      <c r="N415" s="174"/>
      <c r="O415" s="348"/>
      <c r="P415" s="18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</row>
    <row r="416" spans="1:38" ht="15.75">
      <c r="A416" s="159" t="s">
        <v>1375</v>
      </c>
      <c r="B416" s="159" t="s">
        <v>281</v>
      </c>
      <c r="C416" s="136" t="s">
        <v>1584</v>
      </c>
      <c r="D416" s="136">
        <v>517</v>
      </c>
      <c r="E416" s="121">
        <v>4400</v>
      </c>
      <c r="F416" s="108" t="s">
        <v>19</v>
      </c>
      <c r="G416" s="181">
        <v>46298</v>
      </c>
      <c r="H416" s="180">
        <v>46318</v>
      </c>
      <c r="I416" s="180">
        <v>46309</v>
      </c>
      <c r="J416" s="267" t="s">
        <v>1606</v>
      </c>
      <c r="K416" s="113" t="s">
        <v>1377</v>
      </c>
      <c r="L416" s="134"/>
      <c r="M416" s="183"/>
      <c r="N416" s="174"/>
      <c r="O416" s="134"/>
      <c r="P416" s="18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4"/>
      <c r="AI416" s="134"/>
      <c r="AJ416" s="134"/>
      <c r="AK416" s="134"/>
      <c r="AL416" s="134"/>
    </row>
    <row r="417" spans="1:38" ht="15.75">
      <c r="A417" s="114" t="s">
        <v>1375</v>
      </c>
      <c r="B417" s="114" t="s">
        <v>281</v>
      </c>
      <c r="C417" s="136" t="s">
        <v>1584</v>
      </c>
      <c r="D417" s="136">
        <v>518</v>
      </c>
      <c r="E417" s="121">
        <v>4400</v>
      </c>
      <c r="F417" s="108" t="s">
        <v>19</v>
      </c>
      <c r="G417" s="180">
        <v>46298</v>
      </c>
      <c r="H417" s="180">
        <v>46318</v>
      </c>
      <c r="I417" s="180">
        <v>46309</v>
      </c>
      <c r="J417" s="267" t="s">
        <v>1606</v>
      </c>
      <c r="K417" s="113" t="s">
        <v>1377</v>
      </c>
      <c r="L417" s="134"/>
      <c r="M417" s="183"/>
      <c r="N417" s="174"/>
      <c r="O417" s="134"/>
      <c r="P417" s="18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4"/>
      <c r="AI417" s="134"/>
      <c r="AJ417" s="134"/>
      <c r="AK417" s="134"/>
      <c r="AL417" s="134"/>
    </row>
    <row r="418" spans="1:38" ht="15.75">
      <c r="A418" s="165" t="s">
        <v>1607</v>
      </c>
      <c r="B418" s="245" t="s">
        <v>1608</v>
      </c>
      <c r="C418" s="105" t="s">
        <v>1412</v>
      </c>
      <c r="D418" s="105" t="s">
        <v>1609</v>
      </c>
      <c r="E418" s="106">
        <v>2500</v>
      </c>
      <c r="F418" s="107" t="s">
        <v>896</v>
      </c>
      <c r="G418" s="168">
        <v>46245</v>
      </c>
      <c r="H418" s="108">
        <v>46268</v>
      </c>
      <c r="I418" s="117" t="s">
        <v>1610</v>
      </c>
      <c r="J418" s="103"/>
      <c r="K418" s="113" t="s">
        <v>1507</v>
      </c>
      <c r="M418" s="234"/>
      <c r="N418" s="122"/>
      <c r="P418" s="113"/>
    </row>
    <row r="419" spans="1:38" ht="15.75">
      <c r="A419" s="165" t="s">
        <v>1611</v>
      </c>
      <c r="B419" s="245" t="s">
        <v>1612</v>
      </c>
      <c r="C419" s="105" t="s">
        <v>1609</v>
      </c>
      <c r="D419" s="105" t="s">
        <v>1609</v>
      </c>
      <c r="E419" s="106">
        <v>90250</v>
      </c>
      <c r="F419" s="107" t="s">
        <v>326</v>
      </c>
      <c r="G419" s="168">
        <v>46230</v>
      </c>
      <c r="H419" s="108">
        <v>46230</v>
      </c>
      <c r="I419" s="108">
        <v>46230</v>
      </c>
      <c r="J419" s="112" t="s">
        <v>1445</v>
      </c>
      <c r="K419" s="113" t="s">
        <v>1377</v>
      </c>
      <c r="L419" s="14"/>
      <c r="M419" s="559"/>
      <c r="N419" s="149"/>
      <c r="O419" s="14"/>
      <c r="P419" s="560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</row>
    <row r="420" spans="1:38" ht="15.75">
      <c r="A420" s="245" t="s">
        <v>1611</v>
      </c>
      <c r="B420" s="165" t="s">
        <v>1612</v>
      </c>
      <c r="C420" s="119" t="s">
        <v>1609</v>
      </c>
      <c r="D420" s="104" t="s">
        <v>1613</v>
      </c>
      <c r="E420" s="110">
        <v>46000</v>
      </c>
      <c r="F420" s="120" t="s">
        <v>896</v>
      </c>
      <c r="G420" s="117">
        <v>46240</v>
      </c>
      <c r="H420" s="217">
        <v>46254</v>
      </c>
      <c r="I420" s="217">
        <v>46255</v>
      </c>
      <c r="J420" s="199"/>
      <c r="K420" s="113" t="s">
        <v>1377</v>
      </c>
      <c r="L420" s="14"/>
      <c r="M420" s="327"/>
      <c r="N420" s="329"/>
      <c r="O420" s="14"/>
      <c r="P420" s="318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</row>
    <row r="421" spans="1:38" ht="15.75">
      <c r="A421" s="165" t="s">
        <v>902</v>
      </c>
      <c r="B421" s="245" t="s">
        <v>1516</v>
      </c>
      <c r="C421" s="105" t="s">
        <v>902</v>
      </c>
      <c r="D421" s="105" t="s">
        <v>902</v>
      </c>
      <c r="E421" s="106">
        <v>7400</v>
      </c>
      <c r="F421" s="107" t="s">
        <v>896</v>
      </c>
      <c r="G421" s="168">
        <v>46241</v>
      </c>
      <c r="H421" s="108">
        <v>46241</v>
      </c>
      <c r="I421" s="108">
        <v>46241</v>
      </c>
      <c r="J421" s="112"/>
      <c r="K421" s="113"/>
      <c r="L421" s="14"/>
      <c r="M421" s="559"/>
      <c r="N421" s="149"/>
      <c r="O421" s="14"/>
      <c r="P421" s="560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</row>
    <row r="422" spans="1:38" ht="15.75">
      <c r="A422" s="165" t="s">
        <v>902</v>
      </c>
      <c r="B422" s="245" t="s">
        <v>1516</v>
      </c>
      <c r="C422" s="105" t="s">
        <v>902</v>
      </c>
      <c r="D422" s="105" t="s">
        <v>902</v>
      </c>
      <c r="E422" s="106">
        <v>9200</v>
      </c>
      <c r="F422" s="107" t="s">
        <v>896</v>
      </c>
      <c r="G422" s="168">
        <v>46241</v>
      </c>
      <c r="H422" s="108">
        <v>46241</v>
      </c>
      <c r="I422" s="108">
        <v>46241</v>
      </c>
      <c r="J422" s="112"/>
      <c r="K422" s="113"/>
      <c r="L422" s="14"/>
      <c r="M422" s="559"/>
      <c r="N422" s="149"/>
      <c r="O422" s="14"/>
      <c r="P422" s="560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</row>
    <row r="423" spans="1:38" ht="15.75">
      <c r="A423" s="165" t="s">
        <v>902</v>
      </c>
      <c r="B423" s="246" t="s">
        <v>1614</v>
      </c>
      <c r="C423" s="105" t="s">
        <v>902</v>
      </c>
      <c r="D423" s="105" t="s">
        <v>902</v>
      </c>
      <c r="E423" s="121">
        <v>35000</v>
      </c>
      <c r="F423" s="107" t="s">
        <v>1615</v>
      </c>
      <c r="G423" s="168">
        <v>46244</v>
      </c>
      <c r="H423" s="108">
        <v>46244</v>
      </c>
      <c r="I423" s="108">
        <v>46244</v>
      </c>
      <c r="J423" s="112"/>
      <c r="K423" s="113"/>
      <c r="L423" s="102"/>
      <c r="M423" s="240"/>
      <c r="N423" s="211"/>
      <c r="O423" s="102"/>
      <c r="P423" s="117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</row>
    <row r="424" spans="1:38" ht="15.75">
      <c r="A424" s="165" t="s">
        <v>902</v>
      </c>
      <c r="B424" s="245" t="s">
        <v>1516</v>
      </c>
      <c r="C424" s="105" t="s">
        <v>902</v>
      </c>
      <c r="D424" s="105" t="s">
        <v>902</v>
      </c>
      <c r="E424" s="106">
        <v>15000</v>
      </c>
      <c r="F424" s="107" t="s">
        <v>896</v>
      </c>
      <c r="G424" s="168">
        <v>46246</v>
      </c>
      <c r="H424" s="108">
        <v>46246</v>
      </c>
      <c r="I424" s="108">
        <v>46246</v>
      </c>
      <c r="J424" s="113"/>
      <c r="K424" s="113"/>
      <c r="L424" s="14"/>
      <c r="M424" s="559"/>
      <c r="N424" s="149"/>
      <c r="O424" s="14"/>
      <c r="P424" s="560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</row>
    <row r="425" spans="1:38" ht="15.75">
      <c r="A425" s="165" t="s">
        <v>902</v>
      </c>
      <c r="B425" s="245" t="s">
        <v>1516</v>
      </c>
      <c r="C425" s="105" t="s">
        <v>902</v>
      </c>
      <c r="D425" s="105" t="s">
        <v>902</v>
      </c>
      <c r="E425" s="106">
        <v>3000</v>
      </c>
      <c r="F425" s="107" t="s">
        <v>896</v>
      </c>
      <c r="G425" s="168">
        <v>46246</v>
      </c>
      <c r="H425" s="108">
        <v>46246</v>
      </c>
      <c r="I425" s="108">
        <v>46246</v>
      </c>
      <c r="J425" s="113"/>
      <c r="K425" s="113"/>
      <c r="L425" s="14"/>
      <c r="M425" s="559"/>
      <c r="N425" s="149"/>
      <c r="O425" s="14"/>
      <c r="P425" s="560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</row>
    <row r="426" spans="1:38" ht="15.75">
      <c r="A426" s="165" t="s">
        <v>1515</v>
      </c>
      <c r="B426" s="165" t="s">
        <v>1528</v>
      </c>
      <c r="C426" s="173" t="s">
        <v>902</v>
      </c>
      <c r="D426" s="154" t="s">
        <v>902</v>
      </c>
      <c r="E426" s="118">
        <v>4000</v>
      </c>
      <c r="F426" s="151" t="s">
        <v>19</v>
      </c>
      <c r="G426" s="181">
        <v>46280</v>
      </c>
      <c r="H426" s="180">
        <v>46280</v>
      </c>
      <c r="I426" s="180">
        <v>46280</v>
      </c>
      <c r="J426" s="158"/>
      <c r="K426" s="113"/>
      <c r="L426" s="197"/>
      <c r="M426" s="261"/>
      <c r="N426" s="154"/>
      <c r="O426" s="233"/>
      <c r="P426" s="117"/>
    </row>
    <row r="427" spans="1:38" ht="15.75">
      <c r="A427" s="165" t="s">
        <v>1515</v>
      </c>
      <c r="B427" s="165" t="s">
        <v>1516</v>
      </c>
      <c r="C427" s="173" t="s">
        <v>902</v>
      </c>
      <c r="D427" s="154" t="s">
        <v>902</v>
      </c>
      <c r="E427" s="118">
        <v>600</v>
      </c>
      <c r="F427" s="151" t="s">
        <v>19</v>
      </c>
      <c r="G427" s="181">
        <v>46280</v>
      </c>
      <c r="H427" s="180">
        <v>46280</v>
      </c>
      <c r="I427" s="180">
        <v>46280</v>
      </c>
      <c r="J427" s="158"/>
      <c r="K427" s="113"/>
      <c r="L427" s="197"/>
      <c r="M427" s="261"/>
      <c r="N427" s="154"/>
      <c r="O427" s="233"/>
      <c r="P427" s="117"/>
    </row>
    <row r="428" spans="1:38" ht="15.75">
      <c r="A428" s="165" t="s">
        <v>1515</v>
      </c>
      <c r="B428" s="165" t="s">
        <v>1528</v>
      </c>
      <c r="C428" s="173" t="s">
        <v>902</v>
      </c>
      <c r="D428" s="154" t="s">
        <v>902</v>
      </c>
      <c r="E428" s="118">
        <v>4150</v>
      </c>
      <c r="F428" s="308" t="s">
        <v>19</v>
      </c>
      <c r="G428" s="181">
        <v>46280</v>
      </c>
      <c r="H428" s="180">
        <v>46280</v>
      </c>
      <c r="I428" s="180">
        <v>46280</v>
      </c>
      <c r="J428" s="158"/>
      <c r="K428" s="113"/>
      <c r="L428" s="197"/>
      <c r="M428" s="261"/>
      <c r="N428" s="154"/>
      <c r="O428" s="233"/>
      <c r="P428" s="117"/>
    </row>
    <row r="429" spans="1:38" ht="15.75">
      <c r="A429" s="165" t="s">
        <v>1515</v>
      </c>
      <c r="B429" s="159" t="s">
        <v>1516</v>
      </c>
      <c r="C429" s="183" t="s">
        <v>902</v>
      </c>
      <c r="D429" s="136" t="s">
        <v>902</v>
      </c>
      <c r="E429" s="118">
        <v>3700</v>
      </c>
      <c r="F429" s="308" t="s">
        <v>19</v>
      </c>
      <c r="G429" s="169"/>
      <c r="H429" s="180">
        <v>46294</v>
      </c>
      <c r="I429" s="180">
        <v>46294</v>
      </c>
      <c r="J429" s="136"/>
      <c r="K429" s="113"/>
      <c r="L429" s="233"/>
      <c r="M429" s="240"/>
      <c r="N429" s="117"/>
      <c r="O429" s="282"/>
      <c r="P429" s="129"/>
    </row>
    <row r="430" spans="1:38" ht="15.75">
      <c r="A430" s="165" t="s">
        <v>1515</v>
      </c>
      <c r="B430" s="159" t="s">
        <v>1516</v>
      </c>
      <c r="C430" s="183" t="s">
        <v>902</v>
      </c>
      <c r="D430" s="136" t="s">
        <v>902</v>
      </c>
      <c r="E430" s="118">
        <v>2100</v>
      </c>
      <c r="F430" s="308" t="s">
        <v>19</v>
      </c>
      <c r="G430" s="169"/>
      <c r="H430" s="180">
        <v>46294</v>
      </c>
      <c r="I430" s="180">
        <v>46294</v>
      </c>
      <c r="J430" s="136"/>
      <c r="K430" s="113"/>
      <c r="L430" s="233"/>
      <c r="M430" s="240"/>
      <c r="N430" s="117"/>
      <c r="O430" s="282"/>
      <c r="P430" s="129"/>
    </row>
    <row r="431" spans="1:38" ht="15.75">
      <c r="A431" s="159" t="s">
        <v>1375</v>
      </c>
      <c r="B431" s="159" t="s">
        <v>281</v>
      </c>
      <c r="C431" s="136" t="s">
        <v>1348</v>
      </c>
      <c r="D431" s="136">
        <v>519</v>
      </c>
      <c r="E431" s="121">
        <v>4400</v>
      </c>
      <c r="F431" s="108" t="s">
        <v>19</v>
      </c>
      <c r="G431" s="181">
        <v>46298</v>
      </c>
      <c r="H431" s="180">
        <v>46318</v>
      </c>
      <c r="I431" s="180">
        <v>46309</v>
      </c>
      <c r="J431" s="267" t="s">
        <v>1606</v>
      </c>
      <c r="K431" s="113" t="s">
        <v>1377</v>
      </c>
      <c r="L431" s="134"/>
      <c r="M431" s="183"/>
      <c r="N431" s="174"/>
      <c r="O431" s="134"/>
      <c r="P431" s="18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4"/>
      <c r="AI431" s="134"/>
      <c r="AJ431" s="134"/>
      <c r="AK431" s="134"/>
      <c r="AL431" s="134"/>
    </row>
    <row r="432" spans="1:38" ht="15.75">
      <c r="A432" s="159" t="s">
        <v>1375</v>
      </c>
      <c r="B432" s="159" t="s">
        <v>281</v>
      </c>
      <c r="C432" s="136" t="s">
        <v>1367</v>
      </c>
      <c r="D432" s="136">
        <v>506</v>
      </c>
      <c r="E432" s="121">
        <v>4400</v>
      </c>
      <c r="F432" s="180"/>
      <c r="G432" s="180">
        <v>46294</v>
      </c>
      <c r="H432" s="180">
        <v>46318</v>
      </c>
      <c r="I432" s="117" t="s">
        <v>1386</v>
      </c>
      <c r="J432" s="114" t="s">
        <v>1603</v>
      </c>
      <c r="K432" s="113" t="s">
        <v>1377</v>
      </c>
      <c r="L432" s="216"/>
      <c r="M432" s="136"/>
      <c r="N432" s="121"/>
      <c r="O432" s="283"/>
      <c r="P432" s="180"/>
    </row>
    <row r="433" spans="1:38" ht="15.75">
      <c r="A433" s="159" t="s">
        <v>1375</v>
      </c>
      <c r="B433" s="159" t="s">
        <v>281</v>
      </c>
      <c r="C433" s="136" t="s">
        <v>1348</v>
      </c>
      <c r="D433" s="136">
        <v>520</v>
      </c>
      <c r="E433" s="121">
        <v>4400</v>
      </c>
      <c r="F433" s="169"/>
      <c r="G433" s="169">
        <v>46298</v>
      </c>
      <c r="H433" s="180">
        <v>46318</v>
      </c>
      <c r="I433" s="117" t="s">
        <v>1386</v>
      </c>
      <c r="J433" s="267" t="s">
        <v>1616</v>
      </c>
      <c r="K433" s="113" t="s">
        <v>1377</v>
      </c>
      <c r="M433" s="136"/>
      <c r="N433" s="121"/>
      <c r="P433" s="180"/>
    </row>
    <row r="434" spans="1:38" ht="15.75">
      <c r="A434" s="159" t="s">
        <v>1375</v>
      </c>
      <c r="B434" s="159" t="s">
        <v>281</v>
      </c>
      <c r="C434" s="136" t="s">
        <v>1458</v>
      </c>
      <c r="D434" s="136">
        <v>521</v>
      </c>
      <c r="E434" s="121">
        <v>4400</v>
      </c>
      <c r="F434" s="169"/>
      <c r="G434" s="169">
        <v>46299</v>
      </c>
      <c r="H434" s="180">
        <v>46318</v>
      </c>
      <c r="I434" s="117" t="s">
        <v>1386</v>
      </c>
      <c r="J434" s="267" t="s">
        <v>1616</v>
      </c>
      <c r="K434" s="113" t="s">
        <v>1377</v>
      </c>
      <c r="M434" s="136"/>
      <c r="N434" s="121"/>
      <c r="P434" s="180"/>
    </row>
    <row r="435" spans="1:38" ht="15.75">
      <c r="A435" s="159" t="s">
        <v>1375</v>
      </c>
      <c r="B435" s="159" t="s">
        <v>281</v>
      </c>
      <c r="C435" s="136" t="s">
        <v>1458</v>
      </c>
      <c r="D435" s="136">
        <v>522</v>
      </c>
      <c r="E435" s="121">
        <v>4400</v>
      </c>
      <c r="F435" s="169"/>
      <c r="G435" s="169">
        <v>46299</v>
      </c>
      <c r="H435" s="180">
        <v>46318</v>
      </c>
      <c r="I435" s="117" t="s">
        <v>1386</v>
      </c>
      <c r="J435" s="267" t="s">
        <v>1616</v>
      </c>
      <c r="K435" s="113" t="s">
        <v>1377</v>
      </c>
      <c r="M435" s="136"/>
      <c r="N435" s="121"/>
      <c r="P435" s="180"/>
    </row>
    <row r="436" spans="1:38" ht="15.75">
      <c r="A436" s="159" t="s">
        <v>1375</v>
      </c>
      <c r="B436" s="159" t="s">
        <v>281</v>
      </c>
      <c r="C436" s="136" t="s">
        <v>1574</v>
      </c>
      <c r="D436" s="136">
        <v>524</v>
      </c>
      <c r="E436" s="118">
        <v>4400</v>
      </c>
      <c r="F436" s="169"/>
      <c r="G436" s="169">
        <v>46299</v>
      </c>
      <c r="H436" s="180">
        <v>46318</v>
      </c>
      <c r="I436" s="117" t="s">
        <v>1386</v>
      </c>
      <c r="J436" s="267" t="s">
        <v>1616</v>
      </c>
      <c r="K436" s="113" t="s">
        <v>1377</v>
      </c>
      <c r="M436" s="136"/>
      <c r="N436" s="121"/>
      <c r="P436" s="180"/>
    </row>
    <row r="437" spans="1:38" ht="15.75">
      <c r="A437" s="159" t="s">
        <v>1375</v>
      </c>
      <c r="B437" s="159" t="s">
        <v>281</v>
      </c>
      <c r="C437" s="136" t="s">
        <v>1574</v>
      </c>
      <c r="D437" s="136">
        <v>525</v>
      </c>
      <c r="E437" s="118">
        <v>4400</v>
      </c>
      <c r="F437" s="169"/>
      <c r="G437" s="169">
        <v>46299</v>
      </c>
      <c r="H437" s="180">
        <v>46318</v>
      </c>
      <c r="I437" s="117" t="s">
        <v>1386</v>
      </c>
      <c r="J437" s="267" t="s">
        <v>1616</v>
      </c>
      <c r="K437" s="113" t="s">
        <v>1377</v>
      </c>
      <c r="M437" s="136"/>
      <c r="N437" s="121"/>
      <c r="P437" s="180"/>
    </row>
    <row r="438" spans="1:38" ht="15.75">
      <c r="A438" s="159" t="s">
        <v>1346</v>
      </c>
      <c r="B438" s="159" t="s">
        <v>1617</v>
      </c>
      <c r="C438" s="267" t="s">
        <v>1618</v>
      </c>
      <c r="D438" s="177">
        <v>0.3</v>
      </c>
      <c r="E438" s="121">
        <f>5400*30%</f>
        <v>1620</v>
      </c>
      <c r="F438" s="169"/>
      <c r="G438" s="181">
        <v>46309</v>
      </c>
      <c r="H438" s="180">
        <f>G438+10</f>
        <v>46319</v>
      </c>
      <c r="I438" s="180" t="s">
        <v>1386</v>
      </c>
      <c r="J438" s="112" t="s">
        <v>1527</v>
      </c>
      <c r="K438" s="113"/>
      <c r="M438" s="262"/>
      <c r="N438" s="130"/>
      <c r="P438" s="129"/>
    </row>
    <row r="439" spans="1:38" ht="15.75">
      <c r="A439" s="159" t="s">
        <v>1619</v>
      </c>
      <c r="B439" s="159" t="s">
        <v>1620</v>
      </c>
      <c r="C439" s="119" t="s">
        <v>1458</v>
      </c>
      <c r="D439" s="136">
        <v>560</v>
      </c>
      <c r="E439" s="118">
        <v>15042</v>
      </c>
      <c r="F439" s="167"/>
      <c r="G439" s="169">
        <v>46311</v>
      </c>
      <c r="H439" s="117">
        <v>46321</v>
      </c>
      <c r="I439" s="117" t="s">
        <v>1621</v>
      </c>
      <c r="J439" s="112" t="s">
        <v>1622</v>
      </c>
      <c r="K439" s="113"/>
      <c r="M439" s="262"/>
      <c r="N439" s="130"/>
      <c r="P439" s="129"/>
    </row>
    <row r="440" spans="1:38" ht="15.75">
      <c r="A440" s="159" t="s">
        <v>1402</v>
      </c>
      <c r="B440" s="159" t="s">
        <v>1623</v>
      </c>
      <c r="C440" s="135" t="s">
        <v>1460</v>
      </c>
      <c r="D440" s="136">
        <v>529</v>
      </c>
      <c r="E440" s="121">
        <v>560</v>
      </c>
      <c r="F440" s="168" t="s">
        <v>19</v>
      </c>
      <c r="G440" s="181">
        <v>46302</v>
      </c>
      <c r="H440" s="180">
        <f>G440+5</f>
        <v>46307</v>
      </c>
      <c r="I440" s="180">
        <v>46308</v>
      </c>
      <c r="J440" s="114" t="s">
        <v>1624</v>
      </c>
      <c r="K440" s="113" t="s">
        <v>1405</v>
      </c>
      <c r="L440" s="216"/>
      <c r="M440" s="235"/>
      <c r="N440" s="121"/>
      <c r="O440" s="283"/>
      <c r="P440" s="180"/>
    </row>
    <row r="441" spans="1:38" ht="15.75">
      <c r="A441" s="159" t="s">
        <v>1402</v>
      </c>
      <c r="B441" s="159" t="s">
        <v>1623</v>
      </c>
      <c r="C441" s="135" t="s">
        <v>1460</v>
      </c>
      <c r="D441" s="136">
        <v>529</v>
      </c>
      <c r="E441" s="121">
        <v>240</v>
      </c>
      <c r="F441" s="108" t="s">
        <v>19</v>
      </c>
      <c r="G441" s="181">
        <v>46302</v>
      </c>
      <c r="H441" s="180">
        <f>G441+5</f>
        <v>46307</v>
      </c>
      <c r="I441" s="180">
        <v>46309</v>
      </c>
      <c r="J441" s="114" t="s">
        <v>1624</v>
      </c>
      <c r="K441" s="113" t="s">
        <v>1405</v>
      </c>
      <c r="L441" s="216"/>
      <c r="M441" s="235"/>
      <c r="N441" s="121"/>
      <c r="O441" s="283"/>
      <c r="P441" s="180"/>
    </row>
    <row r="442" spans="1:38" ht="15.75">
      <c r="A442" s="159" t="s">
        <v>1619</v>
      </c>
      <c r="B442" s="159" t="s">
        <v>1625</v>
      </c>
      <c r="C442" s="119" t="s">
        <v>1467</v>
      </c>
      <c r="D442" s="136">
        <v>561</v>
      </c>
      <c r="E442" s="118">
        <v>14242</v>
      </c>
      <c r="F442" s="167"/>
      <c r="G442" s="169">
        <v>46311</v>
      </c>
      <c r="H442" s="117">
        <v>46321</v>
      </c>
      <c r="I442" s="117" t="s">
        <v>1626</v>
      </c>
      <c r="J442" s="112" t="s">
        <v>1627</v>
      </c>
      <c r="K442" s="113"/>
      <c r="M442" s="262"/>
      <c r="N442" s="130"/>
      <c r="P442" s="129"/>
    </row>
    <row r="443" spans="1:38" ht="15.75">
      <c r="A443" s="159" t="s">
        <v>1619</v>
      </c>
      <c r="B443" s="159" t="s">
        <v>1628</v>
      </c>
      <c r="C443" s="119" t="s">
        <v>1579</v>
      </c>
      <c r="D443" s="136">
        <v>562</v>
      </c>
      <c r="E443" s="118">
        <v>14242</v>
      </c>
      <c r="F443" s="167"/>
      <c r="G443" s="169">
        <v>46311</v>
      </c>
      <c r="H443" s="117">
        <v>46321</v>
      </c>
      <c r="I443" s="117" t="s">
        <v>1626</v>
      </c>
      <c r="J443" s="112" t="s">
        <v>1629</v>
      </c>
      <c r="K443" s="113"/>
      <c r="M443" s="262"/>
      <c r="N443" s="130"/>
      <c r="P443" s="129"/>
    </row>
    <row r="444" spans="1:38" ht="15.75">
      <c r="A444" s="159" t="s">
        <v>1410</v>
      </c>
      <c r="B444" s="159" t="s">
        <v>1411</v>
      </c>
      <c r="C444" s="136" t="s">
        <v>1412</v>
      </c>
      <c r="D444" s="166">
        <v>526</v>
      </c>
      <c r="E444" s="127">
        <v>32000</v>
      </c>
      <c r="F444" s="151" t="s">
        <v>19</v>
      </c>
      <c r="G444" s="180">
        <v>46301</v>
      </c>
      <c r="H444" s="180">
        <v>46322</v>
      </c>
      <c r="I444" s="180" t="s">
        <v>1386</v>
      </c>
      <c r="J444" s="203"/>
      <c r="K444" s="113"/>
      <c r="L444" s="382"/>
      <c r="M444" s="113"/>
      <c r="N444" s="154"/>
      <c r="P444" s="180"/>
    </row>
    <row r="445" spans="1:38" ht="15.75">
      <c r="A445" s="159" t="s">
        <v>1346</v>
      </c>
      <c r="B445" s="159" t="s">
        <v>1630</v>
      </c>
      <c r="C445" s="270" t="s">
        <v>1367</v>
      </c>
      <c r="D445" s="239">
        <v>0.3</v>
      </c>
      <c r="E445" s="127">
        <f>5400*30%+140</f>
        <v>1760</v>
      </c>
      <c r="F445" s="147">
        <v>1620</v>
      </c>
      <c r="G445" s="180">
        <v>46303</v>
      </c>
      <c r="H445" s="180">
        <f>H444+5</f>
        <v>46327</v>
      </c>
      <c r="I445" s="180" t="s">
        <v>1386</v>
      </c>
      <c r="J445" s="127" t="s">
        <v>1527</v>
      </c>
      <c r="K445" s="113"/>
      <c r="L445" s="385"/>
      <c r="M445" s="267"/>
      <c r="N445" s="212"/>
      <c r="O445" s="68"/>
      <c r="P445" s="180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</row>
    <row r="446" spans="1:38" ht="15.75">
      <c r="A446" s="159" t="s">
        <v>1375</v>
      </c>
      <c r="B446" s="159" t="s">
        <v>281</v>
      </c>
      <c r="C446" s="166" t="s">
        <v>1467</v>
      </c>
      <c r="D446" s="166">
        <v>527</v>
      </c>
      <c r="E446" s="167">
        <v>4400</v>
      </c>
      <c r="F446" s="117"/>
      <c r="G446" s="117">
        <v>46301</v>
      </c>
      <c r="H446" s="180">
        <v>46325</v>
      </c>
      <c r="I446" s="117" t="s">
        <v>1386</v>
      </c>
      <c r="J446" s="270" t="s">
        <v>1631</v>
      </c>
      <c r="K446" s="113" t="s">
        <v>1377</v>
      </c>
      <c r="L446" s="242"/>
      <c r="M446" s="113"/>
      <c r="N446" s="154"/>
      <c r="P446" s="180"/>
    </row>
    <row r="447" spans="1:38" ht="15.75">
      <c r="A447" s="159" t="s">
        <v>1375</v>
      </c>
      <c r="B447" s="114" t="s">
        <v>281</v>
      </c>
      <c r="C447" s="136" t="s">
        <v>1467</v>
      </c>
      <c r="D447" s="136">
        <v>528</v>
      </c>
      <c r="E447" s="118">
        <v>4400</v>
      </c>
      <c r="F447" s="117"/>
      <c r="G447" s="117">
        <v>46301</v>
      </c>
      <c r="H447" s="180">
        <v>46325</v>
      </c>
      <c r="I447" s="117" t="s">
        <v>1386</v>
      </c>
      <c r="J447" s="270" t="s">
        <v>1631</v>
      </c>
      <c r="K447" s="113" t="s">
        <v>1377</v>
      </c>
      <c r="L447" s="242"/>
      <c r="M447" s="171"/>
      <c r="N447" s="178"/>
      <c r="P447" s="180"/>
    </row>
    <row r="448" spans="1:38" s="134" customFormat="1" ht="15.75">
      <c r="A448" s="114" t="s">
        <v>1375</v>
      </c>
      <c r="B448" s="114" t="s">
        <v>281</v>
      </c>
      <c r="C448" s="136" t="s">
        <v>1348</v>
      </c>
      <c r="D448" s="136">
        <v>530</v>
      </c>
      <c r="E448" s="118">
        <v>4400</v>
      </c>
      <c r="F448" s="117"/>
      <c r="G448" s="117">
        <v>46302</v>
      </c>
      <c r="H448" s="180">
        <v>46325</v>
      </c>
      <c r="I448" s="117" t="s">
        <v>1386</v>
      </c>
      <c r="J448" s="267" t="s">
        <v>1632</v>
      </c>
      <c r="K448" s="113" t="s">
        <v>1377</v>
      </c>
      <c r="L448" s="130"/>
      <c r="M448" s="113"/>
      <c r="N448" s="154"/>
      <c r="O448" s="130"/>
      <c r="P448" s="180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</row>
    <row r="449" spans="1:38" ht="15.75">
      <c r="A449" s="114" t="s">
        <v>1375</v>
      </c>
      <c r="B449" s="114" t="s">
        <v>281</v>
      </c>
      <c r="C449" s="136" t="s">
        <v>1348</v>
      </c>
      <c r="D449" s="136">
        <v>531</v>
      </c>
      <c r="E449" s="118">
        <v>4400</v>
      </c>
      <c r="F449" s="217"/>
      <c r="G449" s="376">
        <v>46302</v>
      </c>
      <c r="H449" s="180">
        <v>46325</v>
      </c>
      <c r="I449" s="117" t="s">
        <v>1386</v>
      </c>
      <c r="J449" s="267" t="s">
        <v>1632</v>
      </c>
      <c r="K449" s="113" t="s">
        <v>1377</v>
      </c>
      <c r="M449" s="113"/>
      <c r="N449" s="154"/>
      <c r="P449" s="180"/>
    </row>
    <row r="450" spans="1:38" s="134" customFormat="1" ht="15.75">
      <c r="A450" s="159" t="s">
        <v>1375</v>
      </c>
      <c r="B450" s="159" t="s">
        <v>281</v>
      </c>
      <c r="C450" s="136" t="s">
        <v>1579</v>
      </c>
      <c r="D450" s="136">
        <v>532</v>
      </c>
      <c r="E450" s="118">
        <v>4400</v>
      </c>
      <c r="F450" s="117"/>
      <c r="G450" s="117">
        <v>46302</v>
      </c>
      <c r="H450" s="180">
        <v>46325</v>
      </c>
      <c r="I450" s="117" t="s">
        <v>1386</v>
      </c>
      <c r="J450" s="270" t="s">
        <v>1632</v>
      </c>
      <c r="K450" s="113" t="s">
        <v>1377</v>
      </c>
      <c r="L450" s="130"/>
      <c r="M450" s="113"/>
      <c r="N450" s="154"/>
      <c r="O450" s="130"/>
      <c r="P450" s="18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</row>
    <row r="451" spans="1:38" ht="15.75">
      <c r="A451" s="159" t="s">
        <v>1633</v>
      </c>
      <c r="B451" s="159" t="s">
        <v>1633</v>
      </c>
      <c r="C451" s="136" t="s">
        <v>1361</v>
      </c>
      <c r="D451" s="136" t="s">
        <v>1398</v>
      </c>
      <c r="E451" s="121">
        <v>2600</v>
      </c>
      <c r="F451" s="151" t="s">
        <v>19</v>
      </c>
      <c r="G451" s="180">
        <v>46275</v>
      </c>
      <c r="H451" s="180">
        <v>46276</v>
      </c>
      <c r="I451" s="180">
        <v>46276</v>
      </c>
      <c r="J451" s="159" t="s">
        <v>1634</v>
      </c>
      <c r="K451" s="113"/>
      <c r="L451" s="324"/>
      <c r="M451" s="265"/>
      <c r="N451" s="265"/>
      <c r="O451" s="287"/>
      <c r="P451" s="267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</row>
    <row r="452" spans="1:38" s="134" customFormat="1" ht="15.75">
      <c r="A452" s="114" t="s">
        <v>1375</v>
      </c>
      <c r="B452" s="114" t="s">
        <v>281</v>
      </c>
      <c r="C452" s="136" t="s">
        <v>1579</v>
      </c>
      <c r="D452" s="136">
        <v>533</v>
      </c>
      <c r="E452" s="118">
        <v>4400</v>
      </c>
      <c r="F452" s="117"/>
      <c r="G452" s="117">
        <v>46302</v>
      </c>
      <c r="H452" s="180">
        <v>46325</v>
      </c>
      <c r="I452" s="117" t="s">
        <v>1386</v>
      </c>
      <c r="J452" s="270" t="s">
        <v>1632</v>
      </c>
      <c r="K452" s="113" t="s">
        <v>1377</v>
      </c>
      <c r="L452" s="130"/>
      <c r="M452" s="113"/>
      <c r="N452" s="154"/>
      <c r="O452" s="130"/>
      <c r="P452" s="180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</row>
    <row r="453" spans="1:38" ht="15.75">
      <c r="A453" s="165" t="s">
        <v>1607</v>
      </c>
      <c r="B453" s="245" t="s">
        <v>1608</v>
      </c>
      <c r="C453" s="105" t="s">
        <v>1412</v>
      </c>
      <c r="D453" s="105" t="s">
        <v>1398</v>
      </c>
      <c r="E453" s="106">
        <v>2052.35</v>
      </c>
      <c r="F453" s="151" t="s">
        <v>19</v>
      </c>
      <c r="G453" s="108">
        <v>46245</v>
      </c>
      <c r="H453" s="108">
        <v>46280</v>
      </c>
      <c r="I453" s="117">
        <v>46276</v>
      </c>
      <c r="J453" s="311"/>
      <c r="K453" s="113"/>
      <c r="L453" s="130"/>
      <c r="M453" s="122"/>
      <c r="N453" s="122"/>
      <c r="O453" s="130"/>
      <c r="P453" s="113"/>
    </row>
    <row r="454" spans="1:38" ht="15.75">
      <c r="A454" s="165" t="s">
        <v>1607</v>
      </c>
      <c r="B454" s="159" t="s">
        <v>1608</v>
      </c>
      <c r="C454" s="136" t="s">
        <v>1412</v>
      </c>
      <c r="D454" s="136" t="s">
        <v>1398</v>
      </c>
      <c r="E454" s="118">
        <v>4900</v>
      </c>
      <c r="F454" s="107" t="s">
        <v>896</v>
      </c>
      <c r="G454" s="108">
        <v>46245</v>
      </c>
      <c r="H454" s="117">
        <v>46245</v>
      </c>
      <c r="I454" s="117">
        <v>46245</v>
      </c>
      <c r="J454" s="203"/>
      <c r="K454" s="113"/>
      <c r="L454" s="130"/>
      <c r="M454" s="122"/>
      <c r="N454" s="122"/>
      <c r="O454" s="130"/>
      <c r="P454" s="113"/>
    </row>
    <row r="455" spans="1:38" ht="15.75">
      <c r="A455" s="159" t="s">
        <v>1635</v>
      </c>
      <c r="B455" s="159" t="s">
        <v>1635</v>
      </c>
      <c r="C455" s="136" t="s">
        <v>1361</v>
      </c>
      <c r="D455" s="136" t="s">
        <v>1398</v>
      </c>
      <c r="E455" s="121">
        <v>2500</v>
      </c>
      <c r="F455" s="151" t="s">
        <v>19</v>
      </c>
      <c r="G455" s="180">
        <v>46275</v>
      </c>
      <c r="H455" s="180">
        <v>46287</v>
      </c>
      <c r="I455" s="180">
        <v>46287</v>
      </c>
      <c r="J455" s="159" t="s">
        <v>1636</v>
      </c>
      <c r="K455" s="113"/>
      <c r="L455" s="324"/>
      <c r="M455" s="108"/>
      <c r="N455" s="149"/>
      <c r="O455" s="259"/>
      <c r="P455" s="560"/>
    </row>
    <row r="456" spans="1:38" ht="15.75">
      <c r="A456" s="114" t="s">
        <v>1515</v>
      </c>
      <c r="B456" s="114" t="s">
        <v>1528</v>
      </c>
      <c r="C456" s="114" t="s">
        <v>1515</v>
      </c>
      <c r="D456" s="114" t="s">
        <v>1515</v>
      </c>
      <c r="E456" s="121">
        <v>2900</v>
      </c>
      <c r="F456" s="151" t="s">
        <v>19</v>
      </c>
      <c r="G456" s="310">
        <v>46308</v>
      </c>
      <c r="H456" s="180">
        <v>46308</v>
      </c>
      <c r="I456" s="180">
        <v>46308</v>
      </c>
      <c r="J456" s="103"/>
      <c r="K456" s="113"/>
    </row>
    <row r="457" spans="1:38" ht="15.75">
      <c r="A457" s="114" t="s">
        <v>1375</v>
      </c>
      <c r="B457" s="114" t="s">
        <v>281</v>
      </c>
      <c r="C457" s="136" t="s">
        <v>1467</v>
      </c>
      <c r="D457" s="136">
        <v>534</v>
      </c>
      <c r="E457" s="118">
        <v>4400</v>
      </c>
      <c r="F457" s="217"/>
      <c r="G457" s="117">
        <v>46302</v>
      </c>
      <c r="H457" s="180">
        <v>46325</v>
      </c>
      <c r="I457" s="117" t="s">
        <v>1386</v>
      </c>
      <c r="J457" s="267" t="s">
        <v>1632</v>
      </c>
      <c r="K457" s="113" t="s">
        <v>1377</v>
      </c>
      <c r="M457" s="113"/>
      <c r="N457" s="154"/>
      <c r="P457" s="180"/>
    </row>
    <row r="458" spans="1:38" ht="15.75">
      <c r="A458" s="159" t="s">
        <v>1298</v>
      </c>
      <c r="B458" s="245" t="s">
        <v>325</v>
      </c>
      <c r="C458" s="105" t="s">
        <v>1637</v>
      </c>
      <c r="D458" s="105" t="s">
        <v>1637</v>
      </c>
      <c r="E458" s="110">
        <v>9000</v>
      </c>
      <c r="F458" s="162" t="s">
        <v>326</v>
      </c>
      <c r="G458" s="108">
        <v>46213</v>
      </c>
      <c r="H458" s="108">
        <v>46213</v>
      </c>
      <c r="I458" s="108">
        <v>46213</v>
      </c>
      <c r="J458" s="113" t="s">
        <v>1638</v>
      </c>
      <c r="K458" s="113"/>
      <c r="L458" s="14"/>
      <c r="M458" s="559"/>
      <c r="N458" s="149"/>
      <c r="O458" s="14"/>
      <c r="P458" s="560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</row>
    <row r="459" spans="1:38" ht="15.75">
      <c r="A459" s="165" t="s">
        <v>1298</v>
      </c>
      <c r="B459" s="245" t="s">
        <v>1639</v>
      </c>
      <c r="C459" s="105" t="s">
        <v>1637</v>
      </c>
      <c r="D459" s="105" t="s">
        <v>1637</v>
      </c>
      <c r="E459" s="110">
        <v>19000</v>
      </c>
      <c r="F459" s="252" t="s">
        <v>19</v>
      </c>
      <c r="G459" s="108">
        <v>46223</v>
      </c>
      <c r="H459" s="108">
        <v>46223</v>
      </c>
      <c r="I459" s="108">
        <v>46223</v>
      </c>
      <c r="J459" s="104" t="s">
        <v>1640</v>
      </c>
      <c r="K459" s="113"/>
      <c r="L459" s="14"/>
      <c r="M459" s="559"/>
      <c r="N459" s="149"/>
      <c r="O459" s="14"/>
      <c r="P459" s="560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</row>
    <row r="460" spans="1:38" ht="15.75">
      <c r="A460" s="165" t="s">
        <v>1298</v>
      </c>
      <c r="B460" s="159" t="s">
        <v>1641</v>
      </c>
      <c r="C460" s="136" t="s">
        <v>1637</v>
      </c>
      <c r="D460" s="136" t="s">
        <v>1637</v>
      </c>
      <c r="E460" s="118">
        <v>7800</v>
      </c>
      <c r="F460" s="252" t="s">
        <v>19</v>
      </c>
      <c r="G460" s="108">
        <v>46244</v>
      </c>
      <c r="H460" s="117">
        <v>46244</v>
      </c>
      <c r="I460" s="117">
        <v>46244</v>
      </c>
      <c r="J460" s="112" t="s">
        <v>1640</v>
      </c>
      <c r="K460" s="113"/>
      <c r="M460" s="234"/>
      <c r="N460" s="122"/>
      <c r="P460" s="113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0"/>
      <c r="AI460" s="140"/>
      <c r="AJ460" s="140"/>
      <c r="AK460" s="140"/>
      <c r="AL460" s="140"/>
    </row>
    <row r="461" spans="1:38" ht="15.75">
      <c r="A461" s="165" t="s">
        <v>1519</v>
      </c>
      <c r="B461" s="159" t="s">
        <v>1520</v>
      </c>
      <c r="C461" s="183" t="s">
        <v>1515</v>
      </c>
      <c r="D461" s="136"/>
      <c r="E461" s="118">
        <v>2557.4899999999998</v>
      </c>
      <c r="F461" s="151" t="s">
        <v>19</v>
      </c>
      <c r="G461" s="117">
        <v>46288</v>
      </c>
      <c r="H461" s="117">
        <v>46288</v>
      </c>
      <c r="I461" s="117">
        <v>46288</v>
      </c>
      <c r="J461" s="136" t="s">
        <v>1642</v>
      </c>
      <c r="K461" s="113"/>
      <c r="L461" s="233"/>
      <c r="M461" s="290"/>
      <c r="N461" s="117"/>
      <c r="O461" s="284"/>
      <c r="P461" s="286"/>
    </row>
    <row r="462" spans="1:38" ht="15.75">
      <c r="A462" s="165" t="s">
        <v>1519</v>
      </c>
      <c r="B462" s="159" t="s">
        <v>1520</v>
      </c>
      <c r="C462" s="183" t="s">
        <v>1515</v>
      </c>
      <c r="D462" s="136"/>
      <c r="E462" s="118">
        <v>4225.5</v>
      </c>
      <c r="F462" s="151" t="s">
        <v>19</v>
      </c>
      <c r="G462" s="117">
        <v>46288</v>
      </c>
      <c r="H462" s="117">
        <v>46288</v>
      </c>
      <c r="I462" s="117">
        <v>46288</v>
      </c>
      <c r="J462" s="136"/>
      <c r="K462" s="113"/>
      <c r="L462" s="233"/>
      <c r="M462" s="290"/>
      <c r="N462" s="117"/>
      <c r="P462" s="129"/>
    </row>
    <row r="463" spans="1:38" ht="15.75">
      <c r="A463" s="165" t="s">
        <v>1519</v>
      </c>
      <c r="B463" s="159" t="s">
        <v>1520</v>
      </c>
      <c r="C463" s="183" t="s">
        <v>1515</v>
      </c>
      <c r="D463" s="136"/>
      <c r="E463" s="118">
        <v>10717.56</v>
      </c>
      <c r="F463" s="151" t="s">
        <v>19</v>
      </c>
      <c r="G463" s="117">
        <v>46290</v>
      </c>
      <c r="H463" s="117">
        <v>46290</v>
      </c>
      <c r="I463" s="117">
        <v>46290</v>
      </c>
      <c r="J463" s="114"/>
      <c r="K463" s="113"/>
      <c r="M463" s="262"/>
      <c r="N463" s="130"/>
      <c r="P463" s="129"/>
    </row>
    <row r="464" spans="1:38" ht="15.75">
      <c r="A464" s="159" t="s">
        <v>1375</v>
      </c>
      <c r="B464" s="159" t="s">
        <v>281</v>
      </c>
      <c r="C464" s="136" t="s">
        <v>1467</v>
      </c>
      <c r="D464" s="136">
        <v>535</v>
      </c>
      <c r="E464" s="118">
        <v>4400</v>
      </c>
      <c r="F464" s="117"/>
      <c r="G464" s="117">
        <v>46302</v>
      </c>
      <c r="H464" s="180">
        <v>46325</v>
      </c>
      <c r="I464" s="117" t="s">
        <v>1386</v>
      </c>
      <c r="J464" s="267" t="s">
        <v>1643</v>
      </c>
      <c r="K464" s="113" t="s">
        <v>1377</v>
      </c>
      <c r="M464" s="113"/>
      <c r="N464" s="154"/>
      <c r="P464" s="180"/>
    </row>
    <row r="465" spans="1:38" ht="15.75">
      <c r="A465" s="165" t="s">
        <v>1597</v>
      </c>
      <c r="B465" s="159" t="s">
        <v>1644</v>
      </c>
      <c r="C465" s="136"/>
      <c r="D465" s="136"/>
      <c r="E465" s="118">
        <v>42</v>
      </c>
      <c r="F465" s="118"/>
      <c r="G465" s="108">
        <v>46265</v>
      </c>
      <c r="H465" s="117">
        <v>46265</v>
      </c>
      <c r="I465" s="117">
        <v>46265</v>
      </c>
      <c r="J465" s="112"/>
      <c r="K465" s="113"/>
      <c r="M465" s="234"/>
      <c r="N465" s="122"/>
      <c r="P465" s="113"/>
    </row>
    <row r="466" spans="1:38" ht="15.75">
      <c r="A466" s="244" t="s">
        <v>1645</v>
      </c>
      <c r="B466" s="245" t="s">
        <v>1646</v>
      </c>
      <c r="C466" s="104"/>
      <c r="D466" s="104"/>
      <c r="E466" s="110">
        <v>53000</v>
      </c>
      <c r="F466" s="107" t="s">
        <v>19</v>
      </c>
      <c r="G466" s="108">
        <v>46209</v>
      </c>
      <c r="H466" s="108">
        <v>46209</v>
      </c>
      <c r="I466" s="108">
        <v>46209</v>
      </c>
      <c r="J466" s="113" t="s">
        <v>321</v>
      </c>
      <c r="K466" s="113"/>
      <c r="L466" s="14"/>
      <c r="M466" s="559"/>
      <c r="N466" s="149"/>
      <c r="O466" s="14"/>
      <c r="P466" s="560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</row>
    <row r="467" spans="1:38" ht="15.75">
      <c r="A467" s="165" t="s">
        <v>875</v>
      </c>
      <c r="B467" s="159" t="s">
        <v>1647</v>
      </c>
      <c r="C467" s="136" t="s">
        <v>1648</v>
      </c>
      <c r="D467" s="136"/>
      <c r="E467" s="118">
        <v>260</v>
      </c>
      <c r="F467" s="309" t="s">
        <v>19</v>
      </c>
      <c r="G467" s="117">
        <v>46295</v>
      </c>
      <c r="H467" s="117">
        <v>46295</v>
      </c>
      <c r="I467" s="117">
        <v>46295</v>
      </c>
      <c r="J467" s="136"/>
      <c r="K467" s="113"/>
      <c r="L467" s="233"/>
      <c r="M467" s="240"/>
      <c r="N467" s="117"/>
      <c r="O467" s="282"/>
      <c r="P467" s="129"/>
    </row>
    <row r="468" spans="1:38" ht="15.75">
      <c r="A468" s="165" t="s">
        <v>1413</v>
      </c>
      <c r="B468" s="165" t="s">
        <v>1649</v>
      </c>
      <c r="C468" s="173" t="s">
        <v>1605</v>
      </c>
      <c r="D468" s="154"/>
      <c r="E468" s="118">
        <v>10000</v>
      </c>
      <c r="F468" s="309" t="s">
        <v>19</v>
      </c>
      <c r="G468" s="180">
        <v>46282</v>
      </c>
      <c r="H468" s="180">
        <v>46282</v>
      </c>
      <c r="I468" s="180">
        <v>46282</v>
      </c>
      <c r="J468" s="158"/>
      <c r="K468" s="113"/>
      <c r="L468" s="197"/>
      <c r="M468" s="261"/>
      <c r="N468" s="154"/>
      <c r="O468" s="233"/>
      <c r="P468" s="117"/>
    </row>
    <row r="469" spans="1:38" ht="15.75">
      <c r="A469" s="165" t="s">
        <v>1413</v>
      </c>
      <c r="B469" s="159" t="s">
        <v>1649</v>
      </c>
      <c r="C469" s="173" t="s">
        <v>902</v>
      </c>
      <c r="D469" s="135"/>
      <c r="E469" s="121">
        <v>500</v>
      </c>
      <c r="F469" s="309" t="s">
        <v>19</v>
      </c>
      <c r="G469" s="117"/>
      <c r="H469" s="117">
        <v>46287</v>
      </c>
      <c r="I469" s="117">
        <v>46287</v>
      </c>
      <c r="J469" s="111"/>
      <c r="K469" s="113"/>
      <c r="L469" s="216"/>
      <c r="M469" s="325"/>
      <c r="N469" s="121"/>
      <c r="O469" s="282"/>
      <c r="P469" s="117"/>
    </row>
    <row r="470" spans="1:38" ht="15.75">
      <c r="A470" s="159" t="s">
        <v>1375</v>
      </c>
      <c r="B470" s="159" t="s">
        <v>281</v>
      </c>
      <c r="C470" s="136" t="s">
        <v>1348</v>
      </c>
      <c r="D470" s="136">
        <v>536</v>
      </c>
      <c r="E470" s="118">
        <v>4400</v>
      </c>
      <c r="F470" s="117"/>
      <c r="G470" s="117">
        <v>46304</v>
      </c>
      <c r="H470" s="180">
        <v>46325</v>
      </c>
      <c r="I470" s="117" t="s">
        <v>1386</v>
      </c>
      <c r="J470" s="267" t="s">
        <v>1643</v>
      </c>
      <c r="K470" s="113" t="s">
        <v>1377</v>
      </c>
      <c r="L470" s="282"/>
      <c r="M470" s="113"/>
      <c r="N470" s="154"/>
      <c r="P470" s="180"/>
    </row>
    <row r="471" spans="1:38" ht="15.75">
      <c r="A471" s="159" t="s">
        <v>1375</v>
      </c>
      <c r="B471" s="159" t="s">
        <v>281</v>
      </c>
      <c r="C471" s="136" t="s">
        <v>1348</v>
      </c>
      <c r="D471" s="136">
        <v>537</v>
      </c>
      <c r="E471" s="118">
        <v>4400</v>
      </c>
      <c r="F471" s="117"/>
      <c r="G471" s="117">
        <v>46304</v>
      </c>
      <c r="H471" s="180">
        <v>46325</v>
      </c>
      <c r="I471" s="117" t="s">
        <v>1386</v>
      </c>
      <c r="J471" s="267" t="s">
        <v>1643</v>
      </c>
      <c r="K471" s="113" t="s">
        <v>1377</v>
      </c>
      <c r="L471" s="282"/>
      <c r="M471" s="113"/>
      <c r="N471" s="154"/>
      <c r="P471" s="180"/>
    </row>
    <row r="472" spans="1:38" ht="15.75">
      <c r="A472" s="165" t="s">
        <v>902</v>
      </c>
      <c r="B472" s="245" t="s">
        <v>334</v>
      </c>
      <c r="C472" s="105"/>
      <c r="D472" s="105"/>
      <c r="E472" s="110">
        <v>11000</v>
      </c>
      <c r="F472" s="252" t="s">
        <v>19</v>
      </c>
      <c r="G472" s="108">
        <v>46188</v>
      </c>
      <c r="H472" s="108">
        <v>46188</v>
      </c>
      <c r="I472" s="108">
        <v>46218</v>
      </c>
      <c r="J472" s="112" t="s">
        <v>152</v>
      </c>
      <c r="K472" s="113"/>
      <c r="L472" s="54"/>
      <c r="M472" s="263"/>
      <c r="N472" s="220"/>
      <c r="O472" s="54"/>
      <c r="P472" s="560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</row>
    <row r="473" spans="1:38" ht="15.75">
      <c r="A473" s="159" t="s">
        <v>902</v>
      </c>
      <c r="B473" s="245" t="s">
        <v>327</v>
      </c>
      <c r="C473" s="104"/>
      <c r="D473" s="104"/>
      <c r="E473" s="110">
        <v>50000</v>
      </c>
      <c r="F473" s="162" t="s">
        <v>19</v>
      </c>
      <c r="G473" s="108">
        <v>46216</v>
      </c>
      <c r="H473" s="108">
        <v>46216</v>
      </c>
      <c r="I473" s="108">
        <v>46216</v>
      </c>
      <c r="J473" s="113" t="s">
        <v>324</v>
      </c>
      <c r="K473" s="113"/>
      <c r="L473" s="14"/>
      <c r="M473" s="559"/>
      <c r="N473" s="149"/>
      <c r="O473" s="14"/>
      <c r="P473" s="560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</row>
    <row r="474" spans="1:38" ht="15.75">
      <c r="A474" s="114" t="s">
        <v>902</v>
      </c>
      <c r="B474" s="319" t="s">
        <v>328</v>
      </c>
      <c r="C474" s="172"/>
      <c r="D474" s="104"/>
      <c r="E474" s="110">
        <v>74000</v>
      </c>
      <c r="F474" s="111" t="s">
        <v>19</v>
      </c>
      <c r="G474" s="108">
        <v>46216</v>
      </c>
      <c r="H474" s="108">
        <v>46216</v>
      </c>
      <c r="I474" s="108">
        <v>46216</v>
      </c>
      <c r="J474" s="113" t="s">
        <v>324</v>
      </c>
      <c r="K474" s="113"/>
      <c r="L474" s="14"/>
      <c r="M474" s="320"/>
      <c r="N474" s="328"/>
      <c r="O474" s="14"/>
      <c r="P474" s="318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</row>
    <row r="475" spans="1:38" ht="15.75">
      <c r="A475" s="111" t="s">
        <v>902</v>
      </c>
      <c r="B475" s="104" t="s">
        <v>334</v>
      </c>
      <c r="C475" s="172"/>
      <c r="D475" s="105"/>
      <c r="E475" s="110">
        <v>14000</v>
      </c>
      <c r="F475" s="252" t="s">
        <v>19</v>
      </c>
      <c r="G475" s="108">
        <v>46223</v>
      </c>
      <c r="H475" s="108">
        <v>46223</v>
      </c>
      <c r="I475" s="108">
        <v>46223</v>
      </c>
      <c r="J475" s="104" t="s">
        <v>324</v>
      </c>
      <c r="K475" s="113"/>
      <c r="L475" s="14"/>
      <c r="M475" s="320"/>
      <c r="N475" s="328"/>
      <c r="O475" s="14"/>
      <c r="P475" s="318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</row>
    <row r="476" spans="1:38" ht="15.75">
      <c r="A476" s="165" t="s">
        <v>902</v>
      </c>
      <c r="B476" s="245" t="s">
        <v>334</v>
      </c>
      <c r="C476" s="172"/>
      <c r="D476" s="172"/>
      <c r="E476" s="250">
        <v>300</v>
      </c>
      <c r="F476" s="107" t="s">
        <v>19</v>
      </c>
      <c r="G476" s="108">
        <v>46224</v>
      </c>
      <c r="H476" s="108">
        <v>46224</v>
      </c>
      <c r="I476" s="108">
        <v>46224</v>
      </c>
      <c r="J476" s="104" t="s">
        <v>324</v>
      </c>
      <c r="K476" s="113"/>
      <c r="L476" s="14"/>
      <c r="M476" s="320"/>
      <c r="N476" s="328"/>
      <c r="O476" s="14"/>
      <c r="P476" s="318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</row>
    <row r="477" spans="1:38" ht="15.75">
      <c r="A477" s="165" t="s">
        <v>902</v>
      </c>
      <c r="B477" s="245" t="s">
        <v>334</v>
      </c>
      <c r="C477" s="105"/>
      <c r="D477" s="172"/>
      <c r="E477" s="250">
        <v>1800</v>
      </c>
      <c r="F477" s="107" t="s">
        <v>19</v>
      </c>
      <c r="G477" s="108">
        <v>46224</v>
      </c>
      <c r="H477" s="108">
        <v>46224</v>
      </c>
      <c r="I477" s="108">
        <v>46224</v>
      </c>
      <c r="J477" s="245" t="s">
        <v>324</v>
      </c>
      <c r="K477" s="113"/>
      <c r="L477" s="14"/>
      <c r="M477" s="320"/>
      <c r="N477" s="328"/>
      <c r="O477" s="14"/>
      <c r="P477" s="318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</row>
    <row r="478" spans="1:38" ht="15.75">
      <c r="A478" s="165" t="s">
        <v>902</v>
      </c>
      <c r="B478" s="245" t="s">
        <v>334</v>
      </c>
      <c r="C478" s="105"/>
      <c r="D478" s="172"/>
      <c r="E478" s="250">
        <v>1500</v>
      </c>
      <c r="F478" s="107" t="s">
        <v>19</v>
      </c>
      <c r="G478" s="108">
        <v>46225</v>
      </c>
      <c r="H478" s="108">
        <v>46225</v>
      </c>
      <c r="I478" s="108">
        <v>46224</v>
      </c>
      <c r="J478" s="245" t="s">
        <v>324</v>
      </c>
      <c r="K478" s="113"/>
      <c r="L478" s="14"/>
      <c r="M478" s="320"/>
      <c r="N478" s="328"/>
      <c r="O478" s="14"/>
      <c r="P478" s="318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</row>
    <row r="479" spans="1:38" ht="15.75">
      <c r="A479" s="165" t="s">
        <v>902</v>
      </c>
      <c r="B479" s="159" t="s">
        <v>1650</v>
      </c>
      <c r="C479" s="166"/>
      <c r="D479" s="166"/>
      <c r="E479" s="167">
        <v>5000</v>
      </c>
      <c r="F479" s="118"/>
      <c r="G479" s="108">
        <v>46248</v>
      </c>
      <c r="H479" s="117">
        <v>46248</v>
      </c>
      <c r="I479" s="117">
        <v>46248</v>
      </c>
      <c r="J479" s="203"/>
      <c r="K479" s="113"/>
      <c r="M479" s="326"/>
      <c r="N479" s="326"/>
      <c r="P479" s="332"/>
    </row>
    <row r="480" spans="1:38" ht="15.75">
      <c r="A480" s="165" t="s">
        <v>902</v>
      </c>
      <c r="B480" s="159" t="s">
        <v>1650</v>
      </c>
      <c r="C480" s="166"/>
      <c r="D480" s="166"/>
      <c r="E480" s="167">
        <v>10000</v>
      </c>
      <c r="F480" s="118"/>
      <c r="G480" s="108">
        <v>46248</v>
      </c>
      <c r="H480" s="117">
        <v>46248</v>
      </c>
      <c r="I480" s="117">
        <v>46248</v>
      </c>
      <c r="J480" s="203"/>
      <c r="K480" s="113"/>
      <c r="M480" s="326"/>
      <c r="N480" s="326"/>
      <c r="P480" s="332"/>
    </row>
    <row r="481" spans="1:16" ht="15.75">
      <c r="A481" s="159" t="s">
        <v>902</v>
      </c>
      <c r="B481" s="159" t="s">
        <v>1528</v>
      </c>
      <c r="C481" s="183" t="s">
        <v>1515</v>
      </c>
      <c r="D481" s="239"/>
      <c r="E481" s="127">
        <v>2000</v>
      </c>
      <c r="F481" s="151" t="s">
        <v>19</v>
      </c>
      <c r="G481" s="117">
        <v>46290</v>
      </c>
      <c r="H481" s="117">
        <v>46290</v>
      </c>
      <c r="I481" s="117">
        <v>46290</v>
      </c>
      <c r="J481" s="159"/>
      <c r="K481" s="113"/>
    </row>
    <row r="482" spans="1:16" ht="15.75">
      <c r="A482" s="114" t="s">
        <v>902</v>
      </c>
      <c r="B482" s="114" t="s">
        <v>1528</v>
      </c>
      <c r="C482" s="183" t="s">
        <v>1515</v>
      </c>
      <c r="D482" s="177"/>
      <c r="E482" s="121">
        <v>2000</v>
      </c>
      <c r="F482" s="151" t="s">
        <v>19</v>
      </c>
      <c r="G482" s="117">
        <v>46290</v>
      </c>
      <c r="H482" s="117">
        <v>46290</v>
      </c>
      <c r="I482" s="117">
        <v>46290</v>
      </c>
      <c r="J482" s="114"/>
      <c r="K482" s="113"/>
      <c r="M482" s="262"/>
      <c r="N482" s="130"/>
      <c r="O482" s="285"/>
      <c r="P482" s="266"/>
    </row>
    <row r="483" spans="1:16" ht="15.75">
      <c r="A483" s="111" t="s">
        <v>1515</v>
      </c>
      <c r="B483" s="114" t="s">
        <v>1516</v>
      </c>
      <c r="C483" s="183" t="s">
        <v>902</v>
      </c>
      <c r="D483" s="136"/>
      <c r="E483" s="118">
        <v>930</v>
      </c>
      <c r="F483" s="151" t="s">
        <v>19</v>
      </c>
      <c r="G483" s="108">
        <v>46273</v>
      </c>
      <c r="H483" s="117">
        <v>46273</v>
      </c>
      <c r="I483" s="117">
        <v>46273</v>
      </c>
      <c r="J483" s="112"/>
      <c r="K483" s="113"/>
      <c r="M483" s="234"/>
      <c r="N483" s="122"/>
      <c r="O483" s="130"/>
      <c r="P483" s="195"/>
    </row>
    <row r="484" spans="1:16" ht="15.75">
      <c r="A484" s="111" t="s">
        <v>1515</v>
      </c>
      <c r="B484" s="114" t="s">
        <v>1528</v>
      </c>
      <c r="C484" s="183" t="s">
        <v>902</v>
      </c>
      <c r="D484" s="136"/>
      <c r="E484" s="118">
        <v>300</v>
      </c>
      <c r="F484" s="151" t="s">
        <v>19</v>
      </c>
      <c r="G484" s="108">
        <v>46273</v>
      </c>
      <c r="H484" s="117">
        <v>46273</v>
      </c>
      <c r="I484" s="117">
        <v>46273</v>
      </c>
      <c r="J484" s="112"/>
      <c r="K484" s="113"/>
      <c r="M484" s="234"/>
      <c r="N484" s="122"/>
      <c r="O484" s="130"/>
      <c r="P484" s="195"/>
    </row>
    <row r="485" spans="1:16" ht="15.75">
      <c r="A485" s="111" t="s">
        <v>1515</v>
      </c>
      <c r="B485" s="114" t="s">
        <v>1528</v>
      </c>
      <c r="C485" s="183" t="s">
        <v>902</v>
      </c>
      <c r="D485" s="136"/>
      <c r="E485" s="118">
        <v>1700</v>
      </c>
      <c r="F485" s="151" t="s">
        <v>19</v>
      </c>
      <c r="G485" s="108">
        <v>46273</v>
      </c>
      <c r="H485" s="117">
        <v>46273</v>
      </c>
      <c r="I485" s="117">
        <v>46273</v>
      </c>
      <c r="J485" s="112"/>
      <c r="K485" s="113"/>
      <c r="M485" s="326"/>
      <c r="N485" s="326"/>
      <c r="P485" s="332"/>
    </row>
    <row r="486" spans="1:16" ht="15.75">
      <c r="A486" s="111" t="s">
        <v>1515</v>
      </c>
      <c r="B486" s="114" t="s">
        <v>1530</v>
      </c>
      <c r="C486" s="183" t="s">
        <v>902</v>
      </c>
      <c r="D486" s="136"/>
      <c r="E486" s="118">
        <v>2800</v>
      </c>
      <c r="F486" s="151" t="s">
        <v>19</v>
      </c>
      <c r="G486" s="164">
        <v>46273</v>
      </c>
      <c r="H486" s="217">
        <v>46273</v>
      </c>
      <c r="I486" s="117">
        <v>46273</v>
      </c>
      <c r="J486" s="112"/>
      <c r="K486" s="113"/>
      <c r="L486" s="130"/>
      <c r="M486" s="122"/>
      <c r="N486" s="122"/>
      <c r="O486" s="130"/>
      <c r="P486" s="195"/>
    </row>
    <row r="487" spans="1:16" ht="15.75">
      <c r="A487" s="111" t="s">
        <v>1515</v>
      </c>
      <c r="B487" s="114" t="s">
        <v>1528</v>
      </c>
      <c r="C487" s="183" t="s">
        <v>902</v>
      </c>
      <c r="D487" s="136"/>
      <c r="E487" s="118">
        <v>1500</v>
      </c>
      <c r="F487" s="151" t="s">
        <v>19</v>
      </c>
      <c r="G487" s="164">
        <v>46273</v>
      </c>
      <c r="H487" s="217">
        <v>46273</v>
      </c>
      <c r="I487" s="117">
        <v>46273</v>
      </c>
      <c r="J487" s="112"/>
      <c r="K487" s="113"/>
      <c r="L487" s="130"/>
      <c r="M487" s="122"/>
      <c r="N487" s="122"/>
      <c r="O487" s="130"/>
      <c r="P487" s="195"/>
    </row>
    <row r="488" spans="1:16" ht="15.75">
      <c r="A488" s="111" t="s">
        <v>1515</v>
      </c>
      <c r="B488" s="114" t="s">
        <v>1651</v>
      </c>
      <c r="C488" s="183" t="s">
        <v>902</v>
      </c>
      <c r="D488" s="136"/>
      <c r="E488" s="118">
        <v>3100</v>
      </c>
      <c r="F488" s="151" t="s">
        <v>19</v>
      </c>
      <c r="G488" s="164">
        <v>46273</v>
      </c>
      <c r="H488" s="217">
        <v>46273</v>
      </c>
      <c r="I488" s="117">
        <v>46273</v>
      </c>
      <c r="J488" s="112"/>
      <c r="K488" s="113"/>
      <c r="L488" s="130"/>
      <c r="M488" s="122"/>
      <c r="N488" s="122"/>
      <c r="O488" s="130"/>
      <c r="P488" s="195"/>
    </row>
    <row r="489" spans="1:16" ht="15.75">
      <c r="A489" s="111" t="s">
        <v>1515</v>
      </c>
      <c r="B489" s="114" t="s">
        <v>1528</v>
      </c>
      <c r="C489" s="183" t="s">
        <v>902</v>
      </c>
      <c r="D489" s="136"/>
      <c r="E489" s="118">
        <v>3700</v>
      </c>
      <c r="F489" s="151" t="s">
        <v>19</v>
      </c>
      <c r="G489" s="164">
        <v>46273</v>
      </c>
      <c r="H489" s="217">
        <v>46273</v>
      </c>
      <c r="I489" s="117">
        <v>46273</v>
      </c>
      <c r="J489" s="112"/>
      <c r="K489" s="113"/>
      <c r="L489" s="130"/>
      <c r="M489" s="122"/>
      <c r="N489" s="122"/>
      <c r="O489" s="130"/>
      <c r="P489" s="195"/>
    </row>
    <row r="490" spans="1:16" ht="15.75">
      <c r="A490" s="111" t="s">
        <v>1515</v>
      </c>
      <c r="B490" s="114" t="s">
        <v>1530</v>
      </c>
      <c r="C490" s="183" t="s">
        <v>902</v>
      </c>
      <c r="D490" s="136"/>
      <c r="E490" s="118">
        <v>6700</v>
      </c>
      <c r="F490" s="151" t="s">
        <v>19</v>
      </c>
      <c r="G490" s="164">
        <v>46273</v>
      </c>
      <c r="H490" s="217">
        <v>46273</v>
      </c>
      <c r="I490" s="117">
        <v>46273</v>
      </c>
      <c r="J490" s="112"/>
      <c r="K490" s="113"/>
      <c r="L490" s="130"/>
      <c r="M490" s="122"/>
      <c r="N490" s="122"/>
      <c r="O490" s="130"/>
      <c r="P490" s="195"/>
    </row>
    <row r="491" spans="1:16" ht="15.75">
      <c r="A491" s="111" t="s">
        <v>1515</v>
      </c>
      <c r="B491" s="114" t="s">
        <v>1652</v>
      </c>
      <c r="C491" s="183" t="s">
        <v>902</v>
      </c>
      <c r="D491" s="136"/>
      <c r="E491" s="118">
        <v>2430</v>
      </c>
      <c r="F491" s="151" t="s">
        <v>19</v>
      </c>
      <c r="G491" s="164">
        <v>46273</v>
      </c>
      <c r="H491" s="217">
        <v>46273</v>
      </c>
      <c r="I491" s="117">
        <v>46273</v>
      </c>
      <c r="J491" s="112"/>
      <c r="K491" s="113"/>
      <c r="L491" s="130"/>
      <c r="M491" s="122"/>
      <c r="N491" s="122"/>
      <c r="O491" s="130"/>
      <c r="P491" s="195"/>
    </row>
    <row r="492" spans="1:16" ht="15.75">
      <c r="A492" s="111" t="s">
        <v>1515</v>
      </c>
      <c r="B492" s="114" t="s">
        <v>1516</v>
      </c>
      <c r="C492" s="183" t="s">
        <v>902</v>
      </c>
      <c r="D492" s="136"/>
      <c r="E492" s="118">
        <v>120</v>
      </c>
      <c r="F492" s="151" t="s">
        <v>19</v>
      </c>
      <c r="G492" s="164">
        <v>46273</v>
      </c>
      <c r="H492" s="217">
        <v>46273</v>
      </c>
      <c r="I492" s="117">
        <v>46273</v>
      </c>
      <c r="J492" s="112"/>
      <c r="K492" s="113"/>
      <c r="L492" s="130"/>
      <c r="M492" s="122"/>
      <c r="N492" s="122"/>
      <c r="O492" s="130"/>
      <c r="P492" s="195"/>
    </row>
    <row r="493" spans="1:16" ht="15.75">
      <c r="A493" s="111" t="s">
        <v>1515</v>
      </c>
      <c r="B493" s="114" t="s">
        <v>1528</v>
      </c>
      <c r="C493" s="183" t="s">
        <v>902</v>
      </c>
      <c r="D493" s="136"/>
      <c r="E493" s="118">
        <v>2800</v>
      </c>
      <c r="F493" s="151" t="s">
        <v>19</v>
      </c>
      <c r="G493" s="217">
        <v>46275</v>
      </c>
      <c r="H493" s="217">
        <v>46275</v>
      </c>
      <c r="I493" s="117">
        <v>46275</v>
      </c>
      <c r="J493" s="112"/>
      <c r="K493" s="113"/>
      <c r="L493" s="242"/>
      <c r="M493" s="122"/>
      <c r="N493" s="122"/>
      <c r="O493" s="242"/>
      <c r="P493" s="195"/>
    </row>
    <row r="494" spans="1:16" ht="15.75">
      <c r="A494" s="165" t="s">
        <v>1515</v>
      </c>
      <c r="B494" s="159" t="s">
        <v>1516</v>
      </c>
      <c r="C494" s="243" t="s">
        <v>902</v>
      </c>
      <c r="D494" s="166"/>
      <c r="E494" s="167">
        <v>500</v>
      </c>
      <c r="F494" s="151" t="s">
        <v>19</v>
      </c>
      <c r="G494" s="117">
        <v>46275</v>
      </c>
      <c r="H494" s="117">
        <v>46275</v>
      </c>
      <c r="I494" s="117">
        <v>46275</v>
      </c>
      <c r="J494" s="203"/>
      <c r="K494" s="113"/>
      <c r="M494" s="234"/>
      <c r="N494" s="338"/>
      <c r="P494" s="332"/>
    </row>
    <row r="495" spans="1:16" ht="15.75">
      <c r="A495" s="165" t="s">
        <v>1515</v>
      </c>
      <c r="B495" s="159" t="s">
        <v>1653</v>
      </c>
      <c r="C495" s="166"/>
      <c r="D495" s="166"/>
      <c r="E495" s="167">
        <v>15000</v>
      </c>
      <c r="F495" s="116" t="s">
        <v>19</v>
      </c>
      <c r="G495" s="108">
        <v>46246</v>
      </c>
      <c r="H495" s="117">
        <v>46246</v>
      </c>
      <c r="I495" s="117">
        <v>46246</v>
      </c>
      <c r="J495" s="203"/>
      <c r="K495" s="113"/>
      <c r="M495" s="234"/>
      <c r="N495" s="338"/>
      <c r="P495" s="332"/>
    </row>
    <row r="496" spans="1:16" ht="15.75">
      <c r="A496" s="165" t="s">
        <v>1515</v>
      </c>
      <c r="B496" s="165" t="s">
        <v>1516</v>
      </c>
      <c r="C496" s="243" t="s">
        <v>902</v>
      </c>
      <c r="D496" s="178"/>
      <c r="E496" s="167">
        <v>18000</v>
      </c>
      <c r="F496" s="151" t="s">
        <v>19</v>
      </c>
      <c r="G496" s="180">
        <v>46279</v>
      </c>
      <c r="H496" s="180">
        <v>46279</v>
      </c>
      <c r="I496" s="180">
        <v>46279</v>
      </c>
      <c r="J496" s="196"/>
      <c r="K496" s="113"/>
      <c r="L496" s="197"/>
      <c r="M496" s="261"/>
      <c r="N496" s="316"/>
      <c r="O496" s="233"/>
      <c r="P496" s="315"/>
    </row>
    <row r="497" spans="1:38" ht="15.75">
      <c r="A497" s="165" t="s">
        <v>1515</v>
      </c>
      <c r="B497" s="159" t="s">
        <v>1528</v>
      </c>
      <c r="C497" s="166"/>
      <c r="D497" s="166"/>
      <c r="E497" s="167">
        <v>11000</v>
      </c>
      <c r="F497" s="118"/>
      <c r="G497" s="108">
        <v>46265</v>
      </c>
      <c r="H497" s="117">
        <v>46265</v>
      </c>
      <c r="I497" s="117">
        <v>46265</v>
      </c>
      <c r="J497" s="203"/>
      <c r="K497" s="113"/>
      <c r="L497" s="134"/>
      <c r="M497" s="234"/>
      <c r="N497" s="338"/>
      <c r="P497" s="332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</row>
    <row r="498" spans="1:38" ht="15.75">
      <c r="A498" s="165" t="s">
        <v>1515</v>
      </c>
      <c r="B498" s="165" t="s">
        <v>1516</v>
      </c>
      <c r="C498" s="243" t="s">
        <v>902</v>
      </c>
      <c r="D498" s="178"/>
      <c r="E498" s="167">
        <v>150</v>
      </c>
      <c r="F498" s="151" t="s">
        <v>19</v>
      </c>
      <c r="G498" s="180">
        <v>46279</v>
      </c>
      <c r="H498" s="180">
        <v>46279</v>
      </c>
      <c r="I498" s="180">
        <v>46279</v>
      </c>
      <c r="J498" s="196"/>
      <c r="K498" s="113"/>
      <c r="L498" s="197"/>
      <c r="M498" s="261"/>
      <c r="N498" s="316"/>
      <c r="O498" s="233"/>
      <c r="P498" s="315"/>
    </row>
    <row r="499" spans="1:38" ht="15.75">
      <c r="A499" s="111" t="s">
        <v>1515</v>
      </c>
      <c r="B499" s="165" t="s">
        <v>1516</v>
      </c>
      <c r="C499" s="247" t="s">
        <v>902</v>
      </c>
      <c r="D499" s="178"/>
      <c r="E499" s="167">
        <v>200</v>
      </c>
      <c r="F499" s="151" t="s">
        <v>19</v>
      </c>
      <c r="G499" s="180">
        <v>46282</v>
      </c>
      <c r="H499" s="180">
        <v>46282</v>
      </c>
      <c r="I499" s="180">
        <v>46282</v>
      </c>
      <c r="J499" s="196"/>
      <c r="K499" s="113"/>
      <c r="L499" s="197"/>
      <c r="M499" s="261"/>
      <c r="N499" s="316"/>
      <c r="O499" s="233"/>
      <c r="P499" s="315"/>
    </row>
    <row r="500" spans="1:38" ht="15.75">
      <c r="A500" s="165" t="s">
        <v>1515</v>
      </c>
      <c r="B500" s="159" t="s">
        <v>1528</v>
      </c>
      <c r="C500" s="243" t="s">
        <v>1515</v>
      </c>
      <c r="D500" s="166"/>
      <c r="E500" s="167">
        <v>1100</v>
      </c>
      <c r="F500" s="151" t="s">
        <v>19</v>
      </c>
      <c r="G500" s="117">
        <v>46288</v>
      </c>
      <c r="H500" s="117">
        <v>46288</v>
      </c>
      <c r="I500" s="117">
        <v>46288</v>
      </c>
      <c r="J500" s="166"/>
      <c r="K500" s="113"/>
      <c r="L500" s="233"/>
      <c r="M500" s="290"/>
      <c r="N500" s="238"/>
      <c r="O500" s="284"/>
      <c r="P500" s="331"/>
    </row>
    <row r="501" spans="1:38" s="68" customFormat="1" ht="15.75">
      <c r="A501" s="111" t="s">
        <v>1515</v>
      </c>
      <c r="B501" s="114" t="s">
        <v>1516</v>
      </c>
      <c r="C501" s="183" t="s">
        <v>1515</v>
      </c>
      <c r="D501" s="136"/>
      <c r="E501" s="118">
        <v>100</v>
      </c>
      <c r="F501" s="151" t="s">
        <v>19</v>
      </c>
      <c r="G501" s="117">
        <v>46288</v>
      </c>
      <c r="H501" s="117">
        <v>46288</v>
      </c>
      <c r="I501" s="117">
        <v>46288</v>
      </c>
      <c r="J501" s="136"/>
      <c r="K501" s="113"/>
      <c r="L501" s="233"/>
      <c r="M501" s="290"/>
      <c r="N501" s="238"/>
      <c r="O501"/>
      <c r="P501" s="26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</row>
    <row r="502" spans="1:38" s="68" customFormat="1" ht="15.75">
      <c r="A502" s="114" t="s">
        <v>1515</v>
      </c>
      <c r="B502" s="159" t="s">
        <v>1530</v>
      </c>
      <c r="C502" s="243" t="s">
        <v>1515</v>
      </c>
      <c r="D502" s="166"/>
      <c r="E502" s="127">
        <v>2500</v>
      </c>
      <c r="F502" s="151" t="s">
        <v>19</v>
      </c>
      <c r="G502" s="117">
        <v>46290</v>
      </c>
      <c r="H502" s="117">
        <v>46290</v>
      </c>
      <c r="I502" s="117">
        <v>46290</v>
      </c>
      <c r="J502" s="114"/>
      <c r="K502" s="113"/>
      <c r="L502"/>
      <c r="M502"/>
      <c r="N502"/>
      <c r="O502"/>
      <c r="P502" s="26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</row>
    <row r="503" spans="1:38" s="68" customFormat="1" ht="15.75">
      <c r="A503" s="111" t="s">
        <v>1515</v>
      </c>
      <c r="B503" s="159" t="s">
        <v>1516</v>
      </c>
      <c r="C503" s="243" t="s">
        <v>1515</v>
      </c>
      <c r="D503" s="166"/>
      <c r="E503" s="167">
        <v>100</v>
      </c>
      <c r="F503" s="151" t="s">
        <v>19</v>
      </c>
      <c r="G503" s="117">
        <v>46290</v>
      </c>
      <c r="H503" s="169">
        <v>46290</v>
      </c>
      <c r="I503" s="117">
        <v>46290</v>
      </c>
      <c r="J503" s="166"/>
      <c r="K503" s="113"/>
      <c r="L503"/>
      <c r="M503" s="262"/>
      <c r="N503" s="313"/>
      <c r="O503"/>
      <c r="P503" s="26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</row>
    <row r="504" spans="1:38" s="68" customFormat="1" ht="15.75">
      <c r="A504" s="111" t="s">
        <v>1515</v>
      </c>
      <c r="B504" s="159" t="s">
        <v>1654</v>
      </c>
      <c r="C504" s="247" t="s">
        <v>1515</v>
      </c>
      <c r="D504" s="239"/>
      <c r="E504" s="127">
        <v>5000</v>
      </c>
      <c r="F504" s="151" t="s">
        <v>19</v>
      </c>
      <c r="G504" s="180"/>
      <c r="H504" s="181">
        <v>46286</v>
      </c>
      <c r="I504" s="180">
        <v>46286</v>
      </c>
      <c r="J504" s="159"/>
      <c r="K504" s="113" t="s">
        <v>902</v>
      </c>
      <c r="L504" s="216"/>
      <c r="M504" s="268"/>
      <c r="N504" s="269"/>
      <c r="O504" s="283"/>
      <c r="P504" s="310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</row>
    <row r="505" spans="1:38" s="68" customFormat="1" ht="15.75">
      <c r="A505" s="111" t="s">
        <v>1515</v>
      </c>
      <c r="B505" s="114" t="s">
        <v>1655</v>
      </c>
      <c r="C505" s="173" t="s">
        <v>1515</v>
      </c>
      <c r="D505" s="177"/>
      <c r="E505" s="121">
        <v>1700</v>
      </c>
      <c r="F505" s="151" t="s">
        <v>19</v>
      </c>
      <c r="G505" s="180"/>
      <c r="H505" s="180">
        <v>46286</v>
      </c>
      <c r="I505" s="180">
        <v>46286</v>
      </c>
      <c r="J505" s="159"/>
      <c r="K505" s="113" t="s">
        <v>902</v>
      </c>
      <c r="L505" s="216"/>
      <c r="M505" s="268"/>
      <c r="N505" s="269"/>
      <c r="O505" s="283"/>
      <c r="P505" s="310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</row>
    <row r="506" spans="1:38" ht="15.75">
      <c r="A506" s="165" t="s">
        <v>1515</v>
      </c>
      <c r="B506" s="159" t="s">
        <v>1654</v>
      </c>
      <c r="C506" s="247" t="s">
        <v>1515</v>
      </c>
      <c r="D506" s="239"/>
      <c r="E506" s="127">
        <v>26000</v>
      </c>
      <c r="F506" s="151" t="s">
        <v>19</v>
      </c>
      <c r="G506" s="180"/>
      <c r="H506" s="181">
        <v>46286</v>
      </c>
      <c r="I506" s="181">
        <v>46286</v>
      </c>
      <c r="J506" s="159"/>
      <c r="K506" s="113" t="s">
        <v>902</v>
      </c>
      <c r="L506" s="216"/>
      <c r="M506" s="268"/>
      <c r="N506" s="269"/>
      <c r="O506" s="283"/>
      <c r="P506" s="310"/>
    </row>
    <row r="507" spans="1:38" s="68" customFormat="1" ht="15.75">
      <c r="A507" s="111" t="s">
        <v>1515</v>
      </c>
      <c r="B507" s="159" t="s">
        <v>1655</v>
      </c>
      <c r="C507" s="247" t="s">
        <v>1515</v>
      </c>
      <c r="D507" s="239"/>
      <c r="E507" s="127">
        <v>4500</v>
      </c>
      <c r="F507" s="151" t="s">
        <v>19</v>
      </c>
      <c r="G507" s="180"/>
      <c r="H507" s="181">
        <v>46286</v>
      </c>
      <c r="I507" s="181">
        <v>46286</v>
      </c>
      <c r="J507" s="114"/>
      <c r="K507" s="113" t="s">
        <v>902</v>
      </c>
      <c r="L507" s="216"/>
      <c r="M507" s="268"/>
      <c r="N507" s="269"/>
      <c r="O507" s="283"/>
      <c r="P507" s="310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</row>
    <row r="508" spans="1:38" ht="15.75">
      <c r="A508" s="111" t="s">
        <v>1515</v>
      </c>
      <c r="B508" s="114" t="s">
        <v>1655</v>
      </c>
      <c r="C508" s="247" t="s">
        <v>1515</v>
      </c>
      <c r="D508" s="239"/>
      <c r="E508" s="121">
        <v>12000</v>
      </c>
      <c r="F508" s="151" t="s">
        <v>19</v>
      </c>
      <c r="G508" s="180"/>
      <c r="H508" s="180">
        <v>46286</v>
      </c>
      <c r="I508" s="180">
        <v>46286</v>
      </c>
      <c r="J508" s="159"/>
      <c r="K508" s="113" t="s">
        <v>902</v>
      </c>
      <c r="L508" s="216"/>
      <c r="M508" s="177"/>
      <c r="N508" s="121"/>
      <c r="O508" s="283"/>
      <c r="P508" s="180"/>
    </row>
    <row r="509" spans="1:38" ht="15.75">
      <c r="A509" s="111" t="s">
        <v>1515</v>
      </c>
      <c r="B509" s="114" t="s">
        <v>1655</v>
      </c>
      <c r="C509" s="247" t="s">
        <v>1515</v>
      </c>
      <c r="D509" s="239"/>
      <c r="E509" s="121">
        <v>300</v>
      </c>
      <c r="F509" s="151" t="s">
        <v>19</v>
      </c>
      <c r="G509" s="180">
        <v>46286</v>
      </c>
      <c r="H509" s="180">
        <v>46286</v>
      </c>
      <c r="I509" s="180">
        <v>46286</v>
      </c>
      <c r="J509" s="159"/>
      <c r="K509" s="113" t="s">
        <v>902</v>
      </c>
      <c r="L509" s="216"/>
      <c r="M509" s="177"/>
      <c r="N509" s="121"/>
      <c r="O509" s="283"/>
      <c r="P509" s="180"/>
    </row>
    <row r="510" spans="1:38" ht="15.75">
      <c r="A510" s="111" t="s">
        <v>1515</v>
      </c>
      <c r="B510" s="114" t="s">
        <v>1516</v>
      </c>
      <c r="C510" s="243" t="s">
        <v>902</v>
      </c>
      <c r="D510" s="166"/>
      <c r="E510" s="118">
        <v>500</v>
      </c>
      <c r="F510" s="151" t="s">
        <v>19</v>
      </c>
      <c r="G510" s="117"/>
      <c r="H510" s="117">
        <v>46293</v>
      </c>
      <c r="I510" s="117">
        <v>46293</v>
      </c>
      <c r="J510" s="166"/>
      <c r="K510" s="113"/>
      <c r="L510" s="233"/>
      <c r="M510" s="117"/>
      <c r="N510" s="117"/>
      <c r="O510" s="282"/>
      <c r="P510" s="129"/>
    </row>
    <row r="511" spans="1:38" ht="15.75">
      <c r="A511" s="111" t="s">
        <v>1515</v>
      </c>
      <c r="B511" s="114" t="s">
        <v>1528</v>
      </c>
      <c r="C511" s="243" t="s">
        <v>902</v>
      </c>
      <c r="D511" s="166"/>
      <c r="E511" s="118">
        <v>500</v>
      </c>
      <c r="F511" s="151" t="s">
        <v>19</v>
      </c>
      <c r="G511" s="117"/>
      <c r="H511" s="117">
        <v>46293</v>
      </c>
      <c r="I511" s="117">
        <v>46293</v>
      </c>
      <c r="J511" s="166"/>
      <c r="K511" s="113"/>
      <c r="L511" s="233"/>
      <c r="M511" s="117"/>
      <c r="N511" s="117"/>
      <c r="O511" s="282"/>
      <c r="P511" s="129"/>
    </row>
    <row r="512" spans="1:38" ht="15.75">
      <c r="A512" s="111" t="s">
        <v>1515</v>
      </c>
      <c r="B512" s="114" t="s">
        <v>1516</v>
      </c>
      <c r="C512" s="243" t="s">
        <v>902</v>
      </c>
      <c r="D512" s="166"/>
      <c r="E512" s="118">
        <v>1000</v>
      </c>
      <c r="F512" s="151" t="s">
        <v>19</v>
      </c>
      <c r="G512" s="117"/>
      <c r="H512" s="117">
        <v>46293</v>
      </c>
      <c r="I512" s="117">
        <v>46293</v>
      </c>
      <c r="J512" s="166"/>
      <c r="K512" s="113"/>
      <c r="L512" s="233"/>
      <c r="M512" s="117"/>
      <c r="N512" s="117"/>
      <c r="O512" s="282"/>
      <c r="P512" s="129"/>
    </row>
    <row r="513" spans="1:38" ht="15.75">
      <c r="A513" s="114" t="s">
        <v>1375</v>
      </c>
      <c r="B513" s="114" t="s">
        <v>281</v>
      </c>
      <c r="C513" s="166" t="s">
        <v>1574</v>
      </c>
      <c r="D513" s="166">
        <v>538</v>
      </c>
      <c r="E513" s="118">
        <v>4400</v>
      </c>
      <c r="F513" s="117"/>
      <c r="G513" s="117">
        <v>46304</v>
      </c>
      <c r="H513" s="180">
        <v>46325</v>
      </c>
      <c r="I513" s="117" t="s">
        <v>1386</v>
      </c>
      <c r="J513" s="270" t="s">
        <v>1643</v>
      </c>
      <c r="K513" s="113" t="s">
        <v>1377</v>
      </c>
      <c r="L513" s="282"/>
      <c r="M513" s="113"/>
      <c r="N513" s="154"/>
      <c r="P513" s="180"/>
    </row>
    <row r="514" spans="1:38" ht="15.75">
      <c r="A514" s="111" t="s">
        <v>1402</v>
      </c>
      <c r="B514" s="111" t="s">
        <v>1656</v>
      </c>
      <c r="C514" s="307" t="s">
        <v>1479</v>
      </c>
      <c r="D514" s="172" t="s">
        <v>1657</v>
      </c>
      <c r="E514" s="118">
        <v>8135.6</v>
      </c>
      <c r="F514" s="103"/>
      <c r="G514" s="108">
        <v>46244</v>
      </c>
      <c r="H514" s="108">
        <v>46255</v>
      </c>
      <c r="I514" s="108">
        <v>46255</v>
      </c>
      <c r="J514" s="203" t="s">
        <v>1484</v>
      </c>
      <c r="K514" s="113" t="s">
        <v>1346</v>
      </c>
      <c r="M514" s="122"/>
      <c r="N514" s="122"/>
      <c r="P514" s="113"/>
    </row>
    <row r="515" spans="1:38" ht="15.75">
      <c r="A515" s="111" t="s">
        <v>1402</v>
      </c>
      <c r="B515" s="114" t="s">
        <v>1658</v>
      </c>
      <c r="C515" s="166" t="s">
        <v>1458</v>
      </c>
      <c r="D515" s="166" t="s">
        <v>1657</v>
      </c>
      <c r="E515" s="118">
        <v>2680.68</v>
      </c>
      <c r="F515" s="118"/>
      <c r="G515" s="108">
        <v>46247</v>
      </c>
      <c r="H515" s="117">
        <v>46254</v>
      </c>
      <c r="I515" s="117">
        <v>46254</v>
      </c>
      <c r="J515" s="203" t="s">
        <v>1484</v>
      </c>
      <c r="K515" s="113" t="s">
        <v>1405</v>
      </c>
      <c r="M515" s="122"/>
      <c r="N515" s="122"/>
      <c r="P515" s="113"/>
    </row>
    <row r="516" spans="1:38" ht="15.75">
      <c r="A516" s="111" t="s">
        <v>1402</v>
      </c>
      <c r="B516" s="114" t="s">
        <v>1658</v>
      </c>
      <c r="C516" s="166" t="s">
        <v>1458</v>
      </c>
      <c r="D516" s="166" t="s">
        <v>1657</v>
      </c>
      <c r="E516" s="167">
        <v>6254.92</v>
      </c>
      <c r="F516" s="118"/>
      <c r="G516" s="108">
        <v>46247</v>
      </c>
      <c r="H516" s="117">
        <v>46254</v>
      </c>
      <c r="I516" s="117">
        <v>46254</v>
      </c>
      <c r="J516" s="203" t="s">
        <v>1484</v>
      </c>
      <c r="K516" s="113" t="s">
        <v>1405</v>
      </c>
      <c r="M516" s="122"/>
      <c r="N516" s="122"/>
      <c r="P516" s="113"/>
    </row>
    <row r="517" spans="1:38" ht="15.75">
      <c r="A517" s="111" t="s">
        <v>1402</v>
      </c>
      <c r="B517" s="114" t="s">
        <v>1658</v>
      </c>
      <c r="C517" s="166" t="s">
        <v>1458</v>
      </c>
      <c r="D517" s="166" t="s">
        <v>1657</v>
      </c>
      <c r="E517" s="167">
        <v>1120</v>
      </c>
      <c r="F517" s="118"/>
      <c r="G517" s="108">
        <v>46247</v>
      </c>
      <c r="H517" s="117">
        <v>46254</v>
      </c>
      <c r="I517" s="117">
        <v>46254</v>
      </c>
      <c r="J517" s="203" t="s">
        <v>1484</v>
      </c>
      <c r="K517" s="113" t="s">
        <v>1405</v>
      </c>
      <c r="M517" s="122"/>
      <c r="N517" s="122"/>
      <c r="P517" s="113"/>
    </row>
    <row r="518" spans="1:38" ht="15.75">
      <c r="A518" s="165" t="s">
        <v>1464</v>
      </c>
      <c r="B518" s="245" t="s">
        <v>1659</v>
      </c>
      <c r="C518" s="105"/>
      <c r="D518" s="105"/>
      <c r="E518" s="250">
        <v>300</v>
      </c>
      <c r="F518" s="333" t="s">
        <v>19</v>
      </c>
      <c r="G518" s="117">
        <v>46224</v>
      </c>
      <c r="H518" s="108">
        <v>46224</v>
      </c>
      <c r="I518" s="168">
        <v>46224</v>
      </c>
      <c r="J518" s="104" t="s">
        <v>324</v>
      </c>
      <c r="K518" s="113"/>
      <c r="L518" s="258"/>
      <c r="M518" s="108"/>
      <c r="N518" s="149"/>
      <c r="O518" s="260"/>
      <c r="P518" s="560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</row>
    <row r="519" spans="1:38" ht="15.75">
      <c r="A519" s="165" t="s">
        <v>587</v>
      </c>
      <c r="B519" s="159" t="s">
        <v>1660</v>
      </c>
      <c r="C519" s="136" t="s">
        <v>1412</v>
      </c>
      <c r="D519" s="136"/>
      <c r="E519" s="167">
        <v>9000</v>
      </c>
      <c r="F519" s="334" t="s">
        <v>32</v>
      </c>
      <c r="G519" s="117">
        <v>46240</v>
      </c>
      <c r="H519" s="117">
        <v>46240</v>
      </c>
      <c r="I519" s="169">
        <v>46240</v>
      </c>
      <c r="J519" s="112"/>
      <c r="K519" s="113"/>
      <c r="L519" s="323"/>
      <c r="M519" s="122"/>
      <c r="N519" s="122"/>
      <c r="O519" s="242"/>
      <c r="P519" s="113"/>
    </row>
    <row r="520" spans="1:38" ht="15.75">
      <c r="A520" s="111" t="s">
        <v>1402</v>
      </c>
      <c r="B520" s="114" t="s">
        <v>1658</v>
      </c>
      <c r="C520" s="136" t="s">
        <v>1458</v>
      </c>
      <c r="D520" s="136" t="s">
        <v>1657</v>
      </c>
      <c r="E520" s="118">
        <v>480</v>
      </c>
      <c r="F520" s="118"/>
      <c r="G520" s="108">
        <v>46247</v>
      </c>
      <c r="H520" s="117">
        <v>46254</v>
      </c>
      <c r="I520" s="117">
        <v>46254</v>
      </c>
      <c r="J520" s="203" t="s">
        <v>1484</v>
      </c>
      <c r="K520" s="113" t="s">
        <v>1405</v>
      </c>
      <c r="L520" s="130"/>
      <c r="M520" s="122"/>
      <c r="N520" s="122"/>
      <c r="O520" s="242"/>
      <c r="P520" s="113"/>
    </row>
    <row r="521" spans="1:38" ht="15.75">
      <c r="A521" s="111" t="s">
        <v>1408</v>
      </c>
      <c r="B521" s="104" t="s">
        <v>1661</v>
      </c>
      <c r="C521" s="105"/>
      <c r="D521" s="105"/>
      <c r="E521" s="110">
        <v>83500</v>
      </c>
      <c r="F521" s="107" t="s">
        <v>19</v>
      </c>
      <c r="G521" s="117">
        <v>46225</v>
      </c>
      <c r="H521" s="108">
        <v>46225</v>
      </c>
      <c r="I521" s="108">
        <v>46225</v>
      </c>
      <c r="J521" s="104" t="s">
        <v>324</v>
      </c>
      <c r="K521" s="113"/>
      <c r="L521" s="14"/>
      <c r="M521" s="168"/>
      <c r="N521" s="149"/>
      <c r="O521" s="14"/>
      <c r="P521" s="560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</row>
    <row r="522" spans="1:38" ht="15.75">
      <c r="A522" s="111" t="s">
        <v>1662</v>
      </c>
      <c r="B522" s="114" t="s">
        <v>1663</v>
      </c>
      <c r="C522" s="136"/>
      <c r="D522" s="136"/>
      <c r="E522" s="118">
        <v>600</v>
      </c>
      <c r="F522" s="118"/>
      <c r="G522" s="117">
        <v>46262</v>
      </c>
      <c r="H522" s="117">
        <v>46262</v>
      </c>
      <c r="I522" s="117">
        <v>46262</v>
      </c>
      <c r="J522" s="112" t="s">
        <v>1664</v>
      </c>
      <c r="K522" s="113"/>
      <c r="M522" s="170"/>
      <c r="N522" s="122"/>
      <c r="P522" s="113"/>
    </row>
    <row r="523" spans="1:38" ht="15.75">
      <c r="A523" s="111" t="s">
        <v>1298</v>
      </c>
      <c r="B523" s="114" t="s">
        <v>1665</v>
      </c>
      <c r="C523" s="136" t="s">
        <v>1298</v>
      </c>
      <c r="D523" s="136"/>
      <c r="E523" s="118">
        <v>1637.51</v>
      </c>
      <c r="F523" s="151" t="s">
        <v>326</v>
      </c>
      <c r="G523" s="117">
        <v>46295</v>
      </c>
      <c r="H523" s="117">
        <v>46295</v>
      </c>
      <c r="I523" s="117">
        <v>46295</v>
      </c>
      <c r="J523" s="321"/>
      <c r="K523" s="113"/>
      <c r="M523" s="171"/>
      <c r="N523" s="154"/>
      <c r="P523" s="180"/>
    </row>
    <row r="524" spans="1:38" ht="15.75">
      <c r="A524" s="111" t="s">
        <v>1298</v>
      </c>
      <c r="B524" s="114" t="s">
        <v>1665</v>
      </c>
      <c r="C524" s="166" t="s">
        <v>1298</v>
      </c>
      <c r="D524" s="166"/>
      <c r="E524" s="167">
        <v>5000</v>
      </c>
      <c r="F524" s="151" t="s">
        <v>326</v>
      </c>
      <c r="G524" s="117">
        <v>46295</v>
      </c>
      <c r="H524" s="117">
        <v>46295</v>
      </c>
      <c r="I524" s="117">
        <v>46295</v>
      </c>
      <c r="J524" s="166"/>
      <c r="K524" s="113"/>
      <c r="M524" s="171"/>
      <c r="N524" s="154"/>
      <c r="P524" s="180"/>
    </row>
    <row r="525" spans="1:38" ht="15.75">
      <c r="A525" s="111" t="s">
        <v>1402</v>
      </c>
      <c r="B525" s="104" t="s">
        <v>1666</v>
      </c>
      <c r="C525" s="105" t="s">
        <v>1464</v>
      </c>
      <c r="D525" s="105" t="s">
        <v>1667</v>
      </c>
      <c r="E525" s="106">
        <v>8135.6</v>
      </c>
      <c r="F525" s="116" t="s">
        <v>19</v>
      </c>
      <c r="G525" s="108">
        <v>46238</v>
      </c>
      <c r="H525" s="108">
        <v>46238</v>
      </c>
      <c r="I525" s="108">
        <v>46238</v>
      </c>
      <c r="J525" s="112" t="s">
        <v>1484</v>
      </c>
      <c r="K525" s="113" t="s">
        <v>1405</v>
      </c>
      <c r="M525" s="170"/>
      <c r="N525" s="122"/>
      <c r="P525" s="113"/>
    </row>
    <row r="526" spans="1:38" s="68" customFormat="1" ht="15.75">
      <c r="A526" s="111" t="s">
        <v>1402</v>
      </c>
      <c r="B526" s="111" t="s">
        <v>1668</v>
      </c>
      <c r="C526" s="147" t="s">
        <v>1669</v>
      </c>
      <c r="D526" s="118" t="s">
        <v>1669</v>
      </c>
      <c r="E526" s="118">
        <v>1600</v>
      </c>
      <c r="F526" s="118" t="s">
        <v>1669</v>
      </c>
      <c r="G526" s="108">
        <v>46230</v>
      </c>
      <c r="H526" s="117">
        <v>46255</v>
      </c>
      <c r="I526" s="117">
        <v>46255</v>
      </c>
      <c r="J526" s="158"/>
      <c r="K526" s="113" t="s">
        <v>1405</v>
      </c>
      <c r="L526" s="259"/>
      <c r="M526" s="168"/>
      <c r="N526" s="149"/>
      <c r="O526" s="259"/>
      <c r="P526" s="560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</row>
    <row r="527" spans="1:38" ht="15.75">
      <c r="A527" s="114" t="s">
        <v>1402</v>
      </c>
      <c r="B527" s="111" t="s">
        <v>1670</v>
      </c>
      <c r="C527" s="119" t="s">
        <v>1671</v>
      </c>
      <c r="D527" s="151" t="s">
        <v>1669</v>
      </c>
      <c r="E527" s="375">
        <v>1600</v>
      </c>
      <c r="F527" s="118" t="s">
        <v>1671</v>
      </c>
      <c r="G527" s="108">
        <v>46260</v>
      </c>
      <c r="H527" s="117">
        <v>46260</v>
      </c>
      <c r="I527" s="238">
        <v>46260</v>
      </c>
      <c r="J527" s="202"/>
      <c r="K527" s="113" t="s">
        <v>1405</v>
      </c>
      <c r="L527" s="14"/>
      <c r="M527" s="168"/>
      <c r="N527" s="149"/>
      <c r="O527" s="14"/>
      <c r="P527" s="560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</row>
    <row r="528" spans="1:38" ht="15.75">
      <c r="A528" s="114" t="s">
        <v>1402</v>
      </c>
      <c r="B528" s="111" t="s">
        <v>1672</v>
      </c>
      <c r="C528" s="119" t="s">
        <v>1671</v>
      </c>
      <c r="D528" s="151" t="s">
        <v>1669</v>
      </c>
      <c r="E528" s="375">
        <v>1600.01</v>
      </c>
      <c r="F528" s="118" t="s">
        <v>1671</v>
      </c>
      <c r="G528" s="108">
        <v>46260</v>
      </c>
      <c r="H528" s="117">
        <v>46261</v>
      </c>
      <c r="I528" s="238">
        <v>46261</v>
      </c>
      <c r="J528" s="202"/>
      <c r="K528" s="113" t="s">
        <v>1405</v>
      </c>
      <c r="L528" s="14"/>
      <c r="M528" s="168"/>
      <c r="N528" s="149"/>
      <c r="O528" s="14"/>
      <c r="P528" s="560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</row>
    <row r="529" spans="1:38" ht="15.75">
      <c r="A529" s="114" t="s">
        <v>1402</v>
      </c>
      <c r="B529" s="114" t="s">
        <v>1673</v>
      </c>
      <c r="C529" s="135" t="s">
        <v>1671</v>
      </c>
      <c r="D529" s="153" t="s">
        <v>1669</v>
      </c>
      <c r="E529" s="375">
        <v>1600</v>
      </c>
      <c r="F529" s="118" t="s">
        <v>1671</v>
      </c>
      <c r="G529" s="152">
        <v>46260</v>
      </c>
      <c r="H529" s="117">
        <v>46261</v>
      </c>
      <c r="I529" s="238">
        <v>46261</v>
      </c>
      <c r="J529" s="202"/>
      <c r="K529" s="113" t="s">
        <v>1405</v>
      </c>
      <c r="L529" s="14"/>
      <c r="M529" s="168"/>
      <c r="N529" s="149"/>
      <c r="O529" s="14"/>
      <c r="P529" s="560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</row>
    <row r="530" spans="1:38" ht="15.75">
      <c r="A530" s="114" t="s">
        <v>1402</v>
      </c>
      <c r="B530" s="104" t="s">
        <v>1674</v>
      </c>
      <c r="C530" s="105" t="s">
        <v>1211</v>
      </c>
      <c r="D530" s="105" t="s">
        <v>1211</v>
      </c>
      <c r="E530" s="391">
        <v>504.15</v>
      </c>
      <c r="F530" s="111" t="s">
        <v>19</v>
      </c>
      <c r="G530" s="108">
        <v>46217</v>
      </c>
      <c r="H530" s="108">
        <v>46217</v>
      </c>
      <c r="I530" s="558">
        <v>46217</v>
      </c>
      <c r="J530" s="191" t="s">
        <v>324</v>
      </c>
      <c r="K530" s="113" t="s">
        <v>1405</v>
      </c>
      <c r="L530" s="14"/>
      <c r="M530" s="168"/>
      <c r="N530" s="149"/>
      <c r="O530" s="14"/>
      <c r="P530" s="560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</row>
    <row r="531" spans="1:38" ht="15.75">
      <c r="A531" s="114" t="s">
        <v>1402</v>
      </c>
      <c r="B531" s="104" t="s">
        <v>1674</v>
      </c>
      <c r="C531" s="105" t="s">
        <v>1211</v>
      </c>
      <c r="D531" s="105" t="s">
        <v>1211</v>
      </c>
      <c r="E531" s="391">
        <v>421.35</v>
      </c>
      <c r="F531" s="111" t="s">
        <v>19</v>
      </c>
      <c r="G531" s="108">
        <v>46217</v>
      </c>
      <c r="H531" s="108">
        <v>46217</v>
      </c>
      <c r="I531" s="558">
        <v>46217</v>
      </c>
      <c r="J531" s="191" t="s">
        <v>324</v>
      </c>
      <c r="K531" s="113" t="s">
        <v>1405</v>
      </c>
      <c r="L531" s="14"/>
      <c r="M531" s="168"/>
      <c r="N531" s="149"/>
      <c r="O531" s="14"/>
      <c r="P531" s="560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</row>
    <row r="532" spans="1:38" ht="15.75">
      <c r="A532" s="114" t="s">
        <v>1402</v>
      </c>
      <c r="B532" s="104" t="s">
        <v>1674</v>
      </c>
      <c r="C532" s="105" t="s">
        <v>1211</v>
      </c>
      <c r="D532" s="105" t="s">
        <v>1211</v>
      </c>
      <c r="E532" s="391">
        <v>504.15</v>
      </c>
      <c r="F532" s="111" t="s">
        <v>19</v>
      </c>
      <c r="G532" s="108">
        <v>46217</v>
      </c>
      <c r="H532" s="108">
        <v>46217</v>
      </c>
      <c r="I532" s="558">
        <v>46217</v>
      </c>
      <c r="J532" s="191" t="s">
        <v>324</v>
      </c>
      <c r="K532" s="113" t="s">
        <v>1405</v>
      </c>
      <c r="L532" s="14"/>
      <c r="M532" s="168"/>
      <c r="N532" s="149"/>
      <c r="O532" s="14"/>
      <c r="P532" s="560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</row>
    <row r="533" spans="1:38" ht="15.75">
      <c r="A533" s="114" t="s">
        <v>1402</v>
      </c>
      <c r="B533" s="104" t="s">
        <v>1674</v>
      </c>
      <c r="C533" s="105" t="s">
        <v>1211</v>
      </c>
      <c r="D533" s="105" t="s">
        <v>1211</v>
      </c>
      <c r="E533" s="391">
        <v>421.35</v>
      </c>
      <c r="F533" s="111" t="s">
        <v>19</v>
      </c>
      <c r="G533" s="108">
        <v>46217</v>
      </c>
      <c r="H533" s="108">
        <v>46217</v>
      </c>
      <c r="I533" s="558">
        <v>46217</v>
      </c>
      <c r="J533" s="191" t="s">
        <v>324</v>
      </c>
      <c r="K533" s="113" t="s">
        <v>1405</v>
      </c>
      <c r="L533" s="14"/>
      <c r="M533" s="168"/>
      <c r="N533" s="149"/>
      <c r="O533" s="14"/>
      <c r="P533" s="560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</row>
    <row r="534" spans="1:38" s="68" customFormat="1" ht="15.75">
      <c r="A534" s="111" t="s">
        <v>1402</v>
      </c>
      <c r="B534" s="104" t="s">
        <v>1674</v>
      </c>
      <c r="C534" s="105" t="s">
        <v>1211</v>
      </c>
      <c r="D534" s="105" t="s">
        <v>1211</v>
      </c>
      <c r="E534" s="391">
        <v>421.35</v>
      </c>
      <c r="F534" s="107" t="s">
        <v>19</v>
      </c>
      <c r="G534" s="108">
        <v>46220</v>
      </c>
      <c r="H534" s="108">
        <v>46190</v>
      </c>
      <c r="I534" s="558">
        <v>46190</v>
      </c>
      <c r="J534" s="192" t="s">
        <v>152</v>
      </c>
      <c r="K534" s="113" t="s">
        <v>1405</v>
      </c>
      <c r="L534" s="14"/>
      <c r="M534" s="168"/>
      <c r="N534" s="149"/>
      <c r="O534" s="14"/>
      <c r="P534" s="560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</row>
    <row r="535" spans="1:38" s="68" customFormat="1" ht="15.75">
      <c r="A535" s="111" t="s">
        <v>1402</v>
      </c>
      <c r="B535" s="104" t="s">
        <v>1674</v>
      </c>
      <c r="C535" s="105" t="s">
        <v>1211</v>
      </c>
      <c r="D535" s="105" t="s">
        <v>1211</v>
      </c>
      <c r="E535" s="391">
        <v>421.35</v>
      </c>
      <c r="F535" s="107" t="s">
        <v>19</v>
      </c>
      <c r="G535" s="108">
        <v>46220</v>
      </c>
      <c r="H535" s="108">
        <v>46190</v>
      </c>
      <c r="I535" s="558">
        <v>46190</v>
      </c>
      <c r="J535" s="192" t="s">
        <v>152</v>
      </c>
      <c r="K535" s="113" t="s">
        <v>1405</v>
      </c>
      <c r="L535" s="14"/>
      <c r="M535" s="168"/>
      <c r="N535" s="149"/>
      <c r="O535" s="14"/>
      <c r="P535" s="560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</row>
    <row r="536" spans="1:38" s="68" customFormat="1" ht="15.75">
      <c r="A536" s="111" t="s">
        <v>1402</v>
      </c>
      <c r="B536" s="104" t="s">
        <v>1674</v>
      </c>
      <c r="C536" s="105" t="s">
        <v>1211</v>
      </c>
      <c r="D536" s="105" t="s">
        <v>1211</v>
      </c>
      <c r="E536" s="391">
        <v>263.14999999999998</v>
      </c>
      <c r="F536" s="107" t="s">
        <v>19</v>
      </c>
      <c r="G536" s="108">
        <v>46224</v>
      </c>
      <c r="H536" s="558">
        <v>46224</v>
      </c>
      <c r="I536" s="558">
        <v>46224</v>
      </c>
      <c r="J536" s="312" t="s">
        <v>324</v>
      </c>
      <c r="K536" s="113" t="s">
        <v>1405</v>
      </c>
      <c r="L536" s="259"/>
      <c r="M536" s="168"/>
      <c r="N536" s="149"/>
      <c r="O536" s="257"/>
      <c r="P536" s="560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</row>
    <row r="537" spans="1:38" s="68" customFormat="1" ht="15.75">
      <c r="A537" s="111" t="s">
        <v>1402</v>
      </c>
      <c r="B537" s="104" t="s">
        <v>1674</v>
      </c>
      <c r="C537" s="105" t="s">
        <v>1211</v>
      </c>
      <c r="D537" s="105" t="s">
        <v>1211</v>
      </c>
      <c r="E537" s="391">
        <v>421.35</v>
      </c>
      <c r="F537" s="107" t="s">
        <v>19</v>
      </c>
      <c r="G537" s="108">
        <v>46224</v>
      </c>
      <c r="H537" s="558">
        <v>46224</v>
      </c>
      <c r="I537" s="558">
        <v>46224</v>
      </c>
      <c r="J537" s="312" t="s">
        <v>324</v>
      </c>
      <c r="K537" s="113" t="s">
        <v>1405</v>
      </c>
      <c r="L537" s="14"/>
      <c r="M537" s="168"/>
      <c r="N537" s="149"/>
      <c r="O537" s="14"/>
      <c r="P537" s="560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</row>
    <row r="538" spans="1:38" s="68" customFormat="1" ht="15.75">
      <c r="A538" s="111" t="s">
        <v>1402</v>
      </c>
      <c r="B538" s="104" t="s">
        <v>1674</v>
      </c>
      <c r="C538" s="105" t="s">
        <v>1211</v>
      </c>
      <c r="D538" s="105" t="s">
        <v>1211</v>
      </c>
      <c r="E538" s="391">
        <v>263.14999999999998</v>
      </c>
      <c r="F538" s="107" t="s">
        <v>19</v>
      </c>
      <c r="G538" s="108">
        <v>46224</v>
      </c>
      <c r="H538" s="108">
        <v>46224</v>
      </c>
      <c r="I538" s="558">
        <v>46224</v>
      </c>
      <c r="J538" s="312" t="s">
        <v>324</v>
      </c>
      <c r="K538" s="113" t="s">
        <v>1405</v>
      </c>
      <c r="L538" s="14"/>
      <c r="M538" s="168"/>
      <c r="N538" s="149"/>
      <c r="O538" s="14"/>
      <c r="P538" s="560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</row>
    <row r="539" spans="1:38" s="68" customFormat="1" ht="15.75">
      <c r="A539" s="111" t="s">
        <v>1402</v>
      </c>
      <c r="B539" s="104" t="s">
        <v>1674</v>
      </c>
      <c r="C539" s="105" t="s">
        <v>1211</v>
      </c>
      <c r="D539" s="105" t="s">
        <v>1211</v>
      </c>
      <c r="E539" s="391">
        <v>263.14999999999998</v>
      </c>
      <c r="F539" s="107" t="s">
        <v>19</v>
      </c>
      <c r="G539" s="108">
        <v>46224</v>
      </c>
      <c r="H539" s="558">
        <v>46224</v>
      </c>
      <c r="I539" s="558">
        <v>46224</v>
      </c>
      <c r="J539" s="312" t="s">
        <v>324</v>
      </c>
      <c r="K539" s="113" t="s">
        <v>1405</v>
      </c>
      <c r="L539" s="14"/>
      <c r="M539" s="168"/>
      <c r="N539" s="149"/>
      <c r="O539" s="14"/>
      <c r="P539" s="560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</row>
    <row r="540" spans="1:38" s="68" customFormat="1" ht="15.75">
      <c r="A540" s="111" t="s">
        <v>1402</v>
      </c>
      <c r="B540" s="104" t="s">
        <v>1674</v>
      </c>
      <c r="C540" s="105" t="s">
        <v>1211</v>
      </c>
      <c r="D540" s="105" t="s">
        <v>1211</v>
      </c>
      <c r="E540" s="110">
        <v>421.35</v>
      </c>
      <c r="F540" s="107" t="s">
        <v>19</v>
      </c>
      <c r="G540" s="108">
        <v>46227</v>
      </c>
      <c r="H540" s="108">
        <v>46227</v>
      </c>
      <c r="I540" s="108">
        <v>46227</v>
      </c>
      <c r="J540" s="104" t="s">
        <v>324</v>
      </c>
      <c r="K540" s="113" t="s">
        <v>1405</v>
      </c>
      <c r="L540" s="14"/>
      <c r="M540" s="168"/>
      <c r="N540" s="149"/>
      <c r="O540" s="14"/>
      <c r="P540" s="560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</row>
    <row r="541" spans="1:38" s="68" customFormat="1" ht="15.75">
      <c r="A541" s="111" t="s">
        <v>1402</v>
      </c>
      <c r="B541" s="104" t="s">
        <v>1674</v>
      </c>
      <c r="C541" s="105" t="s">
        <v>1211</v>
      </c>
      <c r="D541" s="105" t="s">
        <v>1211</v>
      </c>
      <c r="E541" s="106">
        <v>435.95</v>
      </c>
      <c r="F541" s="107" t="s">
        <v>1675</v>
      </c>
      <c r="G541" s="108">
        <v>46241</v>
      </c>
      <c r="H541" s="108">
        <v>46241</v>
      </c>
      <c r="I541" s="108">
        <v>46241</v>
      </c>
      <c r="J541" s="112" t="s">
        <v>1445</v>
      </c>
      <c r="K541" s="113" t="s">
        <v>1405</v>
      </c>
      <c r="L541" s="262"/>
      <c r="M541" s="338"/>
      <c r="N541" s="338"/>
      <c r="O541" s="313"/>
      <c r="P541" s="17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</row>
    <row r="542" spans="1:38" s="68" customFormat="1" ht="15.75">
      <c r="A542" s="111" t="s">
        <v>1402</v>
      </c>
      <c r="B542" s="104" t="s">
        <v>1674</v>
      </c>
      <c r="C542" s="105" t="s">
        <v>1211</v>
      </c>
      <c r="D542" s="105" t="s">
        <v>1211</v>
      </c>
      <c r="E542" s="106">
        <v>421.35</v>
      </c>
      <c r="F542" s="107" t="s">
        <v>1675</v>
      </c>
      <c r="G542" s="108">
        <v>46241</v>
      </c>
      <c r="H542" s="108">
        <v>46241</v>
      </c>
      <c r="I542" s="108">
        <v>46241</v>
      </c>
      <c r="J542" s="112" t="s">
        <v>1445</v>
      </c>
      <c r="K542" s="113" t="s">
        <v>1405</v>
      </c>
      <c r="L542" s="262"/>
      <c r="M542" s="338"/>
      <c r="N542" s="338"/>
      <c r="O542" s="313"/>
      <c r="P542" s="171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</row>
    <row r="543" spans="1:38" ht="15.75">
      <c r="A543" s="111" t="s">
        <v>1402</v>
      </c>
      <c r="B543" s="104" t="s">
        <v>1674</v>
      </c>
      <c r="C543" s="105" t="s">
        <v>1211</v>
      </c>
      <c r="D543" s="105" t="s">
        <v>1211</v>
      </c>
      <c r="E543" s="118">
        <v>263.14999999999998</v>
      </c>
      <c r="F543" s="118" t="s">
        <v>1675</v>
      </c>
      <c r="G543" s="108">
        <v>46253</v>
      </c>
      <c r="H543" s="108">
        <v>46253</v>
      </c>
      <c r="I543" s="108">
        <v>46253</v>
      </c>
      <c r="J543" s="132"/>
      <c r="K543" s="113" t="s">
        <v>1405</v>
      </c>
      <c r="L543" s="393"/>
      <c r="M543" s="338"/>
      <c r="N543" s="338"/>
      <c r="O543" s="242"/>
      <c r="P543" s="332"/>
    </row>
    <row r="544" spans="1:38" ht="15.75">
      <c r="A544" s="111" t="s">
        <v>1402</v>
      </c>
      <c r="B544" s="111" t="s">
        <v>1676</v>
      </c>
      <c r="C544" s="183" t="s">
        <v>1223</v>
      </c>
      <c r="D544" s="154" t="s">
        <v>1223</v>
      </c>
      <c r="E544" s="118">
        <v>504.15</v>
      </c>
      <c r="F544" s="392" t="s">
        <v>19</v>
      </c>
      <c r="G544" s="108">
        <v>46269</v>
      </c>
      <c r="H544" s="180">
        <v>46269</v>
      </c>
      <c r="I544" s="117">
        <v>46269</v>
      </c>
      <c r="J544" s="111"/>
      <c r="K544" s="113" t="s">
        <v>1405</v>
      </c>
      <c r="M544" s="326"/>
      <c r="N544" s="326"/>
      <c r="P544" s="332"/>
    </row>
    <row r="545" spans="1:38" ht="15.75">
      <c r="A545" s="128" t="s">
        <v>1402</v>
      </c>
      <c r="B545" s="128" t="s">
        <v>1677</v>
      </c>
      <c r="C545" s="173" t="s">
        <v>1348</v>
      </c>
      <c r="D545" s="185"/>
      <c r="E545" s="174">
        <f>5*1600</f>
        <v>8000</v>
      </c>
      <c r="F545" s="108"/>
      <c r="G545" s="184">
        <v>46295</v>
      </c>
      <c r="H545" s="275">
        <f>G545+10</f>
        <v>46305</v>
      </c>
      <c r="I545" s="183" t="s">
        <v>1678</v>
      </c>
      <c r="J545" s="185" t="s">
        <v>1679</v>
      </c>
      <c r="K545" s="113"/>
      <c r="L545" s="281"/>
      <c r="M545" s="117"/>
      <c r="N545" s="111"/>
      <c r="O545" s="25"/>
      <c r="P545" s="310"/>
    </row>
    <row r="546" spans="1:38" ht="15.75">
      <c r="A546" s="128" t="s">
        <v>1402</v>
      </c>
      <c r="B546" s="128" t="s">
        <v>1680</v>
      </c>
      <c r="C546" s="183" t="s">
        <v>1467</v>
      </c>
      <c r="D546" s="185"/>
      <c r="E546" s="174">
        <f>21*1600</f>
        <v>33600</v>
      </c>
      <c r="F546" s="108"/>
      <c r="G546" s="184">
        <v>46295</v>
      </c>
      <c r="H546" s="275">
        <f>G546+10</f>
        <v>46305</v>
      </c>
      <c r="I546" s="183" t="s">
        <v>1678</v>
      </c>
      <c r="J546" s="185" t="s">
        <v>1679</v>
      </c>
      <c r="K546" s="113"/>
      <c r="L546" s="281"/>
      <c r="M546" s="117"/>
      <c r="N546" s="111"/>
      <c r="O546" s="25"/>
      <c r="P546" s="310"/>
    </row>
    <row r="547" spans="1:38" ht="15.75">
      <c r="A547" s="128" t="s">
        <v>1402</v>
      </c>
      <c r="B547" s="128" t="s">
        <v>1681</v>
      </c>
      <c r="C547" s="183" t="s">
        <v>1458</v>
      </c>
      <c r="D547" s="185"/>
      <c r="E547" s="174">
        <v>1600</v>
      </c>
      <c r="F547" s="117"/>
      <c r="G547" s="184">
        <v>46295</v>
      </c>
      <c r="H547" s="275">
        <f>G547+10</f>
        <v>46305</v>
      </c>
      <c r="I547" s="183" t="s">
        <v>1678</v>
      </c>
      <c r="J547" s="185" t="s">
        <v>1679</v>
      </c>
      <c r="K547" s="113"/>
      <c r="L547" s="282"/>
      <c r="M547" s="113"/>
      <c r="N547" s="154"/>
      <c r="O547" s="233"/>
      <c r="P547" s="310"/>
    </row>
    <row r="548" spans="1:38" ht="15.75">
      <c r="A548" s="114" t="s">
        <v>1375</v>
      </c>
      <c r="B548" s="114" t="s">
        <v>281</v>
      </c>
      <c r="C548" s="136" t="s">
        <v>1574</v>
      </c>
      <c r="D548" s="136">
        <v>539</v>
      </c>
      <c r="E548" s="118">
        <v>4400</v>
      </c>
      <c r="F548" s="117"/>
      <c r="G548" s="117">
        <v>46304</v>
      </c>
      <c r="H548" s="180">
        <v>46325</v>
      </c>
      <c r="I548" s="117" t="s">
        <v>1386</v>
      </c>
      <c r="J548" s="267" t="s">
        <v>1643</v>
      </c>
      <c r="K548" s="113" t="s">
        <v>1377</v>
      </c>
      <c r="L548" s="282"/>
      <c r="M548" s="113"/>
      <c r="N548" s="154"/>
      <c r="P548" s="180"/>
    </row>
    <row r="549" spans="1:38" ht="15.75">
      <c r="A549" s="114" t="s">
        <v>1402</v>
      </c>
      <c r="B549" s="104" t="s">
        <v>1444</v>
      </c>
      <c r="C549" s="104"/>
      <c r="D549" s="104"/>
      <c r="E549" s="110">
        <v>15042</v>
      </c>
      <c r="F549" s="107" t="s">
        <v>19</v>
      </c>
      <c r="G549" s="117">
        <v>46210</v>
      </c>
      <c r="H549" s="108">
        <v>46210</v>
      </c>
      <c r="I549" s="108">
        <v>46210</v>
      </c>
      <c r="J549" s="113" t="s">
        <v>321</v>
      </c>
      <c r="K549" s="113" t="s">
        <v>1405</v>
      </c>
      <c r="L549" s="394"/>
      <c r="M549" s="108"/>
      <c r="N549" s="149"/>
      <c r="O549" s="384"/>
      <c r="P549" s="560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</row>
    <row r="550" spans="1:38" ht="15.75">
      <c r="A550" s="114" t="s">
        <v>1402</v>
      </c>
      <c r="B550" s="104" t="s">
        <v>1444</v>
      </c>
      <c r="C550" s="104"/>
      <c r="D550" s="104"/>
      <c r="E550" s="110">
        <v>15042</v>
      </c>
      <c r="F550" s="107" t="s">
        <v>19</v>
      </c>
      <c r="G550" s="117">
        <v>46210</v>
      </c>
      <c r="H550" s="108">
        <v>46210</v>
      </c>
      <c r="I550" s="108">
        <v>46210</v>
      </c>
      <c r="J550" s="113" t="s">
        <v>321</v>
      </c>
      <c r="K550" s="113" t="s">
        <v>1405</v>
      </c>
      <c r="L550" s="394"/>
      <c r="M550" s="108"/>
      <c r="N550" s="149"/>
      <c r="O550" s="384"/>
      <c r="P550" s="560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</row>
    <row r="551" spans="1:38" ht="15.75">
      <c r="A551" s="114" t="s">
        <v>1402</v>
      </c>
      <c r="B551" s="104" t="s">
        <v>1444</v>
      </c>
      <c r="C551" s="104"/>
      <c r="D551" s="104"/>
      <c r="E551" s="110">
        <v>14626.95</v>
      </c>
      <c r="F551" s="107" t="s">
        <v>19</v>
      </c>
      <c r="G551" s="117">
        <v>46212</v>
      </c>
      <c r="H551" s="108">
        <v>46212</v>
      </c>
      <c r="I551" s="108">
        <v>46212</v>
      </c>
      <c r="J551" s="113" t="s">
        <v>324</v>
      </c>
      <c r="K551" s="113" t="s">
        <v>1405</v>
      </c>
      <c r="L551" s="394"/>
      <c r="M551" s="108"/>
      <c r="N551" s="149"/>
      <c r="O551" s="384"/>
      <c r="P551" s="560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</row>
    <row r="552" spans="1:38" ht="15.75">
      <c r="A552" s="114" t="s">
        <v>1402</v>
      </c>
      <c r="B552" s="104" t="s">
        <v>1444</v>
      </c>
      <c r="C552" s="105"/>
      <c r="D552" s="104"/>
      <c r="E552" s="110">
        <v>13500</v>
      </c>
      <c r="F552" s="111" t="s">
        <v>19</v>
      </c>
      <c r="G552" s="117">
        <v>46217</v>
      </c>
      <c r="H552" s="108">
        <v>46217</v>
      </c>
      <c r="I552" s="108">
        <v>46217</v>
      </c>
      <c r="J552" s="113" t="s">
        <v>324</v>
      </c>
      <c r="K552" s="113" t="s">
        <v>1405</v>
      </c>
      <c r="L552" s="394"/>
      <c r="M552" s="108"/>
      <c r="N552" s="149"/>
      <c r="O552" s="14"/>
      <c r="P552" s="318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</row>
    <row r="553" spans="1:38" ht="15.75">
      <c r="A553" s="114" t="s">
        <v>1375</v>
      </c>
      <c r="B553" s="114" t="s">
        <v>281</v>
      </c>
      <c r="C553" s="136" t="s">
        <v>1584</v>
      </c>
      <c r="D553" s="136">
        <v>540</v>
      </c>
      <c r="E553" s="118">
        <v>4400</v>
      </c>
      <c r="F553" s="117"/>
      <c r="G553" s="117">
        <v>46304</v>
      </c>
      <c r="H553" s="180">
        <v>46325</v>
      </c>
      <c r="I553" s="117" t="s">
        <v>1386</v>
      </c>
      <c r="J553" s="267" t="s">
        <v>1643</v>
      </c>
      <c r="K553" s="113" t="s">
        <v>1377</v>
      </c>
      <c r="L553" s="398"/>
      <c r="M553" s="113"/>
      <c r="N553" s="154"/>
      <c r="P553" s="180"/>
    </row>
    <row r="554" spans="1:38" ht="15.75">
      <c r="A554" s="114" t="s">
        <v>1375</v>
      </c>
      <c r="B554" s="114" t="s">
        <v>281</v>
      </c>
      <c r="C554" s="136" t="s">
        <v>1584</v>
      </c>
      <c r="D554" s="136">
        <v>541</v>
      </c>
      <c r="E554" s="118">
        <v>4400</v>
      </c>
      <c r="F554" s="117"/>
      <c r="G554" s="117">
        <v>46304</v>
      </c>
      <c r="H554" s="180">
        <v>46325</v>
      </c>
      <c r="I554" s="117" t="s">
        <v>1386</v>
      </c>
      <c r="J554" s="267" t="s">
        <v>1682</v>
      </c>
      <c r="K554" s="113" t="s">
        <v>1377</v>
      </c>
      <c r="L554" s="398"/>
      <c r="M554" s="113"/>
      <c r="N554" s="154"/>
      <c r="P554" s="180"/>
    </row>
    <row r="555" spans="1:38" ht="15.75">
      <c r="A555" s="111" t="s">
        <v>1402</v>
      </c>
      <c r="B555" s="114" t="s">
        <v>1683</v>
      </c>
      <c r="C555" s="136" t="s">
        <v>1684</v>
      </c>
      <c r="D555" s="136">
        <v>542</v>
      </c>
      <c r="E555" s="118">
        <v>4000.01</v>
      </c>
      <c r="F555" s="117"/>
      <c r="G555" s="117">
        <v>46308</v>
      </c>
      <c r="H555" s="180">
        <v>46325</v>
      </c>
      <c r="I555" s="105" t="s">
        <v>1386</v>
      </c>
      <c r="J555" s="267" t="s">
        <v>1685</v>
      </c>
      <c r="K555" s="113" t="s">
        <v>1405</v>
      </c>
      <c r="L555" s="395"/>
      <c r="M555" s="117"/>
      <c r="N555" s="105"/>
      <c r="O555" s="322"/>
      <c r="P555" s="332"/>
    </row>
    <row r="556" spans="1:38" ht="15.75">
      <c r="A556" s="111" t="s">
        <v>1402</v>
      </c>
      <c r="B556" s="114" t="s">
        <v>1686</v>
      </c>
      <c r="C556" s="136" t="s">
        <v>1687</v>
      </c>
      <c r="D556" s="136">
        <v>543</v>
      </c>
      <c r="E556" s="118">
        <v>1408.01</v>
      </c>
      <c r="F556" s="117"/>
      <c r="G556" s="117">
        <v>46308</v>
      </c>
      <c r="H556" s="180">
        <v>46325</v>
      </c>
      <c r="I556" s="105" t="s">
        <v>1386</v>
      </c>
      <c r="J556" s="267" t="s">
        <v>1688</v>
      </c>
      <c r="K556" s="113" t="s">
        <v>1405</v>
      </c>
      <c r="L556" s="395"/>
      <c r="M556" s="117"/>
      <c r="N556" s="105"/>
      <c r="O556" s="322"/>
      <c r="P556" s="332"/>
    </row>
    <row r="557" spans="1:38" ht="15.75">
      <c r="A557" s="111" t="s">
        <v>1402</v>
      </c>
      <c r="B557" s="114" t="s">
        <v>1689</v>
      </c>
      <c r="C557" s="136" t="s">
        <v>1690</v>
      </c>
      <c r="D557" s="136">
        <v>544</v>
      </c>
      <c r="E557" s="118">
        <v>1200.01</v>
      </c>
      <c r="F557" s="117"/>
      <c r="G557" s="117">
        <v>46308</v>
      </c>
      <c r="H557" s="180">
        <v>46325</v>
      </c>
      <c r="I557" s="105" t="s">
        <v>1386</v>
      </c>
      <c r="J557" s="267" t="s">
        <v>1691</v>
      </c>
      <c r="K557" s="113" t="s">
        <v>1405</v>
      </c>
      <c r="L557" s="395"/>
      <c r="M557" s="117"/>
      <c r="N557" s="105"/>
      <c r="O557" s="322"/>
      <c r="P557" s="332"/>
    </row>
    <row r="558" spans="1:38" ht="15.75">
      <c r="A558" s="114" t="s">
        <v>1515</v>
      </c>
      <c r="B558" s="114" t="s">
        <v>1528</v>
      </c>
      <c r="C558" s="114" t="s">
        <v>1515</v>
      </c>
      <c r="D558" s="114" t="s">
        <v>1515</v>
      </c>
      <c r="E558" s="121">
        <v>27200</v>
      </c>
      <c r="F558" s="151" t="s">
        <v>19</v>
      </c>
      <c r="G558" s="180">
        <v>46308</v>
      </c>
      <c r="H558" s="180">
        <v>46308</v>
      </c>
      <c r="I558" s="180">
        <v>46308</v>
      </c>
      <c r="J558" s="112"/>
      <c r="K558" s="113"/>
    </row>
    <row r="559" spans="1:38" ht="15.75">
      <c r="A559" s="111" t="s">
        <v>1402</v>
      </c>
      <c r="B559" s="114" t="s">
        <v>1692</v>
      </c>
      <c r="C559" s="119" t="s">
        <v>1671</v>
      </c>
      <c r="D559" s="136">
        <v>545</v>
      </c>
      <c r="E559" s="118">
        <v>800</v>
      </c>
      <c r="F559" s="118"/>
      <c r="G559" s="117">
        <v>46309</v>
      </c>
      <c r="H559" s="117">
        <v>46325</v>
      </c>
      <c r="I559" s="105" t="s">
        <v>1386</v>
      </c>
      <c r="J559" s="112" t="s">
        <v>1693</v>
      </c>
      <c r="K559" s="113" t="s">
        <v>1405</v>
      </c>
    </row>
    <row r="560" spans="1:38" ht="15.75">
      <c r="A560" s="111" t="s">
        <v>1447</v>
      </c>
      <c r="B560" s="114" t="s">
        <v>1448</v>
      </c>
      <c r="C560" s="136" t="s">
        <v>1361</v>
      </c>
      <c r="D560" s="136">
        <v>429</v>
      </c>
      <c r="E560" s="118">
        <v>6000</v>
      </c>
      <c r="F560" s="119"/>
      <c r="G560" s="108">
        <v>46269</v>
      </c>
      <c r="H560" s="180">
        <f>G560+60</f>
        <v>46329</v>
      </c>
      <c r="I560" s="117" t="s">
        <v>1386</v>
      </c>
      <c r="J560" s="112" t="s">
        <v>1694</v>
      </c>
      <c r="K560" s="113" t="s">
        <v>1450</v>
      </c>
      <c r="L560" s="102"/>
      <c r="M560" s="326"/>
      <c r="N560" s="326"/>
      <c r="P560" s="332"/>
    </row>
    <row r="561" spans="1:38" ht="15.75">
      <c r="A561" s="114" t="s">
        <v>1515</v>
      </c>
      <c r="B561" s="159" t="s">
        <v>1528</v>
      </c>
      <c r="C561" s="114" t="s">
        <v>1515</v>
      </c>
      <c r="D561" s="114" t="s">
        <v>1515</v>
      </c>
      <c r="E561" s="121">
        <v>4200</v>
      </c>
      <c r="F561" s="151" t="s">
        <v>19</v>
      </c>
      <c r="G561" s="180">
        <v>46308</v>
      </c>
      <c r="H561" s="180">
        <v>46308</v>
      </c>
      <c r="I561" s="180">
        <v>46308</v>
      </c>
      <c r="J561" s="112"/>
      <c r="K561" s="113"/>
    </row>
    <row r="562" spans="1:38" ht="15.75">
      <c r="A562" s="114" t="s">
        <v>1515</v>
      </c>
      <c r="B562" s="159" t="s">
        <v>1651</v>
      </c>
      <c r="C562" s="114" t="s">
        <v>1515</v>
      </c>
      <c r="D562" s="114" t="s">
        <v>1515</v>
      </c>
      <c r="E562" s="121">
        <v>320</v>
      </c>
      <c r="F562" s="151" t="s">
        <v>19</v>
      </c>
      <c r="G562" s="180">
        <v>46308</v>
      </c>
      <c r="H562" s="180">
        <v>46308</v>
      </c>
      <c r="I562" s="180">
        <v>46308</v>
      </c>
      <c r="J562" s="112"/>
      <c r="K562" s="113"/>
    </row>
    <row r="563" spans="1:38" ht="15.75">
      <c r="A563" s="114" t="s">
        <v>1515</v>
      </c>
      <c r="B563" s="159" t="s">
        <v>1516</v>
      </c>
      <c r="C563" s="114" t="s">
        <v>1515</v>
      </c>
      <c r="D563" s="114" t="s">
        <v>1515</v>
      </c>
      <c r="E563" s="121">
        <v>230</v>
      </c>
      <c r="F563" s="151" t="s">
        <v>19</v>
      </c>
      <c r="G563" s="180">
        <v>46308</v>
      </c>
      <c r="H563" s="180">
        <v>46308</v>
      </c>
      <c r="I563" s="180">
        <v>46308</v>
      </c>
      <c r="J563" s="112"/>
      <c r="K563" s="113"/>
    </row>
    <row r="564" spans="1:38" ht="15.75">
      <c r="A564" s="114" t="s">
        <v>1515</v>
      </c>
      <c r="B564" s="159" t="s">
        <v>1516</v>
      </c>
      <c r="C564" s="114" t="s">
        <v>1515</v>
      </c>
      <c r="D564" s="114" t="s">
        <v>1515</v>
      </c>
      <c r="E564" s="121">
        <v>133</v>
      </c>
      <c r="F564" s="151" t="s">
        <v>19</v>
      </c>
      <c r="G564" s="180">
        <v>46308</v>
      </c>
      <c r="H564" s="180">
        <v>46308</v>
      </c>
      <c r="I564" s="180">
        <v>46308</v>
      </c>
      <c r="J564" s="112"/>
      <c r="K564" s="113"/>
    </row>
    <row r="565" spans="1:38" ht="15.75">
      <c r="A565" s="114" t="s">
        <v>1515</v>
      </c>
      <c r="B565" s="159" t="s">
        <v>1516</v>
      </c>
      <c r="C565" s="114" t="s">
        <v>1515</v>
      </c>
      <c r="D565" s="114" t="s">
        <v>1515</v>
      </c>
      <c r="E565" s="121">
        <v>3660</v>
      </c>
      <c r="F565" s="151" t="s">
        <v>19</v>
      </c>
      <c r="G565" s="180">
        <v>46308</v>
      </c>
      <c r="H565" s="180">
        <v>46308</v>
      </c>
      <c r="I565" s="180">
        <v>46308</v>
      </c>
      <c r="J565" s="112"/>
      <c r="K565" s="113"/>
    </row>
    <row r="566" spans="1:38" ht="15.75">
      <c r="A566" s="111" t="s">
        <v>1402</v>
      </c>
      <c r="B566" s="104" t="s">
        <v>1444</v>
      </c>
      <c r="C566" s="105"/>
      <c r="D566" s="105"/>
      <c r="E566" s="110">
        <v>10529.4</v>
      </c>
      <c r="F566" s="107" t="s">
        <v>19</v>
      </c>
      <c r="G566" s="117">
        <v>46220</v>
      </c>
      <c r="H566" s="108">
        <v>46220</v>
      </c>
      <c r="I566" s="108">
        <v>46220</v>
      </c>
      <c r="J566" s="112" t="s">
        <v>152</v>
      </c>
      <c r="K566" s="113" t="s">
        <v>1405</v>
      </c>
      <c r="L566" s="14"/>
      <c r="M566" s="320"/>
      <c r="N566" s="328"/>
      <c r="O566" s="14"/>
      <c r="P566" s="318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</row>
    <row r="567" spans="1:38" ht="15.75">
      <c r="A567" s="111" t="s">
        <v>1402</v>
      </c>
      <c r="B567" s="104" t="s">
        <v>1444</v>
      </c>
      <c r="C567" s="105"/>
      <c r="D567" s="105"/>
      <c r="E567" s="110">
        <v>14241</v>
      </c>
      <c r="F567" s="107" t="s">
        <v>19</v>
      </c>
      <c r="G567" s="117">
        <v>46220</v>
      </c>
      <c r="H567" s="108">
        <v>46220</v>
      </c>
      <c r="I567" s="108">
        <v>46220</v>
      </c>
      <c r="J567" s="112" t="s">
        <v>152</v>
      </c>
      <c r="K567" s="113" t="s">
        <v>1405</v>
      </c>
      <c r="L567" s="14"/>
      <c r="M567" s="320"/>
      <c r="N567" s="328"/>
      <c r="O567" s="14"/>
      <c r="P567" s="318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</row>
    <row r="568" spans="1:38" ht="15.75">
      <c r="A568" s="111" t="s">
        <v>1402</v>
      </c>
      <c r="B568" s="104" t="s">
        <v>1444</v>
      </c>
      <c r="C568" s="105"/>
      <c r="D568" s="105"/>
      <c r="E568" s="110">
        <v>8135.6</v>
      </c>
      <c r="F568" s="107" t="s">
        <v>19</v>
      </c>
      <c r="G568" s="117">
        <v>46221</v>
      </c>
      <c r="H568" s="108">
        <v>46221</v>
      </c>
      <c r="I568" s="108">
        <v>46221</v>
      </c>
      <c r="J568" s="112" t="s">
        <v>324</v>
      </c>
      <c r="K568" s="113" t="s">
        <v>1405</v>
      </c>
      <c r="L568" s="14"/>
      <c r="M568" s="320"/>
      <c r="N568" s="328"/>
      <c r="O568" s="14"/>
      <c r="P568" s="318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</row>
    <row r="569" spans="1:38" ht="15.75">
      <c r="A569" s="165" t="s">
        <v>1402</v>
      </c>
      <c r="B569" s="104" t="s">
        <v>1444</v>
      </c>
      <c r="C569" s="105"/>
      <c r="D569" s="105"/>
      <c r="E569" s="110">
        <v>4512.6000000000004</v>
      </c>
      <c r="F569" s="107" t="s">
        <v>19</v>
      </c>
      <c r="G569" s="117">
        <v>46225</v>
      </c>
      <c r="H569" s="108">
        <v>46225</v>
      </c>
      <c r="I569" s="108">
        <v>46225</v>
      </c>
      <c r="J569" s="112" t="s">
        <v>324</v>
      </c>
      <c r="K569" s="113" t="s">
        <v>1405</v>
      </c>
      <c r="L569" s="14"/>
      <c r="M569" s="320"/>
      <c r="N569" s="328"/>
      <c r="O569" s="14"/>
      <c r="P569" s="318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</row>
    <row r="570" spans="1:38" ht="15.75">
      <c r="A570" s="111" t="s">
        <v>1402</v>
      </c>
      <c r="B570" s="104" t="s">
        <v>1444</v>
      </c>
      <c r="C570" s="105"/>
      <c r="D570" s="105"/>
      <c r="E570" s="110">
        <v>8135.6</v>
      </c>
      <c r="F570" s="107" t="s">
        <v>19</v>
      </c>
      <c r="G570" s="169">
        <v>46225</v>
      </c>
      <c r="H570" s="168">
        <v>46225</v>
      </c>
      <c r="I570" s="168">
        <v>46225</v>
      </c>
      <c r="J570" s="112" t="s">
        <v>324</v>
      </c>
      <c r="K570" s="113" t="s">
        <v>1405</v>
      </c>
      <c r="L570" s="14"/>
      <c r="M570" s="320"/>
      <c r="N570" s="328"/>
      <c r="O570" s="14"/>
      <c r="P570" s="318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</row>
    <row r="571" spans="1:38" ht="15.75">
      <c r="A571" s="111" t="s">
        <v>1402</v>
      </c>
      <c r="B571" s="104" t="s">
        <v>1444</v>
      </c>
      <c r="C571" s="105"/>
      <c r="D571" s="105"/>
      <c r="E571" s="110">
        <v>4512.6000000000004</v>
      </c>
      <c r="F571" s="107" t="s">
        <v>19</v>
      </c>
      <c r="G571" s="117">
        <v>46225</v>
      </c>
      <c r="H571" s="108">
        <v>46225</v>
      </c>
      <c r="I571" s="108">
        <v>46225</v>
      </c>
      <c r="J571" s="112" t="s">
        <v>324</v>
      </c>
      <c r="K571" s="113" t="s">
        <v>1405</v>
      </c>
      <c r="L571" s="14"/>
      <c r="M571" s="320"/>
      <c r="N571" s="328"/>
      <c r="O571" s="14"/>
      <c r="P571" s="318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</row>
    <row r="572" spans="1:38" ht="15.75">
      <c r="A572" s="114" t="s">
        <v>1695</v>
      </c>
      <c r="B572" s="114" t="s">
        <v>1696</v>
      </c>
      <c r="C572" s="136" t="s">
        <v>1367</v>
      </c>
      <c r="D572" s="136" t="s">
        <v>1398</v>
      </c>
      <c r="E572" s="121">
        <v>2500</v>
      </c>
      <c r="F572" s="108" t="s">
        <v>19</v>
      </c>
      <c r="G572" s="180">
        <v>46275</v>
      </c>
      <c r="H572" s="180">
        <v>46288</v>
      </c>
      <c r="I572" s="180">
        <v>46309</v>
      </c>
      <c r="J572" s="112" t="s">
        <v>1697</v>
      </c>
      <c r="K572" s="113"/>
      <c r="L572" s="198"/>
      <c r="M572" s="320"/>
      <c r="N572" s="328"/>
      <c r="O572" s="14"/>
      <c r="P572" s="318"/>
    </row>
    <row r="573" spans="1:38" ht="15.75">
      <c r="A573" s="111" t="s">
        <v>1402</v>
      </c>
      <c r="B573" s="104" t="s">
        <v>1444</v>
      </c>
      <c r="C573" s="105"/>
      <c r="D573" s="105"/>
      <c r="E573" s="110">
        <v>15042</v>
      </c>
      <c r="F573" s="107" t="s">
        <v>19</v>
      </c>
      <c r="G573" s="117">
        <v>46225</v>
      </c>
      <c r="H573" s="108">
        <v>46225</v>
      </c>
      <c r="I573" s="108">
        <v>46225</v>
      </c>
      <c r="J573" s="112" t="s">
        <v>324</v>
      </c>
      <c r="K573" s="113" t="s">
        <v>1405</v>
      </c>
      <c r="L573" s="14"/>
      <c r="M573" s="320"/>
      <c r="N573" s="328"/>
      <c r="O573" s="14"/>
      <c r="P573" s="318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</row>
    <row r="574" spans="1:38" ht="15.75">
      <c r="A574" s="111" t="s">
        <v>1402</v>
      </c>
      <c r="B574" s="104" t="s">
        <v>1444</v>
      </c>
      <c r="C574" s="105"/>
      <c r="D574" s="105"/>
      <c r="E574" s="110">
        <v>8135.6</v>
      </c>
      <c r="F574" s="107" t="s">
        <v>19</v>
      </c>
      <c r="G574" s="117">
        <v>46225</v>
      </c>
      <c r="H574" s="108">
        <v>46225</v>
      </c>
      <c r="I574" s="108">
        <v>46225</v>
      </c>
      <c r="J574" s="112" t="s">
        <v>324</v>
      </c>
      <c r="K574" s="113" t="s">
        <v>1405</v>
      </c>
      <c r="L574" s="14"/>
      <c r="M574" s="320"/>
      <c r="N574" s="328"/>
      <c r="O574" s="14"/>
      <c r="P574" s="318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</row>
    <row r="575" spans="1:38" ht="15.75">
      <c r="A575" s="111" t="s">
        <v>1402</v>
      </c>
      <c r="B575" s="104" t="s">
        <v>1444</v>
      </c>
      <c r="C575" s="105"/>
      <c r="D575" s="105"/>
      <c r="E575" s="110">
        <v>8135.6</v>
      </c>
      <c r="F575" s="107" t="s">
        <v>19</v>
      </c>
      <c r="G575" s="117">
        <v>46225</v>
      </c>
      <c r="H575" s="108">
        <v>46225</v>
      </c>
      <c r="I575" s="108">
        <v>46225</v>
      </c>
      <c r="J575" s="112" t="s">
        <v>324</v>
      </c>
      <c r="K575" s="113" t="s">
        <v>1405</v>
      </c>
      <c r="L575" s="14"/>
      <c r="M575" s="320"/>
      <c r="N575" s="328"/>
      <c r="O575" s="14"/>
      <c r="P575" s="318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</row>
    <row r="576" spans="1:38" ht="15.75">
      <c r="A576" s="111" t="s">
        <v>1402</v>
      </c>
      <c r="B576" s="104" t="s">
        <v>1444</v>
      </c>
      <c r="C576" s="105"/>
      <c r="D576" s="105"/>
      <c r="E576" s="110">
        <v>10529.4</v>
      </c>
      <c r="F576" s="107" t="s">
        <v>19</v>
      </c>
      <c r="G576" s="117">
        <v>46227</v>
      </c>
      <c r="H576" s="108">
        <v>46227</v>
      </c>
      <c r="I576" s="108">
        <v>46227</v>
      </c>
      <c r="J576" s="112" t="s">
        <v>324</v>
      </c>
      <c r="K576" s="113" t="s">
        <v>1405</v>
      </c>
      <c r="L576" s="14"/>
      <c r="M576" s="320"/>
      <c r="N576" s="328"/>
      <c r="O576" s="14"/>
      <c r="P576" s="318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</row>
    <row r="577" spans="1:38" ht="15.75">
      <c r="A577" s="111" t="s">
        <v>1402</v>
      </c>
      <c r="B577" s="104" t="s">
        <v>1444</v>
      </c>
      <c r="C577" s="105"/>
      <c r="D577" s="105"/>
      <c r="E577" s="106">
        <v>8135.6</v>
      </c>
      <c r="F577" s="107" t="s">
        <v>19</v>
      </c>
      <c r="G577" s="117">
        <v>46231</v>
      </c>
      <c r="H577" s="108">
        <v>46231</v>
      </c>
      <c r="I577" s="108">
        <v>46231</v>
      </c>
      <c r="J577" s="112" t="s">
        <v>1445</v>
      </c>
      <c r="K577" s="113" t="s">
        <v>1405</v>
      </c>
      <c r="L577" s="14"/>
      <c r="M577" s="320"/>
      <c r="N577" s="328"/>
      <c r="O577" s="14"/>
      <c r="P577" s="318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</row>
    <row r="578" spans="1:38" ht="15.75">
      <c r="A578" s="111" t="s">
        <v>1402</v>
      </c>
      <c r="B578" s="104" t="s">
        <v>1444</v>
      </c>
      <c r="C578" s="105"/>
      <c r="D578" s="105"/>
      <c r="E578" s="106">
        <v>8135.6</v>
      </c>
      <c r="F578" s="107" t="s">
        <v>19</v>
      </c>
      <c r="G578" s="117">
        <v>46231</v>
      </c>
      <c r="H578" s="108">
        <v>46231</v>
      </c>
      <c r="I578" s="108">
        <v>46231</v>
      </c>
      <c r="J578" s="112" t="s">
        <v>1445</v>
      </c>
      <c r="K578" s="113" t="s">
        <v>1405</v>
      </c>
      <c r="L578" s="14"/>
      <c r="M578" s="320"/>
      <c r="N578" s="328"/>
      <c r="O578" s="14"/>
      <c r="P578" s="318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</row>
    <row r="579" spans="1:38" ht="15.75">
      <c r="A579" s="111" t="s">
        <v>1402</v>
      </c>
      <c r="B579" s="104" t="s">
        <v>1444</v>
      </c>
      <c r="C579" s="105"/>
      <c r="D579" s="105"/>
      <c r="E579" s="106">
        <v>4512.6000000000004</v>
      </c>
      <c r="F579" s="107" t="s">
        <v>19</v>
      </c>
      <c r="G579" s="117">
        <v>46231</v>
      </c>
      <c r="H579" s="108">
        <v>46231</v>
      </c>
      <c r="I579" s="108">
        <v>46231</v>
      </c>
      <c r="J579" s="112" t="s">
        <v>1445</v>
      </c>
      <c r="K579" s="113" t="s">
        <v>1405</v>
      </c>
      <c r="L579" s="14"/>
      <c r="M579" s="320"/>
      <c r="N579" s="328"/>
      <c r="O579" s="14"/>
      <c r="P579" s="318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</row>
    <row r="580" spans="1:38" ht="15.75">
      <c r="A580" s="111" t="s">
        <v>1402</v>
      </c>
      <c r="B580" s="104" t="s">
        <v>1444</v>
      </c>
      <c r="C580" s="105"/>
      <c r="D580" s="105"/>
      <c r="E580" s="106">
        <v>8135.6</v>
      </c>
      <c r="F580" s="107" t="s">
        <v>19</v>
      </c>
      <c r="G580" s="117">
        <v>46231</v>
      </c>
      <c r="H580" s="108">
        <v>46231</v>
      </c>
      <c r="I580" s="108">
        <v>46231</v>
      </c>
      <c r="J580" s="112" t="s">
        <v>1445</v>
      </c>
      <c r="K580" s="113" t="s">
        <v>1405</v>
      </c>
      <c r="L580" s="14"/>
      <c r="M580" s="320"/>
      <c r="N580" s="328"/>
      <c r="O580" s="14"/>
      <c r="P580" s="318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</row>
    <row r="581" spans="1:38" ht="15.75">
      <c r="A581" s="111" t="s">
        <v>1402</v>
      </c>
      <c r="B581" s="114" t="s">
        <v>1698</v>
      </c>
      <c r="C581" s="136" t="s">
        <v>1479</v>
      </c>
      <c r="D581" s="136"/>
      <c r="E581" s="118">
        <v>15042</v>
      </c>
      <c r="F581" s="141"/>
      <c r="G581" s="117">
        <v>46240</v>
      </c>
      <c r="H581" s="117">
        <f>G581+5</f>
        <v>46245</v>
      </c>
      <c r="I581" s="117">
        <f>H581</f>
        <v>46245</v>
      </c>
      <c r="J581" s="112"/>
      <c r="K581" s="113" t="s">
        <v>1405</v>
      </c>
      <c r="M581" s="326"/>
      <c r="N581" s="326"/>
      <c r="P581" s="332"/>
    </row>
    <row r="582" spans="1:38" ht="15.75">
      <c r="A582" s="114" t="s">
        <v>1346</v>
      </c>
      <c r="B582" s="114" t="s">
        <v>1699</v>
      </c>
      <c r="C582" s="267" t="s">
        <v>1618</v>
      </c>
      <c r="D582" s="177">
        <v>0.7</v>
      </c>
      <c r="E582" s="121">
        <f>5400*70%</f>
        <v>3779.9999999999995</v>
      </c>
      <c r="F582" s="108" t="s">
        <v>19</v>
      </c>
      <c r="G582" s="180">
        <v>46309</v>
      </c>
      <c r="H582" s="180">
        <v>46309</v>
      </c>
      <c r="I582" s="180">
        <v>46309</v>
      </c>
      <c r="J582" s="112"/>
      <c r="K582" s="113"/>
    </row>
    <row r="583" spans="1:38" ht="15.75">
      <c r="A583" s="359" t="s">
        <v>1346</v>
      </c>
      <c r="B583" s="359" t="s">
        <v>1700</v>
      </c>
      <c r="C583" s="360"/>
      <c r="D583" s="361"/>
      <c r="E583" s="362">
        <f>5400*70%</f>
        <v>3779.9999999999995</v>
      </c>
      <c r="F583" s="108" t="s">
        <v>19</v>
      </c>
      <c r="G583" s="363">
        <v>46309</v>
      </c>
      <c r="H583" s="363">
        <v>46309</v>
      </c>
      <c r="I583" s="363">
        <v>46309</v>
      </c>
      <c r="J583" s="112"/>
      <c r="K583" s="113"/>
    </row>
    <row r="584" spans="1:38" ht="15.75">
      <c r="A584" s="111" t="s">
        <v>1402</v>
      </c>
      <c r="B584" s="111" t="s">
        <v>1676</v>
      </c>
      <c r="C584" s="119" t="s">
        <v>1223</v>
      </c>
      <c r="D584" s="154"/>
      <c r="E584" s="118">
        <v>421.35</v>
      </c>
      <c r="F584" s="118"/>
      <c r="G584" s="117">
        <v>46262</v>
      </c>
      <c r="H584" s="117">
        <v>46262</v>
      </c>
      <c r="I584" s="108">
        <v>46262</v>
      </c>
      <c r="J584" s="112"/>
      <c r="K584" s="113" t="s">
        <v>1405</v>
      </c>
      <c r="M584" s="326"/>
      <c r="N584" s="326"/>
      <c r="P584" s="332"/>
    </row>
    <row r="585" spans="1:38" s="140" customFormat="1" ht="15.75">
      <c r="A585" s="111" t="s">
        <v>1346</v>
      </c>
      <c r="B585" s="114" t="s">
        <v>1701</v>
      </c>
      <c r="C585" s="267" t="s">
        <v>1384</v>
      </c>
      <c r="D585" s="177">
        <v>0.3</v>
      </c>
      <c r="E585" s="118">
        <v>1560</v>
      </c>
      <c r="F585" s="151" t="s">
        <v>19</v>
      </c>
      <c r="G585" s="108">
        <v>46281</v>
      </c>
      <c r="H585" s="180">
        <f>G585+5</f>
        <v>46286</v>
      </c>
      <c r="I585" s="180">
        <v>46310</v>
      </c>
      <c r="J585" s="112"/>
      <c r="K585" s="113" t="s">
        <v>1350</v>
      </c>
      <c r="L585"/>
      <c r="M585" s="108"/>
      <c r="N585" s="149"/>
      <c r="O585" s="14"/>
      <c r="P585" s="560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</row>
    <row r="586" spans="1:38" ht="15.75">
      <c r="A586" s="111" t="s">
        <v>1447</v>
      </c>
      <c r="B586" s="114" t="s">
        <v>1448</v>
      </c>
      <c r="C586" s="136" t="s">
        <v>1361</v>
      </c>
      <c r="D586" s="166">
        <v>430</v>
      </c>
      <c r="E586" s="118">
        <v>6000</v>
      </c>
      <c r="F586" s="119"/>
      <c r="G586" s="108">
        <v>46269</v>
      </c>
      <c r="H586" s="180">
        <f>G586+60</f>
        <v>46329</v>
      </c>
      <c r="I586" s="117" t="s">
        <v>1386</v>
      </c>
      <c r="J586" s="112" t="s">
        <v>1694</v>
      </c>
      <c r="K586" s="113" t="s">
        <v>1450</v>
      </c>
      <c r="L586" s="102"/>
      <c r="M586" s="326"/>
      <c r="N586" s="326"/>
      <c r="P586" s="332"/>
    </row>
    <row r="587" spans="1:38" ht="15.75">
      <c r="A587" s="159" t="s">
        <v>1375</v>
      </c>
      <c r="B587" s="159" t="s">
        <v>281</v>
      </c>
      <c r="C587" s="119" t="s">
        <v>1367</v>
      </c>
      <c r="D587" s="166">
        <v>546</v>
      </c>
      <c r="E587" s="118">
        <v>4013.45</v>
      </c>
      <c r="F587" s="118"/>
      <c r="G587" s="117">
        <v>46309</v>
      </c>
      <c r="H587" s="117"/>
      <c r="I587" s="108" t="s">
        <v>1702</v>
      </c>
      <c r="J587" s="112" t="s">
        <v>1703</v>
      </c>
      <c r="K587" s="113" t="s">
        <v>1377</v>
      </c>
      <c r="M587" s="113"/>
      <c r="N587" s="154"/>
      <c r="P587" s="180"/>
    </row>
    <row r="588" spans="1:38" ht="15.75">
      <c r="A588" s="159" t="s">
        <v>1375</v>
      </c>
      <c r="B588" s="159" t="s">
        <v>281</v>
      </c>
      <c r="C588" s="119" t="s">
        <v>1367</v>
      </c>
      <c r="D588" s="166">
        <v>547</v>
      </c>
      <c r="E588" s="118">
        <v>4013.45</v>
      </c>
      <c r="F588" s="118"/>
      <c r="G588" s="117">
        <v>46309</v>
      </c>
      <c r="H588" s="117"/>
      <c r="I588" s="108" t="s">
        <v>1702</v>
      </c>
      <c r="J588" s="112" t="s">
        <v>1703</v>
      </c>
      <c r="K588" s="113" t="s">
        <v>1377</v>
      </c>
      <c r="M588" s="113"/>
      <c r="N588" s="154"/>
      <c r="P588" s="180"/>
    </row>
    <row r="589" spans="1:38" ht="15.75">
      <c r="A589" s="159" t="s">
        <v>1375</v>
      </c>
      <c r="B589" s="159" t="s">
        <v>281</v>
      </c>
      <c r="C589" s="119" t="s">
        <v>1579</v>
      </c>
      <c r="D589" s="166">
        <v>548</v>
      </c>
      <c r="E589" s="118">
        <v>4013.45</v>
      </c>
      <c r="F589" s="118"/>
      <c r="G589" s="117">
        <v>46309</v>
      </c>
      <c r="H589" s="117"/>
      <c r="I589" s="108" t="s">
        <v>1702</v>
      </c>
      <c r="J589" s="112" t="s">
        <v>1703</v>
      </c>
      <c r="K589" s="113" t="s">
        <v>1377</v>
      </c>
      <c r="M589" s="113"/>
      <c r="N589" s="154"/>
      <c r="P589" s="180"/>
    </row>
    <row r="590" spans="1:38" ht="15.75">
      <c r="A590" s="159" t="s">
        <v>1375</v>
      </c>
      <c r="B590" s="159" t="s">
        <v>281</v>
      </c>
      <c r="C590" s="119" t="s">
        <v>1579</v>
      </c>
      <c r="D590" s="166">
        <v>549</v>
      </c>
      <c r="E590" s="118">
        <v>4013.45</v>
      </c>
      <c r="F590" s="118"/>
      <c r="G590" s="117">
        <v>46309</v>
      </c>
      <c r="H590" s="117"/>
      <c r="I590" s="108" t="s">
        <v>1702</v>
      </c>
      <c r="J590" s="112" t="s">
        <v>1703</v>
      </c>
      <c r="K590" s="113" t="s">
        <v>1377</v>
      </c>
      <c r="M590" s="113"/>
      <c r="N590" s="154"/>
      <c r="P590" s="180"/>
    </row>
    <row r="591" spans="1:38" ht="15.75">
      <c r="A591" s="159" t="s">
        <v>1375</v>
      </c>
      <c r="B591" s="159" t="s">
        <v>281</v>
      </c>
      <c r="C591" s="119" t="s">
        <v>1467</v>
      </c>
      <c r="D591" s="166">
        <v>550</v>
      </c>
      <c r="E591" s="118">
        <v>4013.45</v>
      </c>
      <c r="F591" s="118"/>
      <c r="G591" s="117">
        <v>46309</v>
      </c>
      <c r="H591" s="117"/>
      <c r="I591" s="108" t="s">
        <v>1702</v>
      </c>
      <c r="J591" s="112" t="s">
        <v>1704</v>
      </c>
      <c r="K591" s="113" t="s">
        <v>1377</v>
      </c>
      <c r="M591" s="113"/>
      <c r="N591" s="154"/>
      <c r="P591" s="180"/>
    </row>
    <row r="592" spans="1:38" ht="15.75">
      <c r="A592" s="159" t="s">
        <v>1375</v>
      </c>
      <c r="B592" s="159" t="s">
        <v>281</v>
      </c>
      <c r="C592" s="119" t="s">
        <v>1467</v>
      </c>
      <c r="D592" s="166">
        <v>551</v>
      </c>
      <c r="E592" s="118">
        <v>4013.45</v>
      </c>
      <c r="F592" s="118"/>
      <c r="G592" s="117">
        <v>46309</v>
      </c>
      <c r="H592" s="117"/>
      <c r="I592" s="108" t="s">
        <v>1702</v>
      </c>
      <c r="J592" s="112" t="s">
        <v>1704</v>
      </c>
      <c r="K592" s="113" t="s">
        <v>1377</v>
      </c>
      <c r="M592" s="113"/>
      <c r="N592" s="154"/>
      <c r="P592" s="180"/>
    </row>
    <row r="593" spans="1:16" ht="15.75">
      <c r="A593" s="159" t="s">
        <v>1375</v>
      </c>
      <c r="B593" s="159" t="s">
        <v>281</v>
      </c>
      <c r="C593" s="119" t="s">
        <v>1458</v>
      </c>
      <c r="D593" s="166">
        <v>552</v>
      </c>
      <c r="E593" s="118">
        <v>4013.45</v>
      </c>
      <c r="F593" s="118"/>
      <c r="G593" s="117">
        <v>46309</v>
      </c>
      <c r="H593" s="117"/>
      <c r="I593" s="108" t="s">
        <v>1702</v>
      </c>
      <c r="J593" s="112" t="s">
        <v>1704</v>
      </c>
      <c r="K593" s="113" t="s">
        <v>1377</v>
      </c>
      <c r="M593" s="113"/>
      <c r="N593" s="154"/>
      <c r="P593" s="180"/>
    </row>
    <row r="594" spans="1:16" ht="15.75">
      <c r="A594" s="159" t="s">
        <v>1375</v>
      </c>
      <c r="B594" s="159" t="s">
        <v>281</v>
      </c>
      <c r="C594" s="119" t="s">
        <v>1458</v>
      </c>
      <c r="D594" s="166">
        <v>553</v>
      </c>
      <c r="E594" s="118">
        <v>4013.45</v>
      </c>
      <c r="F594" s="118"/>
      <c r="G594" s="117">
        <v>46309</v>
      </c>
      <c r="H594" s="117"/>
      <c r="I594" s="108" t="s">
        <v>1702</v>
      </c>
      <c r="J594" s="112" t="s">
        <v>1704</v>
      </c>
      <c r="K594" s="113" t="s">
        <v>1377</v>
      </c>
      <c r="M594" s="113"/>
      <c r="N594" s="154"/>
      <c r="P594" s="180"/>
    </row>
    <row r="595" spans="1:16" ht="15.75">
      <c r="A595" s="159" t="s">
        <v>1375</v>
      </c>
      <c r="B595" s="159" t="s">
        <v>281</v>
      </c>
      <c r="C595" s="119" t="s">
        <v>1584</v>
      </c>
      <c r="D595" s="166">
        <v>554</v>
      </c>
      <c r="E595" s="118">
        <v>4013.45</v>
      </c>
      <c r="F595" s="118"/>
      <c r="G595" s="117">
        <v>46309</v>
      </c>
      <c r="H595" s="117"/>
      <c r="I595" s="108" t="s">
        <v>1702</v>
      </c>
      <c r="J595" s="112" t="s">
        <v>1704</v>
      </c>
      <c r="K595" s="113" t="s">
        <v>1377</v>
      </c>
      <c r="M595" s="113"/>
      <c r="N595" s="154"/>
      <c r="P595" s="180"/>
    </row>
    <row r="596" spans="1:16" ht="15.75">
      <c r="A596" s="159" t="s">
        <v>1375</v>
      </c>
      <c r="B596" s="159" t="s">
        <v>281</v>
      </c>
      <c r="C596" s="119" t="s">
        <v>1584</v>
      </c>
      <c r="D596" s="166">
        <v>555</v>
      </c>
      <c r="E596" s="118">
        <v>4013.45</v>
      </c>
      <c r="F596" s="118"/>
      <c r="G596" s="117">
        <v>46309</v>
      </c>
      <c r="H596" s="117"/>
      <c r="I596" s="108" t="s">
        <v>1702</v>
      </c>
      <c r="J596" s="112" t="s">
        <v>1704</v>
      </c>
      <c r="K596" s="113" t="s">
        <v>1377</v>
      </c>
      <c r="M596" s="113"/>
      <c r="N596" s="154"/>
      <c r="P596" s="180"/>
    </row>
    <row r="597" spans="1:16" ht="15.75">
      <c r="A597" s="159" t="s">
        <v>1375</v>
      </c>
      <c r="B597" s="159" t="s">
        <v>281</v>
      </c>
      <c r="C597" s="119" t="s">
        <v>1574</v>
      </c>
      <c r="D597" s="166">
        <v>556</v>
      </c>
      <c r="E597" s="118">
        <v>4013.45</v>
      </c>
      <c r="F597" s="118"/>
      <c r="G597" s="117">
        <v>46309</v>
      </c>
      <c r="H597" s="117"/>
      <c r="I597" s="108" t="s">
        <v>1702</v>
      </c>
      <c r="J597" s="112" t="s">
        <v>1704</v>
      </c>
      <c r="K597" s="113" t="s">
        <v>1377</v>
      </c>
      <c r="M597" s="113"/>
      <c r="N597" s="154"/>
      <c r="P597" s="180"/>
    </row>
    <row r="598" spans="1:16" ht="15.75">
      <c r="A598" s="159" t="s">
        <v>1375</v>
      </c>
      <c r="B598" s="159" t="s">
        <v>281</v>
      </c>
      <c r="C598" s="119" t="s">
        <v>1574</v>
      </c>
      <c r="D598" s="166">
        <v>557</v>
      </c>
      <c r="E598" s="118">
        <v>4013.45</v>
      </c>
      <c r="F598" s="118"/>
      <c r="G598" s="117">
        <v>46309</v>
      </c>
      <c r="H598" s="117"/>
      <c r="I598" s="108" t="s">
        <v>1702</v>
      </c>
      <c r="J598" s="112" t="s">
        <v>1704</v>
      </c>
      <c r="K598" s="113" t="s">
        <v>1377</v>
      </c>
      <c r="M598" s="113"/>
      <c r="N598" s="154"/>
      <c r="P598" s="180"/>
    </row>
    <row r="599" spans="1:16" ht="15.75">
      <c r="A599" s="159" t="s">
        <v>1375</v>
      </c>
      <c r="B599" s="159" t="s">
        <v>281</v>
      </c>
      <c r="C599" s="119" t="s">
        <v>1348</v>
      </c>
      <c r="D599" s="166">
        <v>558</v>
      </c>
      <c r="E599" s="118">
        <v>4013.45</v>
      </c>
      <c r="F599" s="118"/>
      <c r="G599" s="117">
        <v>46310</v>
      </c>
      <c r="H599" s="117"/>
      <c r="I599" s="108" t="s">
        <v>1702</v>
      </c>
      <c r="J599" s="112" t="s">
        <v>1705</v>
      </c>
      <c r="K599" s="113" t="s">
        <v>1377</v>
      </c>
      <c r="M599" s="113"/>
      <c r="N599" s="154"/>
      <c r="P599" s="180"/>
    </row>
    <row r="600" spans="1:16" ht="15.75">
      <c r="A600" s="114" t="s">
        <v>1375</v>
      </c>
      <c r="B600" s="114" t="s">
        <v>281</v>
      </c>
      <c r="C600" s="119" t="s">
        <v>1348</v>
      </c>
      <c r="D600" s="136">
        <v>559</v>
      </c>
      <c r="E600" s="118">
        <v>4013.45</v>
      </c>
      <c r="F600" s="118"/>
      <c r="G600" s="117">
        <v>46310</v>
      </c>
      <c r="H600" s="117"/>
      <c r="I600" s="108" t="s">
        <v>1702</v>
      </c>
      <c r="J600" s="112" t="s">
        <v>1705</v>
      </c>
      <c r="K600" s="113" t="s">
        <v>1377</v>
      </c>
      <c r="M600" s="113"/>
      <c r="N600" s="154"/>
      <c r="P600" s="180"/>
    </row>
    <row r="601" spans="1:16" ht="15.75">
      <c r="A601" s="111" t="s">
        <v>1402</v>
      </c>
      <c r="B601" s="114" t="s">
        <v>1706</v>
      </c>
      <c r="C601" s="119" t="s">
        <v>1707</v>
      </c>
      <c r="D601" s="136">
        <v>571</v>
      </c>
      <c r="E601" s="118">
        <v>26500</v>
      </c>
      <c r="F601" s="118"/>
      <c r="G601" s="117">
        <v>46314</v>
      </c>
      <c r="H601" s="117">
        <f>G601+10</f>
        <v>46324</v>
      </c>
      <c r="I601" s="117" t="s">
        <v>1626</v>
      </c>
      <c r="J601" s="112" t="s">
        <v>1708</v>
      </c>
      <c r="K601" s="113"/>
    </row>
    <row r="602" spans="1:16" ht="15.75">
      <c r="A602" s="111" t="s">
        <v>1447</v>
      </c>
      <c r="B602" s="114" t="s">
        <v>1448</v>
      </c>
      <c r="C602" s="119" t="s">
        <v>1367</v>
      </c>
      <c r="D602" s="136">
        <v>431</v>
      </c>
      <c r="E602" s="118">
        <v>6000</v>
      </c>
      <c r="F602" s="118"/>
      <c r="G602" s="117">
        <v>46269</v>
      </c>
      <c r="H602" s="117">
        <f>G602+60</f>
        <v>46329</v>
      </c>
      <c r="I602" s="108" t="s">
        <v>1386</v>
      </c>
      <c r="J602" s="112" t="s">
        <v>1709</v>
      </c>
      <c r="K602" s="113" t="s">
        <v>1450</v>
      </c>
      <c r="L602" s="102"/>
      <c r="M602" s="326"/>
      <c r="N602" s="326"/>
      <c r="P602" s="332"/>
    </row>
    <row r="603" spans="1:16" ht="15.75">
      <c r="A603" s="111" t="s">
        <v>1447</v>
      </c>
      <c r="B603" s="114" t="s">
        <v>1448</v>
      </c>
      <c r="C603" s="119" t="s">
        <v>1367</v>
      </c>
      <c r="D603" s="136">
        <v>432</v>
      </c>
      <c r="E603" s="118">
        <v>6000</v>
      </c>
      <c r="F603" s="118"/>
      <c r="G603" s="117">
        <v>46269</v>
      </c>
      <c r="H603" s="117">
        <f>G603+60</f>
        <v>46329</v>
      </c>
      <c r="I603" s="108" t="s">
        <v>1386</v>
      </c>
      <c r="J603" s="112" t="s">
        <v>1709</v>
      </c>
      <c r="K603" s="113" t="s">
        <v>1450</v>
      </c>
      <c r="L603" s="102"/>
      <c r="M603" s="326"/>
      <c r="N603" s="326"/>
      <c r="P603" s="332"/>
    </row>
    <row r="604" spans="1:16" ht="15.75">
      <c r="A604" s="111" t="s">
        <v>1447</v>
      </c>
      <c r="B604" s="114" t="s">
        <v>1448</v>
      </c>
      <c r="C604" s="119" t="s">
        <v>1460</v>
      </c>
      <c r="D604" s="136">
        <v>433</v>
      </c>
      <c r="E604" s="118">
        <v>7500</v>
      </c>
      <c r="F604" s="118"/>
      <c r="G604" s="117">
        <v>46269</v>
      </c>
      <c r="H604" s="117">
        <f>G604+60</f>
        <v>46329</v>
      </c>
      <c r="I604" s="108" t="s">
        <v>1386</v>
      </c>
      <c r="J604" s="112"/>
      <c r="K604" s="113" t="s">
        <v>1450</v>
      </c>
      <c r="L604" s="102"/>
      <c r="M604" s="326"/>
      <c r="N604" s="326"/>
      <c r="P604" s="332"/>
    </row>
    <row r="605" spans="1:16" ht="15.75">
      <c r="A605" s="111" t="s">
        <v>902</v>
      </c>
      <c r="B605" s="114" t="s">
        <v>1516</v>
      </c>
      <c r="C605" s="119" t="s">
        <v>902</v>
      </c>
      <c r="D605" s="136"/>
      <c r="E605" s="118">
        <v>3000</v>
      </c>
      <c r="F605" s="118"/>
      <c r="G605" s="117">
        <v>46315</v>
      </c>
      <c r="H605" s="117">
        <v>46315</v>
      </c>
      <c r="I605" s="108">
        <v>46315</v>
      </c>
      <c r="J605" s="112" t="s">
        <v>1515</v>
      </c>
      <c r="K605" s="113"/>
    </row>
    <row r="606" spans="1:16" ht="15.75">
      <c r="A606" s="111" t="s">
        <v>902</v>
      </c>
      <c r="B606" s="114" t="s">
        <v>1516</v>
      </c>
      <c r="C606" s="119" t="s">
        <v>902</v>
      </c>
      <c r="D606" s="136"/>
      <c r="E606" s="118">
        <v>3000</v>
      </c>
      <c r="F606" s="118"/>
      <c r="G606" s="117">
        <v>46315</v>
      </c>
      <c r="H606" s="117">
        <v>46315</v>
      </c>
      <c r="I606" s="108">
        <v>46315</v>
      </c>
      <c r="J606" s="112" t="s">
        <v>1515</v>
      </c>
      <c r="K606" s="113"/>
    </row>
    <row r="607" spans="1:16" ht="15.75">
      <c r="A607" s="111" t="s">
        <v>902</v>
      </c>
      <c r="B607" s="114" t="s">
        <v>1516</v>
      </c>
      <c r="C607" s="119" t="s">
        <v>902</v>
      </c>
      <c r="D607" s="136"/>
      <c r="E607" s="118">
        <v>500</v>
      </c>
      <c r="F607" s="118"/>
      <c r="G607" s="117">
        <v>46315</v>
      </c>
      <c r="H607" s="117">
        <v>46315</v>
      </c>
      <c r="I607" s="108">
        <v>46315</v>
      </c>
      <c r="J607" s="112" t="s">
        <v>1515</v>
      </c>
      <c r="K607" s="113"/>
    </row>
    <row r="608" spans="1:16" ht="15.75">
      <c r="A608" s="111" t="s">
        <v>902</v>
      </c>
      <c r="B608" s="114" t="s">
        <v>1516</v>
      </c>
      <c r="C608" s="119" t="s">
        <v>902</v>
      </c>
      <c r="D608" s="136"/>
      <c r="E608" s="118">
        <v>3180</v>
      </c>
      <c r="F608" s="118"/>
      <c r="G608" s="117">
        <v>46315</v>
      </c>
      <c r="H608" s="117">
        <v>46315</v>
      </c>
      <c r="I608" s="108">
        <v>46315</v>
      </c>
      <c r="J608" s="112" t="s">
        <v>1515</v>
      </c>
      <c r="K608" s="113"/>
    </row>
    <row r="609" spans="1:11" ht="15.75">
      <c r="A609" s="111" t="s">
        <v>902</v>
      </c>
      <c r="B609" s="114" t="s">
        <v>1528</v>
      </c>
      <c r="C609" s="119" t="s">
        <v>902</v>
      </c>
      <c r="D609" s="136"/>
      <c r="E609" s="118">
        <v>385</v>
      </c>
      <c r="F609" s="118"/>
      <c r="G609" s="117">
        <v>46315</v>
      </c>
      <c r="H609" s="117">
        <v>46315</v>
      </c>
      <c r="I609" s="108">
        <v>46315</v>
      </c>
      <c r="J609" s="112" t="s">
        <v>1515</v>
      </c>
      <c r="K609" s="113"/>
    </row>
    <row r="610" spans="1:11" ht="15.75">
      <c r="A610" s="111" t="s">
        <v>902</v>
      </c>
      <c r="B610" s="114" t="s">
        <v>1530</v>
      </c>
      <c r="C610" s="119" t="s">
        <v>902</v>
      </c>
      <c r="D610" s="136"/>
      <c r="E610" s="118">
        <v>55</v>
      </c>
      <c r="F610" s="118"/>
      <c r="G610" s="117">
        <v>46315</v>
      </c>
      <c r="H610" s="117">
        <v>46315</v>
      </c>
      <c r="I610" s="108">
        <v>46315</v>
      </c>
      <c r="J610" s="112" t="s">
        <v>1515</v>
      </c>
      <c r="K610" s="113"/>
    </row>
    <row r="611" spans="1:11" ht="15.75">
      <c r="A611" s="111" t="s">
        <v>902</v>
      </c>
      <c r="B611" s="114" t="s">
        <v>1529</v>
      </c>
      <c r="C611" s="119" t="s">
        <v>902</v>
      </c>
      <c r="D611" s="136"/>
      <c r="E611" s="118">
        <v>1000</v>
      </c>
      <c r="F611" s="118"/>
      <c r="G611" s="117">
        <v>46315</v>
      </c>
      <c r="H611" s="117">
        <v>46315</v>
      </c>
      <c r="I611" s="108">
        <v>46315</v>
      </c>
      <c r="J611" s="112" t="s">
        <v>1515</v>
      </c>
      <c r="K611" s="113"/>
    </row>
    <row r="612" spans="1:11" ht="15.75">
      <c r="A612" s="111" t="s">
        <v>902</v>
      </c>
      <c r="B612" s="114" t="s">
        <v>1516</v>
      </c>
      <c r="C612" s="119" t="s">
        <v>902</v>
      </c>
      <c r="D612" s="136"/>
      <c r="E612" s="118">
        <v>5200</v>
      </c>
      <c r="F612" s="118"/>
      <c r="G612" s="117">
        <v>46315</v>
      </c>
      <c r="H612" s="117">
        <v>46315</v>
      </c>
      <c r="I612" s="108">
        <v>46315</v>
      </c>
      <c r="J612" s="112" t="s">
        <v>1515</v>
      </c>
      <c r="K612" s="113"/>
    </row>
    <row r="613" spans="1:11" ht="15.75">
      <c r="A613" s="111" t="s">
        <v>902</v>
      </c>
      <c r="B613" s="114" t="s">
        <v>1516</v>
      </c>
      <c r="C613" s="119" t="s">
        <v>902</v>
      </c>
      <c r="D613" s="136"/>
      <c r="E613" s="118">
        <v>350</v>
      </c>
      <c r="F613" s="118"/>
      <c r="G613" s="117">
        <v>46315</v>
      </c>
      <c r="H613" s="117">
        <v>46315</v>
      </c>
      <c r="I613" s="108">
        <v>46315</v>
      </c>
      <c r="J613" s="112" t="s">
        <v>1515</v>
      </c>
      <c r="K613" s="113"/>
    </row>
    <row r="614" spans="1:11" ht="15.75">
      <c r="A614" s="111" t="s">
        <v>902</v>
      </c>
      <c r="B614" s="114" t="s">
        <v>1516</v>
      </c>
      <c r="C614" s="119" t="s">
        <v>902</v>
      </c>
      <c r="D614" s="136"/>
      <c r="E614" s="118">
        <v>110</v>
      </c>
      <c r="F614" s="118"/>
      <c r="G614" s="117">
        <v>46315</v>
      </c>
      <c r="H614" s="117">
        <v>46315</v>
      </c>
      <c r="I614" s="108">
        <v>46315</v>
      </c>
      <c r="J614" s="112" t="s">
        <v>1515</v>
      </c>
      <c r="K614" s="113"/>
    </row>
    <row r="615" spans="1:11" ht="15.75">
      <c r="A615" s="111" t="s">
        <v>902</v>
      </c>
      <c r="B615" s="114" t="s">
        <v>1516</v>
      </c>
      <c r="C615" s="119" t="s">
        <v>902</v>
      </c>
      <c r="D615" s="136"/>
      <c r="E615" s="118">
        <v>47000</v>
      </c>
      <c r="F615" s="118"/>
      <c r="G615" s="117">
        <v>46315</v>
      </c>
      <c r="H615" s="117">
        <v>46315</v>
      </c>
      <c r="I615" s="108">
        <v>46315</v>
      </c>
      <c r="J615" s="112" t="s">
        <v>1515</v>
      </c>
      <c r="K615" s="113"/>
    </row>
    <row r="616" spans="1:11" ht="15.75">
      <c r="A616" s="111" t="s">
        <v>902</v>
      </c>
      <c r="B616" s="114" t="s">
        <v>1516</v>
      </c>
      <c r="C616" s="119" t="s">
        <v>902</v>
      </c>
      <c r="D616" s="136"/>
      <c r="E616" s="118">
        <v>50</v>
      </c>
      <c r="F616" s="118"/>
      <c r="G616" s="117">
        <v>46315</v>
      </c>
      <c r="H616" s="117">
        <v>46315</v>
      </c>
      <c r="I616" s="108">
        <v>46315</v>
      </c>
      <c r="J616" s="112" t="s">
        <v>1515</v>
      </c>
      <c r="K616" s="113"/>
    </row>
    <row r="617" spans="1:11" ht="15.75">
      <c r="A617" s="111" t="s">
        <v>902</v>
      </c>
      <c r="B617" s="114" t="s">
        <v>1651</v>
      </c>
      <c r="C617" s="119" t="s">
        <v>902</v>
      </c>
      <c r="D617" s="136"/>
      <c r="E617" s="118">
        <v>200</v>
      </c>
      <c r="F617" s="118"/>
      <c r="G617" s="117">
        <v>46315</v>
      </c>
      <c r="H617" s="117">
        <v>46315</v>
      </c>
      <c r="I617" s="108">
        <v>46315</v>
      </c>
      <c r="J617" s="112" t="s">
        <v>1515</v>
      </c>
      <c r="K617" s="113"/>
    </row>
    <row r="618" spans="1:11" ht="15.75">
      <c r="A618" s="111" t="s">
        <v>902</v>
      </c>
      <c r="B618" s="114" t="s">
        <v>1651</v>
      </c>
      <c r="C618" s="119" t="s">
        <v>902</v>
      </c>
      <c r="D618" s="136"/>
      <c r="E618" s="118">
        <v>10</v>
      </c>
      <c r="F618" s="118"/>
      <c r="G618" s="117">
        <v>46315</v>
      </c>
      <c r="H618" s="117">
        <v>46315</v>
      </c>
      <c r="I618" s="108">
        <v>46315</v>
      </c>
      <c r="J618" s="112" t="s">
        <v>1515</v>
      </c>
      <c r="K618" s="113"/>
    </row>
    <row r="619" spans="1:11" ht="15.75">
      <c r="A619" s="111" t="s">
        <v>902</v>
      </c>
      <c r="B619" s="114" t="s">
        <v>1528</v>
      </c>
      <c r="C619" s="119" t="s">
        <v>902</v>
      </c>
      <c r="D619" s="136"/>
      <c r="E619" s="118">
        <v>2000</v>
      </c>
      <c r="F619" s="118"/>
      <c r="G619" s="117">
        <v>46315</v>
      </c>
      <c r="H619" s="117">
        <v>46315</v>
      </c>
      <c r="I619" s="108">
        <v>46315</v>
      </c>
      <c r="J619" s="112" t="s">
        <v>1515</v>
      </c>
      <c r="K619" s="113"/>
    </row>
    <row r="620" spans="1:11" ht="15.75">
      <c r="A620" s="111" t="s">
        <v>902</v>
      </c>
      <c r="B620" s="114" t="s">
        <v>1528</v>
      </c>
      <c r="C620" s="119" t="s">
        <v>902</v>
      </c>
      <c r="D620" s="136"/>
      <c r="E620" s="118">
        <v>1500</v>
      </c>
      <c r="F620" s="118"/>
      <c r="G620" s="117">
        <v>46314</v>
      </c>
      <c r="H620" s="117">
        <v>46314</v>
      </c>
      <c r="I620" s="108">
        <v>46314</v>
      </c>
      <c r="J620" s="112" t="s">
        <v>1515</v>
      </c>
      <c r="K620" s="113"/>
    </row>
    <row r="621" spans="1:11" ht="15.75">
      <c r="A621" s="111" t="s">
        <v>902</v>
      </c>
      <c r="B621" s="114" t="s">
        <v>1528</v>
      </c>
      <c r="C621" s="119" t="s">
        <v>902</v>
      </c>
      <c r="D621" s="136"/>
      <c r="E621" s="118">
        <v>1000</v>
      </c>
      <c r="F621" s="118"/>
      <c r="G621" s="117">
        <v>46314</v>
      </c>
      <c r="H621" s="117">
        <v>46314</v>
      </c>
      <c r="I621" s="108">
        <v>46314</v>
      </c>
      <c r="J621" s="112" t="s">
        <v>1515</v>
      </c>
      <c r="K621" s="113"/>
    </row>
    <row r="622" spans="1:11" ht="15.75">
      <c r="A622" s="111" t="s">
        <v>902</v>
      </c>
      <c r="B622" s="114" t="s">
        <v>1528</v>
      </c>
      <c r="C622" s="119" t="s">
        <v>902</v>
      </c>
      <c r="D622" s="136"/>
      <c r="E622" s="118">
        <v>500</v>
      </c>
      <c r="F622" s="118"/>
      <c r="G622" s="117">
        <v>46314</v>
      </c>
      <c r="H622" s="117">
        <v>46314</v>
      </c>
      <c r="I622" s="108">
        <v>46314</v>
      </c>
      <c r="J622" s="112" t="s">
        <v>1515</v>
      </c>
      <c r="K622" s="113"/>
    </row>
    <row r="623" spans="1:11" ht="15.75">
      <c r="A623" s="111" t="s">
        <v>902</v>
      </c>
      <c r="B623" s="114" t="s">
        <v>1651</v>
      </c>
      <c r="C623" s="119" t="s">
        <v>902</v>
      </c>
      <c r="D623" s="136"/>
      <c r="E623" s="118">
        <v>3150</v>
      </c>
      <c r="F623" s="118"/>
      <c r="G623" s="117">
        <v>46314</v>
      </c>
      <c r="H623" s="117">
        <v>46314</v>
      </c>
      <c r="I623" s="108">
        <v>46314</v>
      </c>
      <c r="J623" s="112" t="s">
        <v>1515</v>
      </c>
      <c r="K623" s="113"/>
    </row>
    <row r="624" spans="1:11" ht="15.75">
      <c r="A624" s="111" t="s">
        <v>902</v>
      </c>
      <c r="B624" s="114" t="s">
        <v>1516</v>
      </c>
      <c r="C624" s="119" t="s">
        <v>902</v>
      </c>
      <c r="D624" s="136"/>
      <c r="E624" s="118">
        <v>2000</v>
      </c>
      <c r="F624" s="118"/>
      <c r="G624" s="117">
        <v>46314</v>
      </c>
      <c r="H624" s="117">
        <v>46314</v>
      </c>
      <c r="I624" s="108">
        <v>46314</v>
      </c>
      <c r="J624" s="112" t="s">
        <v>1515</v>
      </c>
      <c r="K624" s="113"/>
    </row>
    <row r="625" spans="1:16" ht="15.75">
      <c r="A625" s="111" t="s">
        <v>902</v>
      </c>
      <c r="B625" s="114" t="s">
        <v>1516</v>
      </c>
      <c r="C625" s="119" t="s">
        <v>902</v>
      </c>
      <c r="D625" s="136"/>
      <c r="E625" s="118">
        <v>7500</v>
      </c>
      <c r="F625" s="118"/>
      <c r="G625" s="117">
        <v>46311</v>
      </c>
      <c r="H625" s="117">
        <v>46311</v>
      </c>
      <c r="I625" s="108">
        <v>46311</v>
      </c>
      <c r="J625" s="112" t="s">
        <v>1515</v>
      </c>
      <c r="K625" s="113"/>
    </row>
    <row r="626" spans="1:16" ht="15.75">
      <c r="A626" s="111" t="s">
        <v>902</v>
      </c>
      <c r="B626" s="114" t="s">
        <v>1516</v>
      </c>
      <c r="C626" s="119" t="s">
        <v>902</v>
      </c>
      <c r="D626" s="136"/>
      <c r="E626" s="118">
        <v>500</v>
      </c>
      <c r="F626" s="118"/>
      <c r="G626" s="117">
        <v>46311</v>
      </c>
      <c r="H626" s="117">
        <v>46311</v>
      </c>
      <c r="I626" s="108">
        <v>46311</v>
      </c>
      <c r="J626" s="112" t="s">
        <v>1515</v>
      </c>
      <c r="K626" s="113"/>
    </row>
    <row r="627" spans="1:16" ht="15.75">
      <c r="A627" s="111" t="s">
        <v>902</v>
      </c>
      <c r="B627" s="114" t="s">
        <v>1528</v>
      </c>
      <c r="C627" s="119" t="s">
        <v>902</v>
      </c>
      <c r="D627" s="136"/>
      <c r="E627" s="118">
        <v>2900</v>
      </c>
      <c r="F627" s="118"/>
      <c r="G627" s="117">
        <v>46311</v>
      </c>
      <c r="H627" s="117">
        <v>46311</v>
      </c>
      <c r="I627" s="108">
        <v>46311</v>
      </c>
      <c r="J627" s="112" t="s">
        <v>1515</v>
      </c>
      <c r="K627" s="113"/>
    </row>
    <row r="628" spans="1:16" ht="15.75">
      <c r="A628" s="111" t="s">
        <v>902</v>
      </c>
      <c r="B628" s="114" t="s">
        <v>1516</v>
      </c>
      <c r="C628" s="119" t="s">
        <v>902</v>
      </c>
      <c r="D628" s="136"/>
      <c r="E628" s="118">
        <v>1100</v>
      </c>
      <c r="F628" s="118"/>
      <c r="G628" s="117">
        <v>46311</v>
      </c>
      <c r="H628" s="117">
        <v>46311</v>
      </c>
      <c r="I628" s="108">
        <v>46311</v>
      </c>
      <c r="J628" s="112" t="s">
        <v>1515</v>
      </c>
      <c r="K628" s="113"/>
    </row>
    <row r="629" spans="1:16" ht="15.75">
      <c r="A629" s="111" t="s">
        <v>902</v>
      </c>
      <c r="B629" s="114" t="s">
        <v>1516</v>
      </c>
      <c r="C629" s="119" t="s">
        <v>902</v>
      </c>
      <c r="D629" s="136"/>
      <c r="E629" s="118">
        <v>300</v>
      </c>
      <c r="F629" s="118"/>
      <c r="G629" s="117">
        <v>46311</v>
      </c>
      <c r="H629" s="117">
        <v>46311</v>
      </c>
      <c r="I629" s="108">
        <v>46311</v>
      </c>
      <c r="J629" s="112" t="s">
        <v>1515</v>
      </c>
      <c r="K629" s="113"/>
    </row>
    <row r="630" spans="1:16" ht="15.75">
      <c r="A630" s="111" t="s">
        <v>902</v>
      </c>
      <c r="B630" s="114" t="s">
        <v>1528</v>
      </c>
      <c r="C630" s="119" t="s">
        <v>902</v>
      </c>
      <c r="D630" s="136"/>
      <c r="E630" s="118">
        <v>2000</v>
      </c>
      <c r="F630" s="118"/>
      <c r="G630" s="117">
        <v>46311</v>
      </c>
      <c r="H630" s="117">
        <v>46311</v>
      </c>
      <c r="I630" s="108">
        <v>46311</v>
      </c>
      <c r="J630" s="112" t="s">
        <v>1515</v>
      </c>
      <c r="K630" s="113"/>
    </row>
    <row r="631" spans="1:16" ht="15.75">
      <c r="A631" s="111" t="s">
        <v>902</v>
      </c>
      <c r="B631" s="114" t="s">
        <v>1516</v>
      </c>
      <c r="C631" s="119" t="s">
        <v>902</v>
      </c>
      <c r="D631" s="136"/>
      <c r="E631" s="118">
        <v>6000</v>
      </c>
      <c r="F631" s="118" t="s">
        <v>19</v>
      </c>
      <c r="G631" s="117">
        <v>46310</v>
      </c>
      <c r="H631" s="117">
        <v>46310</v>
      </c>
      <c r="I631" s="108">
        <v>46310</v>
      </c>
      <c r="J631" s="112" t="s">
        <v>1515</v>
      </c>
      <c r="K631" s="113"/>
    </row>
    <row r="632" spans="1:16" ht="15.75">
      <c r="A632" s="111" t="s">
        <v>1402</v>
      </c>
      <c r="B632" s="114" t="s">
        <v>1692</v>
      </c>
      <c r="C632" s="119" t="s">
        <v>1467</v>
      </c>
      <c r="D632" s="136">
        <v>572</v>
      </c>
      <c r="E632" s="118">
        <v>6400</v>
      </c>
      <c r="F632" s="118"/>
      <c r="G632" s="117">
        <v>46315</v>
      </c>
      <c r="H632" s="117">
        <f>G632+10</f>
        <v>46325</v>
      </c>
      <c r="I632" s="117" t="s">
        <v>1626</v>
      </c>
      <c r="J632" s="112"/>
      <c r="K632" s="113"/>
    </row>
    <row r="633" spans="1:16" ht="15.75">
      <c r="A633" s="111" t="s">
        <v>1402</v>
      </c>
      <c r="B633" s="114" t="s">
        <v>1710</v>
      </c>
      <c r="C633" s="119" t="s">
        <v>1467</v>
      </c>
      <c r="D633" s="136">
        <v>573</v>
      </c>
      <c r="E633" s="118">
        <v>1600.01</v>
      </c>
      <c r="F633" s="118"/>
      <c r="G633" s="117">
        <v>46315</v>
      </c>
      <c r="H633" s="117">
        <f t="shared" ref="H633:H634" si="9">G633+10</f>
        <v>46325</v>
      </c>
      <c r="I633" s="117" t="s">
        <v>1626</v>
      </c>
      <c r="J633" s="112"/>
      <c r="K633" s="113"/>
    </row>
    <row r="634" spans="1:16" ht="15.75">
      <c r="A634" s="111" t="s">
        <v>1402</v>
      </c>
      <c r="B634" s="114" t="s">
        <v>1692</v>
      </c>
      <c r="C634" s="119" t="s">
        <v>1367</v>
      </c>
      <c r="D634" s="136">
        <v>574</v>
      </c>
      <c r="E634" s="118">
        <v>15042</v>
      </c>
      <c r="F634" s="118"/>
      <c r="G634" s="117">
        <v>46315</v>
      </c>
      <c r="H634" s="117">
        <f t="shared" si="9"/>
        <v>46325</v>
      </c>
      <c r="I634" s="117" t="s">
        <v>1626</v>
      </c>
      <c r="J634" s="112"/>
      <c r="K634" s="113"/>
    </row>
    <row r="635" spans="1:16" ht="15.75">
      <c r="A635" s="111" t="s">
        <v>1711</v>
      </c>
      <c r="B635" s="114" t="s">
        <v>281</v>
      </c>
      <c r="C635" s="119" t="s">
        <v>1584</v>
      </c>
      <c r="D635" s="136">
        <v>575</v>
      </c>
      <c r="E635" s="118">
        <v>3962.59</v>
      </c>
      <c r="F635" s="118"/>
      <c r="G635" s="117">
        <v>46315</v>
      </c>
      <c r="H635" s="117"/>
      <c r="I635" s="108" t="s">
        <v>1702</v>
      </c>
      <c r="J635" s="112" t="s">
        <v>1712</v>
      </c>
      <c r="K635" s="113" t="s">
        <v>1377</v>
      </c>
      <c r="M635" s="113"/>
      <c r="N635" s="154"/>
      <c r="P635" s="180"/>
    </row>
    <row r="636" spans="1:16" ht="15.75">
      <c r="A636" s="111" t="s">
        <v>1711</v>
      </c>
      <c r="B636" s="114" t="s">
        <v>281</v>
      </c>
      <c r="C636" s="119" t="s">
        <v>1584</v>
      </c>
      <c r="D636" s="136">
        <v>576</v>
      </c>
      <c r="E636" s="118">
        <v>3962.59</v>
      </c>
      <c r="F636" s="118"/>
      <c r="G636" s="117">
        <v>46315</v>
      </c>
      <c r="H636" s="117"/>
      <c r="I636" s="108" t="s">
        <v>1702</v>
      </c>
      <c r="J636" s="112" t="s">
        <v>1713</v>
      </c>
      <c r="K636" s="113" t="s">
        <v>1377</v>
      </c>
      <c r="M636" s="113"/>
      <c r="N636" s="154"/>
      <c r="P636" s="180"/>
    </row>
    <row r="637" spans="1:16" ht="15.75">
      <c r="A637" s="111" t="s">
        <v>1711</v>
      </c>
      <c r="B637" s="114" t="s">
        <v>281</v>
      </c>
      <c r="C637" s="119" t="s">
        <v>1348</v>
      </c>
      <c r="D637" s="136">
        <v>577</v>
      </c>
      <c r="E637" s="118">
        <v>3962.59</v>
      </c>
      <c r="F637" s="118"/>
      <c r="G637" s="117">
        <v>46315</v>
      </c>
      <c r="H637" s="117"/>
      <c r="I637" s="108" t="s">
        <v>1702</v>
      </c>
      <c r="J637" s="112" t="s">
        <v>1713</v>
      </c>
      <c r="K637" s="113" t="s">
        <v>1377</v>
      </c>
      <c r="M637" s="113"/>
      <c r="N637" s="154"/>
      <c r="P637" s="180"/>
    </row>
    <row r="638" spans="1:16" ht="15.75">
      <c r="A638" s="111" t="s">
        <v>1711</v>
      </c>
      <c r="B638" s="114" t="s">
        <v>281</v>
      </c>
      <c r="C638" s="119" t="s">
        <v>1348</v>
      </c>
      <c r="D638" s="136">
        <v>578</v>
      </c>
      <c r="E638" s="118">
        <v>3962.59</v>
      </c>
      <c r="F638" s="118"/>
      <c r="G638" s="117">
        <v>46315</v>
      </c>
      <c r="H638" s="117"/>
      <c r="I638" s="108" t="s">
        <v>1702</v>
      </c>
      <c r="J638" s="112" t="s">
        <v>1713</v>
      </c>
      <c r="K638" s="113" t="s">
        <v>1377</v>
      </c>
      <c r="M638" s="113"/>
      <c r="N638" s="154"/>
      <c r="P638" s="180"/>
    </row>
    <row r="639" spans="1:16" ht="15.75">
      <c r="A639" s="111" t="s">
        <v>1711</v>
      </c>
      <c r="B639" s="114" t="s">
        <v>281</v>
      </c>
      <c r="C639" s="119" t="s">
        <v>1574</v>
      </c>
      <c r="D639" s="136">
        <v>579</v>
      </c>
      <c r="E639" s="118">
        <v>3962.59</v>
      </c>
      <c r="F639" s="118"/>
      <c r="G639" s="117">
        <v>46315</v>
      </c>
      <c r="H639" s="117"/>
      <c r="I639" s="108" t="s">
        <v>1702</v>
      </c>
      <c r="J639" s="112" t="s">
        <v>1713</v>
      </c>
      <c r="K639" s="113" t="s">
        <v>1377</v>
      </c>
      <c r="M639" s="113"/>
      <c r="N639" s="154"/>
      <c r="P639" s="180"/>
    </row>
    <row r="640" spans="1:16" ht="15.75">
      <c r="A640" s="111" t="s">
        <v>1711</v>
      </c>
      <c r="B640" s="114" t="s">
        <v>281</v>
      </c>
      <c r="C640" s="119" t="s">
        <v>1574</v>
      </c>
      <c r="D640" s="136">
        <v>580</v>
      </c>
      <c r="E640" s="118">
        <v>3962.59</v>
      </c>
      <c r="F640" s="118"/>
      <c r="G640" s="117">
        <v>46315</v>
      </c>
      <c r="H640" s="117"/>
      <c r="I640" s="108" t="s">
        <v>1702</v>
      </c>
      <c r="J640" s="112" t="s">
        <v>1713</v>
      </c>
      <c r="K640" s="113" t="s">
        <v>1377</v>
      </c>
      <c r="M640" s="113"/>
      <c r="N640" s="154"/>
      <c r="P640" s="180"/>
    </row>
    <row r="641" spans="1:16" ht="15.75">
      <c r="A641" s="159" t="s">
        <v>1410</v>
      </c>
      <c r="B641" s="159" t="s">
        <v>1411</v>
      </c>
      <c r="C641" s="119" t="s">
        <v>1714</v>
      </c>
      <c r="D641" s="136">
        <v>581</v>
      </c>
      <c r="E641" s="118">
        <v>7900</v>
      </c>
      <c r="F641" s="118"/>
      <c r="G641" s="117">
        <v>46315</v>
      </c>
      <c r="H641" s="117"/>
      <c r="I641" s="108" t="s">
        <v>1702</v>
      </c>
      <c r="J641" s="112"/>
      <c r="K641" s="113"/>
    </row>
    <row r="642" spans="1:16" ht="15.75">
      <c r="A642" s="111"/>
      <c r="B642" s="114"/>
      <c r="C642" s="119"/>
      <c r="D642" s="136"/>
      <c r="E642" s="118"/>
      <c r="F642" s="118"/>
      <c r="G642" s="117"/>
      <c r="H642" s="117"/>
      <c r="I642" s="108"/>
      <c r="J642" s="112"/>
      <c r="K642" s="113"/>
      <c r="M642" s="113"/>
      <c r="N642" s="154"/>
      <c r="P642" s="180"/>
    </row>
  </sheetData>
  <autoFilter ref="A2:AL641" xr:uid="{DA56D19C-3D4E-4E26-90CB-BE85887CB3D9}">
    <filterColumn colId="12" showButton="0"/>
    <sortState xmlns:xlrd2="http://schemas.microsoft.com/office/spreadsheetml/2017/richdata2" ref="A303:AL381">
      <sortCondition ref="B2:B641"/>
    </sortState>
  </autoFilter>
  <sortState xmlns:xlrd2="http://schemas.microsoft.com/office/spreadsheetml/2017/richdata2" ref="A361:K423">
    <sortCondition ref="I1:I423"/>
  </sortState>
  <mergeCells count="3">
    <mergeCell ref="A1:G1"/>
    <mergeCell ref="M2:N2"/>
    <mergeCell ref="M1:N1"/>
  </mergeCells>
  <phoneticPr fontId="27" type="noConversion"/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3943-7922-47B5-9B8A-442401137B5F}">
  <dimension ref="A1:G47"/>
  <sheetViews>
    <sheetView workbookViewId="0">
      <selection activeCell="F5" sqref="F5"/>
    </sheetView>
  </sheetViews>
  <sheetFormatPr defaultRowHeight="15"/>
  <cols>
    <col min="1" max="1" width="12.5703125" customWidth="1"/>
    <col min="3" max="3" width="31.28515625" customWidth="1"/>
    <col min="4" max="4" width="25.7109375" style="26" customWidth="1"/>
  </cols>
  <sheetData>
    <row r="1" spans="1:7">
      <c r="A1" s="130" t="s">
        <v>1715</v>
      </c>
      <c r="B1" s="130" t="s">
        <v>294</v>
      </c>
      <c r="C1" s="130"/>
    </row>
    <row r="2" spans="1:7">
      <c r="A2" s="272">
        <v>0.29444444444444445</v>
      </c>
      <c r="B2" s="388">
        <v>46267</v>
      </c>
      <c r="C2" s="271" t="s">
        <v>1716</v>
      </c>
      <c r="E2" s="262" t="s">
        <v>1717</v>
      </c>
      <c r="F2" s="130" t="s">
        <v>1718</v>
      </c>
      <c r="G2" s="130" t="s">
        <v>1719</v>
      </c>
    </row>
    <row r="3" spans="1:7">
      <c r="A3" s="272">
        <v>0.29444444444444445</v>
      </c>
      <c r="B3" s="388">
        <v>46268</v>
      </c>
      <c r="C3" s="271"/>
      <c r="E3" s="262">
        <v>6</v>
      </c>
      <c r="F3" s="130">
        <v>1</v>
      </c>
      <c r="G3" s="130">
        <v>5</v>
      </c>
    </row>
    <row r="4" spans="1:7">
      <c r="A4" s="272">
        <v>0.29444444444444445</v>
      </c>
      <c r="B4" s="388">
        <v>46269</v>
      </c>
      <c r="C4" s="276" t="s">
        <v>1720</v>
      </c>
      <c r="E4" s="262">
        <v>6</v>
      </c>
      <c r="F4" s="130"/>
      <c r="G4" s="130"/>
    </row>
    <row r="5" spans="1:7">
      <c r="A5" s="272">
        <v>0.29444444444444445</v>
      </c>
      <c r="B5" s="388">
        <v>46270</v>
      </c>
      <c r="C5" s="271"/>
      <c r="E5" s="262">
        <v>7</v>
      </c>
      <c r="F5" s="130"/>
      <c r="G5" s="130"/>
    </row>
    <row r="6" spans="1:7">
      <c r="A6" s="272">
        <v>0.29444444444444445</v>
      </c>
      <c r="B6" s="388">
        <v>46271</v>
      </c>
      <c r="C6" s="271"/>
      <c r="E6" s="389">
        <f>SUM(E3:E5)</f>
        <v>19</v>
      </c>
      <c r="F6" s="274">
        <v>1</v>
      </c>
      <c r="G6" s="274">
        <v>5</v>
      </c>
    </row>
    <row r="7" spans="1:7">
      <c r="A7" s="272">
        <v>0.29444444444444445</v>
      </c>
      <c r="B7" s="388">
        <v>46272</v>
      </c>
      <c r="C7" s="271"/>
    </row>
    <row r="8" spans="1:7">
      <c r="A8" s="272">
        <v>0.29444444444444445</v>
      </c>
      <c r="B8" s="388">
        <v>46273</v>
      </c>
      <c r="C8" s="271"/>
    </row>
    <row r="9" spans="1:7">
      <c r="A9" s="272">
        <v>0.29444444444444445</v>
      </c>
      <c r="B9" s="388">
        <v>46274</v>
      </c>
      <c r="C9" s="271" t="s">
        <v>1721</v>
      </c>
    </row>
    <row r="10" spans="1:7">
      <c r="A10" s="31"/>
      <c r="B10" s="2"/>
      <c r="C10" s="271"/>
    </row>
    <row r="11" spans="1:7">
      <c r="A11" s="273" t="s">
        <v>1722</v>
      </c>
      <c r="B11" s="2" t="s">
        <v>1723</v>
      </c>
      <c r="C11" s="271"/>
    </row>
    <row r="12" spans="1:7">
      <c r="A12" s="272" t="s">
        <v>1724</v>
      </c>
      <c r="B12" s="388">
        <v>46274</v>
      </c>
      <c r="C12" s="271" t="s">
        <v>1725</v>
      </c>
    </row>
    <row r="13" spans="1:7">
      <c r="A13" s="272">
        <v>0.24166666666666667</v>
      </c>
      <c r="B13" s="388">
        <v>46275</v>
      </c>
      <c r="C13" s="271"/>
    </row>
    <row r="14" spans="1:7">
      <c r="A14" s="272">
        <v>0.24166666666666667</v>
      </c>
      <c r="B14" s="388">
        <v>46276</v>
      </c>
      <c r="C14" s="271"/>
    </row>
    <row r="15" spans="1:7">
      <c r="A15" s="272">
        <v>0.24166666666666667</v>
      </c>
      <c r="B15" s="388">
        <v>46277</v>
      </c>
      <c r="C15" s="271"/>
    </row>
    <row r="16" spans="1:7">
      <c r="A16" s="272">
        <v>0.24166666666666667</v>
      </c>
      <c r="B16" s="388">
        <v>46278</v>
      </c>
      <c r="C16" s="271" t="s">
        <v>1726</v>
      </c>
    </row>
    <row r="17" spans="1:3">
      <c r="A17" s="272">
        <v>0.24166666666666667</v>
      </c>
      <c r="B17" s="388">
        <v>46279</v>
      </c>
      <c r="C17" s="271"/>
    </row>
    <row r="18" spans="1:3">
      <c r="A18" s="272">
        <v>0.24166666666666667</v>
      </c>
      <c r="B18" s="388">
        <v>46280</v>
      </c>
      <c r="C18" s="271"/>
    </row>
    <row r="19" spans="1:3">
      <c r="A19" s="272">
        <v>0.24166666666666667</v>
      </c>
      <c r="B19" s="388">
        <v>46281</v>
      </c>
      <c r="C19" s="271" t="s">
        <v>1727</v>
      </c>
    </row>
    <row r="20" spans="1:3">
      <c r="A20" s="272"/>
      <c r="B20" s="388"/>
      <c r="C20" s="271"/>
    </row>
    <row r="21" spans="1:3">
      <c r="A21" s="31"/>
      <c r="B21" s="2"/>
      <c r="C21" s="271"/>
    </row>
    <row r="22" spans="1:3">
      <c r="A22" s="31"/>
      <c r="B22" s="2"/>
      <c r="C22" s="271"/>
    </row>
    <row r="23" spans="1:3">
      <c r="A23" s="273" t="s">
        <v>1728</v>
      </c>
      <c r="B23" s="388" t="s">
        <v>1723</v>
      </c>
      <c r="C23" s="271" t="s">
        <v>1725</v>
      </c>
    </row>
    <row r="24" spans="1:3">
      <c r="A24" s="272" t="s">
        <v>1729</v>
      </c>
      <c r="B24" s="388">
        <v>46286</v>
      </c>
      <c r="C24" s="271"/>
    </row>
    <row r="25" spans="1:3">
      <c r="A25" s="272">
        <v>0.55625000000000002</v>
      </c>
      <c r="B25" s="388">
        <v>46287</v>
      </c>
      <c r="C25" s="271"/>
    </row>
    <row r="26" spans="1:3">
      <c r="A26" s="272">
        <v>0.55625000000000002</v>
      </c>
      <c r="B26" s="388">
        <v>46288</v>
      </c>
      <c r="C26" s="271" t="s">
        <v>1730</v>
      </c>
    </row>
    <row r="27" spans="1:3">
      <c r="A27" s="272">
        <v>0.55625000000000002</v>
      </c>
      <c r="B27" s="388">
        <v>46289</v>
      </c>
      <c r="C27" s="271"/>
    </row>
    <row r="28" spans="1:3">
      <c r="A28" s="272">
        <v>0.55625000000000002</v>
      </c>
      <c r="B28" s="388">
        <v>46290</v>
      </c>
      <c r="C28" s="271"/>
    </row>
    <row r="29" spans="1:3">
      <c r="A29" s="272">
        <v>0.55625000000000002</v>
      </c>
      <c r="B29" s="388">
        <v>46291</v>
      </c>
      <c r="C29" s="271"/>
    </row>
    <row r="30" spans="1:3">
      <c r="A30" s="272">
        <v>0.55625000000000002</v>
      </c>
      <c r="B30" s="388">
        <v>46292</v>
      </c>
      <c r="C30" s="271"/>
    </row>
    <row r="31" spans="1:3">
      <c r="A31" s="272">
        <v>0.55625000000000002</v>
      </c>
      <c r="B31" s="388">
        <v>46293</v>
      </c>
      <c r="C31" s="271"/>
    </row>
    <row r="32" spans="1:3">
      <c r="A32" s="272">
        <v>0.55625000000000002</v>
      </c>
      <c r="B32" s="388">
        <v>46294</v>
      </c>
      <c r="C32" s="271" t="s">
        <v>1731</v>
      </c>
    </row>
    <row r="33" spans="1:4">
      <c r="A33" s="31"/>
      <c r="B33" s="2"/>
      <c r="C33" s="271"/>
    </row>
    <row r="34" spans="1:4">
      <c r="A34" s="31"/>
      <c r="B34" s="2"/>
      <c r="C34" s="271"/>
    </row>
    <row r="35" spans="1:4">
      <c r="A35" s="273" t="s">
        <v>1732</v>
      </c>
      <c r="B35" s="388" t="s">
        <v>1733</v>
      </c>
      <c r="C35" s="271" t="s">
        <v>1734</v>
      </c>
      <c r="D35" s="390"/>
    </row>
    <row r="36" spans="1:4">
      <c r="A36" s="272" t="s">
        <v>1729</v>
      </c>
      <c r="B36" s="388">
        <v>46277</v>
      </c>
      <c r="C36" s="271"/>
    </row>
    <row r="37" spans="1:4">
      <c r="A37" s="272">
        <v>0.32569444444444445</v>
      </c>
      <c r="B37" s="388">
        <v>46278</v>
      </c>
      <c r="C37" s="271" t="s">
        <v>1735</v>
      </c>
    </row>
    <row r="38" spans="1:4">
      <c r="A38" s="272">
        <v>0.32569444444444445</v>
      </c>
      <c r="B38" s="388">
        <v>46279</v>
      </c>
      <c r="C38" s="271" t="s">
        <v>1736</v>
      </c>
    </row>
    <row r="39" spans="1:4">
      <c r="A39" s="387"/>
      <c r="B39" s="2"/>
      <c r="C39" s="271"/>
    </row>
    <row r="40" spans="1:4">
      <c r="A40" s="273" t="s">
        <v>1737</v>
      </c>
      <c r="B40" s="2" t="s">
        <v>1738</v>
      </c>
      <c r="C40" s="271"/>
    </row>
    <row r="41" spans="1:4">
      <c r="A41" s="273" t="s">
        <v>1729</v>
      </c>
      <c r="B41" s="388">
        <v>46283</v>
      </c>
      <c r="C41" s="271" t="s">
        <v>1739</v>
      </c>
    </row>
    <row r="42" spans="1:4">
      <c r="A42" s="272">
        <v>0.89236111111111116</v>
      </c>
      <c r="B42" s="388">
        <v>46284</v>
      </c>
      <c r="C42" s="271" t="s">
        <v>1740</v>
      </c>
    </row>
    <row r="43" spans="1:4">
      <c r="A43" s="272">
        <v>0.89236111111111116</v>
      </c>
      <c r="B43" s="388">
        <v>46285</v>
      </c>
      <c r="C43" s="271"/>
    </row>
    <row r="44" spans="1:4">
      <c r="A44" s="272">
        <v>0.89236111111111116</v>
      </c>
      <c r="B44" s="388">
        <v>46286</v>
      </c>
      <c r="C44" s="271"/>
    </row>
    <row r="45" spans="1:4">
      <c r="A45" s="272">
        <v>0.89236111111111116</v>
      </c>
      <c r="B45" s="388">
        <v>46287</v>
      </c>
      <c r="C45" s="271"/>
    </row>
    <row r="46" spans="1:4">
      <c r="A46" s="272">
        <v>0.89236111111111116</v>
      </c>
      <c r="B46" s="388">
        <v>46288</v>
      </c>
      <c r="C46" s="271"/>
    </row>
    <row r="47" spans="1:4">
      <c r="A47" s="272">
        <v>0.89236111111111116</v>
      </c>
      <c r="B47" s="388">
        <v>46289</v>
      </c>
      <c r="C47" s="271" t="s">
        <v>1741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608C-AF8D-4900-B3F4-4019ED22A2DB}">
  <dimension ref="C2:L27"/>
  <sheetViews>
    <sheetView workbookViewId="0">
      <selection activeCell="L31" sqref="L31"/>
    </sheetView>
  </sheetViews>
  <sheetFormatPr defaultRowHeight="15"/>
  <cols>
    <col min="2" max="2" width="9.42578125" bestFit="1" customWidth="1"/>
    <col min="3" max="3" width="11.7109375" bestFit="1" customWidth="1"/>
    <col min="4" max="4" width="12.5703125" customWidth="1"/>
    <col min="5" max="5" width="12.28515625" customWidth="1"/>
    <col min="6" max="6" width="18.42578125" customWidth="1"/>
    <col min="9" max="9" width="12.85546875" bestFit="1" customWidth="1"/>
    <col min="10" max="10" width="12.28515625" bestFit="1" customWidth="1"/>
    <col min="11" max="11" width="12.85546875" bestFit="1" customWidth="1"/>
    <col min="12" max="12" width="17.7109375" bestFit="1" customWidth="1"/>
  </cols>
  <sheetData>
    <row r="2" spans="3:12">
      <c r="C2" s="646" t="s">
        <v>1742</v>
      </c>
      <c r="D2" s="647"/>
      <c r="E2" s="647"/>
      <c r="F2" s="648"/>
      <c r="G2">
        <v>5200</v>
      </c>
      <c r="I2" s="646" t="s">
        <v>1743</v>
      </c>
      <c r="J2" s="647"/>
      <c r="K2" s="647"/>
      <c r="L2" s="648"/>
    </row>
    <row r="3" spans="3:12">
      <c r="C3" s="226" t="s">
        <v>1744</v>
      </c>
      <c r="D3" s="130"/>
      <c r="E3" s="227" t="s">
        <v>1745</v>
      </c>
      <c r="F3" s="130"/>
      <c r="I3" s="226" t="s">
        <v>1744</v>
      </c>
      <c r="J3" s="130"/>
      <c r="K3" s="227" t="s">
        <v>1745</v>
      </c>
      <c r="L3" s="130"/>
    </row>
    <row r="4" spans="3:12">
      <c r="C4" s="228">
        <v>3640</v>
      </c>
      <c r="D4" s="130" t="s">
        <v>1746</v>
      </c>
      <c r="E4" s="229"/>
      <c r="F4" s="130" t="s">
        <v>1211</v>
      </c>
      <c r="I4" s="228">
        <v>4510</v>
      </c>
      <c r="J4" s="130" t="s">
        <v>1746</v>
      </c>
      <c r="K4" s="229">
        <v>-990</v>
      </c>
      <c r="L4" s="130" t="s">
        <v>1211</v>
      </c>
    </row>
    <row r="5" spans="3:12">
      <c r="C5" s="228"/>
      <c r="D5" s="130" t="s">
        <v>1746</v>
      </c>
      <c r="E5" s="229">
        <v>-4400</v>
      </c>
      <c r="F5" s="130" t="s">
        <v>1747</v>
      </c>
      <c r="I5" s="228">
        <v>300</v>
      </c>
      <c r="J5" s="130" t="s">
        <v>1746</v>
      </c>
      <c r="K5" s="229"/>
      <c r="L5" s="130"/>
    </row>
    <row r="6" spans="3:12">
      <c r="C6" s="226"/>
      <c r="D6" s="130"/>
      <c r="E6" s="229">
        <v>-83.2</v>
      </c>
      <c r="F6" s="130" t="s">
        <v>1748</v>
      </c>
      <c r="I6" s="226"/>
      <c r="J6" s="130"/>
      <c r="K6" s="229"/>
      <c r="L6" s="130"/>
    </row>
    <row r="7" spans="3:12">
      <c r="C7" s="230">
        <f>SUM(C4:C6)</f>
        <v>3640</v>
      </c>
      <c r="D7" s="130" t="s">
        <v>1749</v>
      </c>
      <c r="E7" s="231">
        <f>SUM(E4:E6)</f>
        <v>-4483.2</v>
      </c>
      <c r="F7" s="130" t="s">
        <v>1750</v>
      </c>
      <c r="I7" s="230">
        <f>SUM(I4:I6)</f>
        <v>4810</v>
      </c>
      <c r="J7" s="130" t="s">
        <v>1749</v>
      </c>
      <c r="K7" s="231">
        <f>SUM(K4:K6)</f>
        <v>-990</v>
      </c>
      <c r="L7" s="130" t="s">
        <v>1750</v>
      </c>
    </row>
    <row r="8" spans="3:12">
      <c r="C8" s="649" t="s">
        <v>1751</v>
      </c>
      <c r="D8" s="649"/>
      <c r="E8" s="649"/>
      <c r="F8" s="649"/>
    </row>
    <row r="10" spans="3:12">
      <c r="C10" s="646" t="s">
        <v>1752</v>
      </c>
      <c r="D10" s="647"/>
      <c r="E10" s="647"/>
      <c r="F10" s="648"/>
      <c r="I10" s="646" t="s">
        <v>1752</v>
      </c>
      <c r="J10" s="647"/>
      <c r="K10" s="647"/>
      <c r="L10" s="648"/>
    </row>
    <row r="11" spans="3:12">
      <c r="C11" s="226" t="s">
        <v>1744</v>
      </c>
      <c r="D11" s="130"/>
      <c r="E11" s="227" t="s">
        <v>1745</v>
      </c>
      <c r="F11" s="130"/>
      <c r="I11" s="226" t="s">
        <v>1744</v>
      </c>
      <c r="J11" s="130"/>
      <c r="K11" s="227" t="s">
        <v>1745</v>
      </c>
      <c r="L11" s="130"/>
    </row>
    <row r="12" spans="3:12">
      <c r="C12" s="228">
        <v>5800</v>
      </c>
      <c r="D12" s="130" t="s">
        <v>1746</v>
      </c>
      <c r="E12" s="229">
        <v>-870</v>
      </c>
      <c r="F12" s="130" t="s">
        <v>1211</v>
      </c>
      <c r="I12" s="228">
        <v>4930</v>
      </c>
      <c r="J12" s="130" t="s">
        <v>1746</v>
      </c>
      <c r="K12" s="229">
        <v>870</v>
      </c>
      <c r="L12" s="130" t="s">
        <v>1211</v>
      </c>
    </row>
    <row r="13" spans="3:12">
      <c r="C13" s="228">
        <v>300</v>
      </c>
      <c r="D13" s="130" t="s">
        <v>1746</v>
      </c>
      <c r="E13" s="229">
        <v>-4450</v>
      </c>
      <c r="F13" s="130" t="s">
        <v>1747</v>
      </c>
      <c r="I13" s="228">
        <v>300</v>
      </c>
      <c r="J13" s="130" t="s">
        <v>1746</v>
      </c>
      <c r="K13" s="229"/>
      <c r="L13" s="130"/>
    </row>
    <row r="14" spans="3:12">
      <c r="C14" s="228">
        <v>300</v>
      </c>
      <c r="D14" s="130"/>
      <c r="E14" s="229">
        <v>-92.8</v>
      </c>
      <c r="F14" s="130" t="s">
        <v>1748</v>
      </c>
      <c r="I14" s="226"/>
      <c r="J14" s="130"/>
      <c r="K14" s="229"/>
      <c r="L14" s="130"/>
    </row>
    <row r="15" spans="3:12">
      <c r="C15" s="230">
        <f>SUM(C12:C14)</f>
        <v>6400</v>
      </c>
      <c r="D15" s="130" t="s">
        <v>1749</v>
      </c>
      <c r="E15" s="231">
        <f>SUM(E12:E14)</f>
        <v>-5412.8</v>
      </c>
      <c r="F15" s="130" t="s">
        <v>1750</v>
      </c>
      <c r="I15" s="230">
        <f>SUM(I12:I14)</f>
        <v>5230</v>
      </c>
      <c r="J15" s="130" t="s">
        <v>1749</v>
      </c>
      <c r="K15" s="231">
        <f>SUM(K12:K14)</f>
        <v>870</v>
      </c>
      <c r="L15" s="130" t="s">
        <v>1750</v>
      </c>
    </row>
    <row r="17" spans="4:12">
      <c r="D17" s="222">
        <f>C15+E15</f>
        <v>987.19999999999982</v>
      </c>
    </row>
    <row r="18" spans="4:12">
      <c r="I18" s="646" t="s">
        <v>1753</v>
      </c>
      <c r="J18" s="647"/>
      <c r="K18" s="647"/>
      <c r="L18" s="648"/>
    </row>
    <row r="19" spans="4:12">
      <c r="I19" s="226" t="s">
        <v>1744</v>
      </c>
      <c r="J19" s="130"/>
      <c r="K19" s="227" t="s">
        <v>1745</v>
      </c>
      <c r="L19" s="130"/>
    </row>
    <row r="20" spans="4:12">
      <c r="I20" s="228">
        <v>21766.95</v>
      </c>
      <c r="J20" s="130" t="s">
        <v>1754</v>
      </c>
      <c r="K20" s="229">
        <v>2587.0500000000002</v>
      </c>
      <c r="L20" s="130" t="s">
        <v>1211</v>
      </c>
    </row>
    <row r="21" spans="4:12">
      <c r="I21" s="229">
        <v>2587.0500000000002</v>
      </c>
      <c r="J21" s="130" t="s">
        <v>1211</v>
      </c>
      <c r="K21" s="229">
        <v>646</v>
      </c>
      <c r="L21" s="130" t="s">
        <v>1755</v>
      </c>
    </row>
    <row r="22" spans="4:12">
      <c r="I22" s="229">
        <v>646</v>
      </c>
      <c r="J22" s="130" t="s">
        <v>1755</v>
      </c>
      <c r="K22" s="229">
        <v>1000</v>
      </c>
      <c r="L22" s="130" t="s">
        <v>1756</v>
      </c>
    </row>
    <row r="23" spans="4:12">
      <c r="I23" s="130"/>
      <c r="J23" s="130"/>
      <c r="K23" s="229">
        <v>400</v>
      </c>
      <c r="L23" s="130" t="s">
        <v>1757</v>
      </c>
    </row>
    <row r="24" spans="4:12">
      <c r="I24" s="130"/>
      <c r="J24" s="130"/>
      <c r="K24" s="229">
        <v>17000</v>
      </c>
      <c r="L24" s="130" t="s">
        <v>1758</v>
      </c>
    </row>
    <row r="25" spans="4:12">
      <c r="I25" s="130"/>
      <c r="J25" s="130"/>
      <c r="K25" s="130"/>
      <c r="L25" s="130"/>
    </row>
    <row r="26" spans="4:12">
      <c r="I26" s="230">
        <f>SUM(I20:I25)</f>
        <v>25000</v>
      </c>
      <c r="J26" s="130" t="s">
        <v>1749</v>
      </c>
      <c r="K26" s="231">
        <f>SUM(K20:K25)</f>
        <v>21633.05</v>
      </c>
      <c r="L26" s="130" t="s">
        <v>1750</v>
      </c>
    </row>
    <row r="27" spans="4:12">
      <c r="I27" s="222">
        <f>I26-K26</f>
        <v>3366.9500000000007</v>
      </c>
    </row>
  </sheetData>
  <mergeCells count="6">
    <mergeCell ref="I18:L18"/>
    <mergeCell ref="C2:F2"/>
    <mergeCell ref="C10:F10"/>
    <mergeCell ref="I2:L2"/>
    <mergeCell ref="I10:L10"/>
    <mergeCell ref="C8:F8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059F-34F0-4973-8E99-2D9CCAD06224}">
  <dimension ref="A1:AR61"/>
  <sheetViews>
    <sheetView topLeftCell="L1" workbookViewId="0">
      <selection activeCell="AJ3" sqref="AJ3"/>
    </sheetView>
  </sheetViews>
  <sheetFormatPr defaultRowHeight="15"/>
  <cols>
    <col min="1" max="1" width="32" customWidth="1"/>
    <col min="2" max="11" width="0" hidden="1" customWidth="1"/>
    <col min="13" max="25" width="0" hidden="1" customWidth="1"/>
    <col min="26" max="26" width="35.28515625" customWidth="1"/>
  </cols>
  <sheetData>
    <row r="1" spans="1:44" ht="15.75">
      <c r="A1" s="291" t="s">
        <v>1759</v>
      </c>
      <c r="B1" s="291" t="s">
        <v>1760</v>
      </c>
      <c r="C1" s="291" t="s">
        <v>1761</v>
      </c>
      <c r="D1" s="292" t="s">
        <v>1762</v>
      </c>
      <c r="E1" s="291" t="s">
        <v>1763</v>
      </c>
      <c r="F1" s="291" t="s">
        <v>1764</v>
      </c>
      <c r="G1" s="291" t="s">
        <v>1765</v>
      </c>
      <c r="H1" s="291" t="s">
        <v>216</v>
      </c>
      <c r="I1" s="291" t="s">
        <v>841</v>
      </c>
      <c r="J1" s="292" t="s">
        <v>1766</v>
      </c>
      <c r="K1" s="291" t="s">
        <v>1767</v>
      </c>
      <c r="L1" s="291" t="s">
        <v>1768</v>
      </c>
      <c r="M1" s="292" t="s">
        <v>1769</v>
      </c>
      <c r="N1" s="292" t="s">
        <v>1770</v>
      </c>
      <c r="O1" s="293" t="s">
        <v>1771</v>
      </c>
      <c r="P1" s="292" t="s">
        <v>1772</v>
      </c>
      <c r="Q1" s="291" t="s">
        <v>1773</v>
      </c>
      <c r="R1" s="291" t="s">
        <v>1774</v>
      </c>
      <c r="S1" s="291" t="s">
        <v>1775</v>
      </c>
      <c r="T1" s="293" t="s">
        <v>1776</v>
      </c>
      <c r="U1" s="291" t="s">
        <v>1777</v>
      </c>
      <c r="V1" s="291" t="s">
        <v>1778</v>
      </c>
      <c r="W1" s="291" t="s">
        <v>1779</v>
      </c>
      <c r="X1" s="291" t="s">
        <v>1780</v>
      </c>
      <c r="Y1" s="291" t="s">
        <v>1781</v>
      </c>
      <c r="Z1" s="291" t="s">
        <v>1340</v>
      </c>
      <c r="AA1" s="291" t="s">
        <v>1782</v>
      </c>
      <c r="AB1" s="291" t="s">
        <v>1783</v>
      </c>
      <c r="AC1" s="291" t="s">
        <v>1784</v>
      </c>
      <c r="AD1" s="291" t="s">
        <v>1785</v>
      </c>
      <c r="AE1" s="291" t="s">
        <v>1786</v>
      </c>
      <c r="AF1" s="291" t="s">
        <v>1787</v>
      </c>
      <c r="AG1" s="291" t="s">
        <v>1788</v>
      </c>
      <c r="AH1" s="291" t="s">
        <v>1789</v>
      </c>
      <c r="AI1" s="291" t="s">
        <v>1790</v>
      </c>
      <c r="AJ1" s="291" t="s">
        <v>1791</v>
      </c>
      <c r="AK1" s="291" t="s">
        <v>1792</v>
      </c>
      <c r="AL1" s="291" t="s">
        <v>1793</v>
      </c>
      <c r="AM1" s="291" t="s">
        <v>1794</v>
      </c>
      <c r="AN1" s="291" t="s">
        <v>1795</v>
      </c>
      <c r="AO1" s="291" t="s">
        <v>1796</v>
      </c>
      <c r="AP1" s="291" t="s">
        <v>1797</v>
      </c>
      <c r="AQ1" s="291" t="s">
        <v>1798</v>
      </c>
      <c r="AR1" s="291" t="s">
        <v>1799</v>
      </c>
    </row>
    <row r="2" spans="1:44" ht="15.75">
      <c r="A2" s="295" t="s">
        <v>1800</v>
      </c>
      <c r="B2" s="300" t="s">
        <v>1801</v>
      </c>
      <c r="C2" s="297">
        <v>46274</v>
      </c>
      <c r="D2" s="295"/>
      <c r="E2" s="295" t="s">
        <v>1802</v>
      </c>
      <c r="F2" s="298"/>
      <c r="G2" s="298"/>
      <c r="H2" s="295"/>
      <c r="I2" s="295"/>
      <c r="J2" s="295"/>
      <c r="K2" s="295" t="s">
        <v>1803</v>
      </c>
      <c r="L2" s="296">
        <v>46272</v>
      </c>
      <c r="M2" s="299">
        <v>0.89861111111111114</v>
      </c>
      <c r="N2" s="306">
        <v>4400</v>
      </c>
      <c r="O2" s="296"/>
      <c r="P2" s="294" t="s">
        <v>1804</v>
      </c>
      <c r="Q2" s="303" t="s">
        <v>1805</v>
      </c>
      <c r="R2" s="303" t="s">
        <v>1806</v>
      </c>
      <c r="S2" s="303" t="s">
        <v>1807</v>
      </c>
      <c r="T2" s="296"/>
      <c r="U2" s="295" t="s">
        <v>324</v>
      </c>
      <c r="V2" s="295" t="s">
        <v>1808</v>
      </c>
      <c r="W2" s="295"/>
      <c r="X2" s="294" t="s">
        <v>1809</v>
      </c>
      <c r="Y2" s="295" t="s">
        <v>1810</v>
      </c>
      <c r="Z2" s="295" t="s">
        <v>1811</v>
      </c>
      <c r="AA2" s="295" t="str">
        <f>IFERROR( VLOOKUP(Z2,[1]MOTORISTAS!$A$2:$I$1031,5,0),"")</f>
        <v>95278761687</v>
      </c>
      <c r="AB2" s="295" t="str">
        <f>IFERROR( VLOOKUP(Z2,[1]MOTORISTAS!$A$2:$I$1031,6,0),"")</f>
        <v>00585420107</v>
      </c>
      <c r="AC2" s="295" t="str">
        <f>IFERROR( VLOOKUP(Z2,[1]MOTORISTAS!$A$2:$I$1031,9,0),"")</f>
        <v>M6151422</v>
      </c>
      <c r="AD2" s="295"/>
      <c r="AE2" s="294" t="s">
        <v>331</v>
      </c>
      <c r="AF2" s="294" t="s">
        <v>1812</v>
      </c>
      <c r="AG2" s="295" t="s">
        <v>1813</v>
      </c>
      <c r="AH2" s="301" t="s">
        <v>1814</v>
      </c>
      <c r="AI2" s="294"/>
      <c r="AJ2" s="295">
        <f>4400*60</f>
        <v>264000</v>
      </c>
      <c r="AK2" s="295"/>
      <c r="AL2" s="295"/>
      <c r="AM2" s="295"/>
      <c r="AN2" s="303" t="s">
        <v>1815</v>
      </c>
      <c r="AO2" s="295" t="s">
        <v>1816</v>
      </c>
      <c r="AP2" s="303" t="s">
        <v>1817</v>
      </c>
      <c r="AQ2" s="298"/>
      <c r="AR2" s="295" t="s">
        <v>1818</v>
      </c>
    </row>
    <row r="3" spans="1:44" ht="15.75">
      <c r="A3" s="295" t="s">
        <v>1800</v>
      </c>
      <c r="B3" s="300" t="s">
        <v>1801</v>
      </c>
      <c r="C3" s="297">
        <v>46281</v>
      </c>
      <c r="D3" s="295"/>
      <c r="E3" s="295" t="s">
        <v>1802</v>
      </c>
      <c r="F3" s="298"/>
      <c r="G3" s="298"/>
      <c r="H3" s="295"/>
      <c r="I3" s="295"/>
      <c r="J3" s="295"/>
      <c r="K3" s="295" t="s">
        <v>1803</v>
      </c>
      <c r="L3" s="296">
        <v>46272</v>
      </c>
      <c r="M3" s="299">
        <v>0.90416666666666667</v>
      </c>
      <c r="N3" s="306">
        <v>4400</v>
      </c>
      <c r="O3" s="296"/>
      <c r="P3" s="294" t="s">
        <v>1819</v>
      </c>
      <c r="Q3" s="303" t="s">
        <v>1805</v>
      </c>
      <c r="R3" s="303" t="s">
        <v>1806</v>
      </c>
      <c r="S3" s="303" t="s">
        <v>1807</v>
      </c>
      <c r="T3" s="296"/>
      <c r="U3" s="295" t="s">
        <v>324</v>
      </c>
      <c r="V3" s="295" t="s">
        <v>1808</v>
      </c>
      <c r="W3" s="295"/>
      <c r="X3" s="294" t="s">
        <v>1809</v>
      </c>
      <c r="Y3" s="295" t="s">
        <v>1810</v>
      </c>
      <c r="Z3" s="295" t="s">
        <v>1811</v>
      </c>
      <c r="AA3" s="295" t="str">
        <f>IFERROR( VLOOKUP(Z3,[1]MOTORISTAS!$A$2:$I$1031,5,0),"")</f>
        <v>95278761687</v>
      </c>
      <c r="AB3" s="295" t="str">
        <f>IFERROR( VLOOKUP(Z3,[1]MOTORISTAS!$A$2:$I$1031,6,0),"")</f>
        <v>00585420107</v>
      </c>
      <c r="AC3" s="295" t="str">
        <f>IFERROR( VLOOKUP(Z3,[1]MOTORISTAS!$A$2:$I$1031,9,0),"")</f>
        <v>M6151422</v>
      </c>
      <c r="AD3" s="295"/>
      <c r="AE3" s="294" t="s">
        <v>331</v>
      </c>
      <c r="AF3" s="294" t="s">
        <v>1820</v>
      </c>
      <c r="AG3" s="295" t="s">
        <v>1821</v>
      </c>
      <c r="AH3" s="301" t="s">
        <v>1814</v>
      </c>
      <c r="AI3" s="294"/>
      <c r="AJ3" s="295"/>
      <c r="AK3" s="295"/>
      <c r="AL3" s="295"/>
      <c r="AM3" s="295"/>
      <c r="AN3" s="303" t="s">
        <v>1815</v>
      </c>
      <c r="AO3" s="295" t="s">
        <v>1816</v>
      </c>
      <c r="AP3" s="303" t="s">
        <v>1817</v>
      </c>
      <c r="AQ3" s="298"/>
      <c r="AR3" s="295" t="s">
        <v>1818</v>
      </c>
    </row>
    <row r="4" spans="1:44" ht="15.75">
      <c r="A4" s="295" t="s">
        <v>1800</v>
      </c>
      <c r="B4" s="300" t="s">
        <v>1801</v>
      </c>
      <c r="C4" s="297">
        <v>46276</v>
      </c>
      <c r="D4" s="295"/>
      <c r="E4" s="295" t="s">
        <v>1802</v>
      </c>
      <c r="F4" s="298"/>
      <c r="G4" s="298"/>
      <c r="H4" s="295"/>
      <c r="I4" s="295"/>
      <c r="J4" s="295"/>
      <c r="K4" s="295" t="s">
        <v>1803</v>
      </c>
      <c r="L4" s="296">
        <v>46274</v>
      </c>
      <c r="M4" s="299">
        <v>0.79166666666666663</v>
      </c>
      <c r="N4" s="306">
        <v>4400</v>
      </c>
      <c r="O4" s="296"/>
      <c r="P4" s="294" t="s">
        <v>1822</v>
      </c>
      <c r="Q4" s="303" t="s">
        <v>1805</v>
      </c>
      <c r="R4" s="303" t="s">
        <v>1806</v>
      </c>
      <c r="S4" s="303" t="s">
        <v>1807</v>
      </c>
      <c r="T4" s="296"/>
      <c r="U4" s="295" t="s">
        <v>324</v>
      </c>
      <c r="V4" s="295" t="s">
        <v>1808</v>
      </c>
      <c r="W4" s="295"/>
      <c r="X4" s="294" t="s">
        <v>1809</v>
      </c>
      <c r="Y4" s="295" t="s">
        <v>1810</v>
      </c>
      <c r="Z4" s="295" t="s">
        <v>1823</v>
      </c>
      <c r="AA4" s="295" t="str">
        <f>IFERROR( VLOOKUP(Z4,[1]MOTORISTAS!$A$2:$I$1031,5,0),"")</f>
        <v>61401820697</v>
      </c>
      <c r="AB4" s="295" t="str">
        <f>IFERROR( VLOOKUP(Z4,[1]MOTORISTAS!$A$2:$I$1031,6,0),"")</f>
        <v>00013349300</v>
      </c>
      <c r="AC4" s="295" t="str">
        <f>IFERROR( VLOOKUP(Z4,[1]MOTORISTAS!$A$2:$I$1031,9,0),"")</f>
        <v>M2157993</v>
      </c>
      <c r="AD4" s="295"/>
      <c r="AE4" s="295" t="s">
        <v>1824</v>
      </c>
      <c r="AF4" s="294" t="s">
        <v>1825</v>
      </c>
      <c r="AG4" s="295" t="s">
        <v>1826</v>
      </c>
      <c r="AH4" s="301" t="s">
        <v>1814</v>
      </c>
      <c r="AI4" s="294"/>
      <c r="AJ4" s="295"/>
      <c r="AK4" s="295"/>
      <c r="AL4" s="295"/>
      <c r="AM4" s="295"/>
      <c r="AN4" s="303" t="s">
        <v>1815</v>
      </c>
      <c r="AO4" s="295" t="s">
        <v>1816</v>
      </c>
      <c r="AP4" s="303" t="s">
        <v>1817</v>
      </c>
      <c r="AQ4" s="298"/>
      <c r="AR4" s="295" t="s">
        <v>1818</v>
      </c>
    </row>
    <row r="5" spans="1:44" ht="15.75">
      <c r="A5" s="295" t="s">
        <v>1800</v>
      </c>
      <c r="B5" s="300" t="s">
        <v>1801</v>
      </c>
      <c r="C5" s="297">
        <v>46276</v>
      </c>
      <c r="D5" s="295"/>
      <c r="E5" s="295" t="s">
        <v>1802</v>
      </c>
      <c r="F5" s="298"/>
      <c r="G5" s="298"/>
      <c r="H5" s="295"/>
      <c r="I5" s="295"/>
      <c r="J5" s="295"/>
      <c r="K5" s="295" t="s">
        <v>1803</v>
      </c>
      <c r="L5" s="296">
        <v>46274</v>
      </c>
      <c r="M5" s="299">
        <v>0.79166666666666663</v>
      </c>
      <c r="N5" s="306">
        <v>4400</v>
      </c>
      <c r="O5" s="296"/>
      <c r="P5" s="294" t="s">
        <v>1827</v>
      </c>
      <c r="Q5" s="303" t="s">
        <v>1805</v>
      </c>
      <c r="R5" s="303" t="s">
        <v>1806</v>
      </c>
      <c r="S5" s="303" t="s">
        <v>1807</v>
      </c>
      <c r="T5" s="296"/>
      <c r="U5" s="295" t="s">
        <v>324</v>
      </c>
      <c r="V5" s="295" t="s">
        <v>1808</v>
      </c>
      <c r="W5" s="295"/>
      <c r="X5" s="294" t="s">
        <v>1809</v>
      </c>
      <c r="Y5" s="295" t="s">
        <v>1810</v>
      </c>
      <c r="Z5" s="295" t="s">
        <v>1823</v>
      </c>
      <c r="AA5" s="295" t="str">
        <f>IFERROR( VLOOKUP(Z5,[1]MOTORISTAS!$A$2:$I$1031,5,0),"")</f>
        <v>61401820697</v>
      </c>
      <c r="AB5" s="295" t="str">
        <f>IFERROR( VLOOKUP(Z5,[1]MOTORISTAS!$A$2:$I$1031,6,0),"")</f>
        <v>00013349300</v>
      </c>
      <c r="AC5" s="295" t="str">
        <f>IFERROR( VLOOKUP(Z5,[1]MOTORISTAS!$A$2:$I$1031,9,0),"")</f>
        <v>M2157993</v>
      </c>
      <c r="AD5" s="295"/>
      <c r="AE5" s="295" t="s">
        <v>1824</v>
      </c>
      <c r="AF5" s="294" t="s">
        <v>1828</v>
      </c>
      <c r="AG5" s="295" t="s">
        <v>1829</v>
      </c>
      <c r="AH5" s="301" t="s">
        <v>1814</v>
      </c>
      <c r="AI5" s="294"/>
      <c r="AJ5" s="295"/>
      <c r="AK5" s="295"/>
      <c r="AL5" s="295"/>
      <c r="AM5" s="295"/>
      <c r="AN5" s="303" t="s">
        <v>1815</v>
      </c>
      <c r="AO5" s="295" t="s">
        <v>1816</v>
      </c>
      <c r="AP5" s="303" t="s">
        <v>1817</v>
      </c>
      <c r="AQ5" s="298"/>
      <c r="AR5" s="295" t="s">
        <v>1818</v>
      </c>
    </row>
    <row r="6" spans="1:44" ht="15.75">
      <c r="A6" s="295" t="s">
        <v>1800</v>
      </c>
      <c r="B6" s="300" t="s">
        <v>1801</v>
      </c>
      <c r="C6" s="297">
        <v>46280</v>
      </c>
      <c r="D6" s="295"/>
      <c r="E6" s="295" t="s">
        <v>1802</v>
      </c>
      <c r="F6" s="298"/>
      <c r="G6" s="298"/>
      <c r="H6" s="295"/>
      <c r="I6" s="295"/>
      <c r="J6" s="295"/>
      <c r="K6" s="295" t="s">
        <v>1803</v>
      </c>
      <c r="L6" s="296">
        <v>46277</v>
      </c>
      <c r="M6" s="299">
        <v>0.65416666666666667</v>
      </c>
      <c r="N6" s="306">
        <v>4400</v>
      </c>
      <c r="O6" s="296"/>
      <c r="P6" s="294" t="s">
        <v>1830</v>
      </c>
      <c r="Q6" s="303" t="s">
        <v>1805</v>
      </c>
      <c r="R6" s="303" t="s">
        <v>1806</v>
      </c>
      <c r="S6" s="303" t="s">
        <v>1807</v>
      </c>
      <c r="T6" s="296"/>
      <c r="U6" s="295" t="s">
        <v>324</v>
      </c>
      <c r="V6" s="295" t="s">
        <v>1808</v>
      </c>
      <c r="W6" s="295"/>
      <c r="X6" s="294" t="s">
        <v>1809</v>
      </c>
      <c r="Y6" s="295" t="s">
        <v>1810</v>
      </c>
      <c r="Z6" s="295" t="s">
        <v>1823</v>
      </c>
      <c r="AA6" s="295" t="str">
        <f>IFERROR( VLOOKUP(Z6,[1]MOTORISTAS!$A$2:$I$1031,5,0),"")</f>
        <v>61401820697</v>
      </c>
      <c r="AB6" s="295" t="str">
        <f>IFERROR( VLOOKUP(Z6,[1]MOTORISTAS!$A$2:$I$1031,6,0),"")</f>
        <v>00013349300</v>
      </c>
      <c r="AC6" s="295" t="str">
        <f>IFERROR( VLOOKUP(Z6,[1]MOTORISTAS!$A$2:$I$1031,9,0),"")</f>
        <v>M2157993</v>
      </c>
      <c r="AD6" s="295"/>
      <c r="AE6" s="295" t="s">
        <v>1824</v>
      </c>
      <c r="AF6" s="294" t="s">
        <v>1825</v>
      </c>
      <c r="AG6" s="295" t="s">
        <v>1831</v>
      </c>
      <c r="AH6" s="301" t="s">
        <v>1814</v>
      </c>
      <c r="AI6" s="294"/>
      <c r="AJ6" s="295"/>
      <c r="AK6" s="295"/>
      <c r="AL6" s="295"/>
      <c r="AM6" s="295"/>
      <c r="AN6" s="303" t="s">
        <v>1815</v>
      </c>
      <c r="AO6" s="295" t="s">
        <v>1816</v>
      </c>
      <c r="AP6" s="303" t="s">
        <v>1817</v>
      </c>
      <c r="AQ6" s="298"/>
      <c r="AR6" s="295" t="s">
        <v>1818</v>
      </c>
    </row>
    <row r="7" spans="1:44" ht="15.75">
      <c r="A7" s="295" t="s">
        <v>1800</v>
      </c>
      <c r="B7" s="300" t="s">
        <v>1801</v>
      </c>
      <c r="C7" s="297">
        <v>46280</v>
      </c>
      <c r="D7" s="295"/>
      <c r="E7" s="295" t="s">
        <v>1802</v>
      </c>
      <c r="F7" s="298"/>
      <c r="G7" s="298"/>
      <c r="H7" s="295"/>
      <c r="I7" s="295"/>
      <c r="J7" s="295"/>
      <c r="K7" s="295" t="s">
        <v>1803</v>
      </c>
      <c r="L7" s="296">
        <v>46277</v>
      </c>
      <c r="M7" s="299">
        <v>0.65416666666666667</v>
      </c>
      <c r="N7" s="306">
        <v>4400</v>
      </c>
      <c r="O7" s="296"/>
      <c r="P7" s="294" t="s">
        <v>1832</v>
      </c>
      <c r="Q7" s="303" t="s">
        <v>1805</v>
      </c>
      <c r="R7" s="303" t="s">
        <v>1806</v>
      </c>
      <c r="S7" s="303" t="s">
        <v>1807</v>
      </c>
      <c r="T7" s="296"/>
      <c r="U7" s="295" t="s">
        <v>324</v>
      </c>
      <c r="V7" s="295" t="s">
        <v>1808</v>
      </c>
      <c r="W7" s="295"/>
      <c r="X7" s="294" t="s">
        <v>1809</v>
      </c>
      <c r="Y7" s="295" t="s">
        <v>1810</v>
      </c>
      <c r="Z7" s="295" t="s">
        <v>1823</v>
      </c>
      <c r="AA7" s="295" t="str">
        <f>IFERROR( VLOOKUP(Z7,[1]MOTORISTAS!$A$2:$I$1031,5,0),"")</f>
        <v>61401820697</v>
      </c>
      <c r="AB7" s="295" t="str">
        <f>IFERROR( VLOOKUP(Z7,[1]MOTORISTAS!$A$2:$I$1031,6,0),"")</f>
        <v>00013349300</v>
      </c>
      <c r="AC7" s="295" t="str">
        <f>IFERROR( VLOOKUP(Z7,[1]MOTORISTAS!$A$2:$I$1031,9,0),"")</f>
        <v>M2157993</v>
      </c>
      <c r="AD7" s="295"/>
      <c r="AE7" s="295" t="s">
        <v>1824</v>
      </c>
      <c r="AF7" s="294" t="s">
        <v>1828</v>
      </c>
      <c r="AG7" s="295" t="s">
        <v>1833</v>
      </c>
      <c r="AH7" s="301" t="s">
        <v>1814</v>
      </c>
      <c r="AI7" s="294"/>
      <c r="AJ7" s="295"/>
      <c r="AK7" s="295"/>
      <c r="AL7" s="295"/>
      <c r="AM7" s="295"/>
      <c r="AN7" s="303" t="s">
        <v>1815</v>
      </c>
      <c r="AO7" s="295" t="s">
        <v>1816</v>
      </c>
      <c r="AP7" s="303" t="s">
        <v>1817</v>
      </c>
      <c r="AQ7" s="298"/>
      <c r="AR7" s="295" t="s">
        <v>1818</v>
      </c>
    </row>
    <row r="8" spans="1:44" ht="15.75">
      <c r="A8" s="295" t="s">
        <v>1800</v>
      </c>
      <c r="B8" s="300" t="s">
        <v>1801</v>
      </c>
      <c r="C8" s="297">
        <v>46280</v>
      </c>
      <c r="D8" s="295"/>
      <c r="E8" s="295" t="s">
        <v>1802</v>
      </c>
      <c r="F8" s="298"/>
      <c r="G8" s="298"/>
      <c r="H8" s="295"/>
      <c r="I8" s="295"/>
      <c r="J8" s="295"/>
      <c r="K8" s="295" t="s">
        <v>1803</v>
      </c>
      <c r="L8" s="296">
        <v>46277</v>
      </c>
      <c r="M8" s="299">
        <v>0.66666666666666663</v>
      </c>
      <c r="N8" s="306">
        <v>4400</v>
      </c>
      <c r="O8" s="296"/>
      <c r="P8" s="294" t="s">
        <v>1834</v>
      </c>
      <c r="Q8" s="303" t="s">
        <v>1805</v>
      </c>
      <c r="R8" s="303" t="s">
        <v>1806</v>
      </c>
      <c r="S8" s="303" t="s">
        <v>1807</v>
      </c>
      <c r="T8" s="296"/>
      <c r="U8" s="295" t="s">
        <v>324</v>
      </c>
      <c r="V8" s="295" t="s">
        <v>1835</v>
      </c>
      <c r="W8" s="295"/>
      <c r="X8" s="294" t="s">
        <v>1836</v>
      </c>
      <c r="Y8" s="295" t="s">
        <v>1810</v>
      </c>
      <c r="Z8" s="295" t="s">
        <v>1811</v>
      </c>
      <c r="AA8" s="295" t="str">
        <f>IFERROR( VLOOKUP(Z8,[1]MOTORISTAS!$A$2:$I$1031,5,0),"")</f>
        <v>95278761687</v>
      </c>
      <c r="AB8" s="295" t="str">
        <f>IFERROR( VLOOKUP(Z8,[1]MOTORISTAS!$A$2:$I$1031,6,0),"")</f>
        <v>00585420107</v>
      </c>
      <c r="AC8" s="295" t="str">
        <f>IFERROR( VLOOKUP(Z8,[1]MOTORISTAS!$A$2:$I$1031,9,0),"")</f>
        <v>M6151422</v>
      </c>
      <c r="AD8" s="295"/>
      <c r="AE8" s="294" t="s">
        <v>331</v>
      </c>
      <c r="AF8" s="294" t="s">
        <v>1812</v>
      </c>
      <c r="AG8" s="295" t="s">
        <v>1837</v>
      </c>
      <c r="AH8" s="301" t="s">
        <v>1814</v>
      </c>
      <c r="AI8" s="294"/>
      <c r="AJ8" s="295"/>
      <c r="AK8" s="295"/>
      <c r="AL8" s="295"/>
      <c r="AM8" s="295"/>
      <c r="AN8" s="303" t="s">
        <v>1815</v>
      </c>
      <c r="AO8" s="295" t="s">
        <v>1816</v>
      </c>
      <c r="AP8" s="303" t="s">
        <v>1817</v>
      </c>
      <c r="AQ8" s="298"/>
      <c r="AR8" s="295" t="s">
        <v>1838</v>
      </c>
    </row>
    <row r="9" spans="1:44" ht="15.75">
      <c r="A9" s="295" t="s">
        <v>1800</v>
      </c>
      <c r="B9" s="300" t="s">
        <v>1801</v>
      </c>
      <c r="C9" s="297">
        <v>46280</v>
      </c>
      <c r="D9" s="295"/>
      <c r="E9" s="295" t="s">
        <v>1802</v>
      </c>
      <c r="F9" s="298"/>
      <c r="G9" s="298"/>
      <c r="H9" s="295"/>
      <c r="I9" s="295"/>
      <c r="J9" s="295"/>
      <c r="K9" s="295" t="s">
        <v>1803</v>
      </c>
      <c r="L9" s="296">
        <v>46277</v>
      </c>
      <c r="M9" s="299">
        <v>0.66666666666666663</v>
      </c>
      <c r="N9" s="306">
        <v>4400</v>
      </c>
      <c r="O9" s="296"/>
      <c r="P9" s="294" t="s">
        <v>1839</v>
      </c>
      <c r="Q9" s="303" t="s">
        <v>1805</v>
      </c>
      <c r="R9" s="303" t="s">
        <v>1806</v>
      </c>
      <c r="S9" s="303" t="s">
        <v>1807</v>
      </c>
      <c r="T9" s="296"/>
      <c r="U9" s="295" t="s">
        <v>324</v>
      </c>
      <c r="V9" s="295" t="s">
        <v>1835</v>
      </c>
      <c r="W9" s="295"/>
      <c r="X9" s="294" t="s">
        <v>1836</v>
      </c>
      <c r="Y9" s="295" t="s">
        <v>1810</v>
      </c>
      <c r="Z9" s="295" t="s">
        <v>1811</v>
      </c>
      <c r="AA9" s="295" t="str">
        <f>IFERROR( VLOOKUP(Z9,[1]MOTORISTAS!$A$2:$I$1031,5,0),"")</f>
        <v>95278761687</v>
      </c>
      <c r="AB9" s="295" t="str">
        <f>IFERROR( VLOOKUP(Z9,[1]MOTORISTAS!$A$2:$I$1031,6,0),"")</f>
        <v>00585420107</v>
      </c>
      <c r="AC9" s="295" t="str">
        <f>IFERROR( VLOOKUP(Z9,[1]MOTORISTAS!$A$2:$I$1031,9,0),"")</f>
        <v>M6151422</v>
      </c>
      <c r="AD9" s="295"/>
      <c r="AE9" s="294" t="s">
        <v>331</v>
      </c>
      <c r="AF9" s="294" t="s">
        <v>1820</v>
      </c>
      <c r="AG9" s="295" t="s">
        <v>1840</v>
      </c>
      <c r="AH9" s="301" t="s">
        <v>1814</v>
      </c>
      <c r="AI9" s="294"/>
      <c r="AJ9" s="295"/>
      <c r="AK9" s="295"/>
      <c r="AL9" s="295"/>
      <c r="AM9" s="295"/>
      <c r="AN9" s="303" t="s">
        <v>1815</v>
      </c>
      <c r="AO9" s="295" t="s">
        <v>1816</v>
      </c>
      <c r="AP9" s="303" t="s">
        <v>1817</v>
      </c>
      <c r="AQ9" s="298"/>
      <c r="AR9" s="295" t="s">
        <v>1838</v>
      </c>
    </row>
    <row r="10" spans="1:44" ht="15.75">
      <c r="A10" s="295" t="s">
        <v>1800</v>
      </c>
      <c r="B10" s="300" t="s">
        <v>1801</v>
      </c>
      <c r="C10" s="297">
        <v>46280</v>
      </c>
      <c r="D10" s="295"/>
      <c r="E10" s="295" t="s">
        <v>1841</v>
      </c>
      <c r="F10" s="298"/>
      <c r="G10" s="298"/>
      <c r="H10" s="295"/>
      <c r="I10" s="295"/>
      <c r="J10" s="295"/>
      <c r="K10" s="295" t="s">
        <v>1803</v>
      </c>
      <c r="L10" s="296">
        <v>46277</v>
      </c>
      <c r="M10" s="299">
        <v>0.67847222222222225</v>
      </c>
      <c r="N10" s="306">
        <v>4400</v>
      </c>
      <c r="O10" s="296"/>
      <c r="P10" s="294" t="s">
        <v>1842</v>
      </c>
      <c r="Q10" s="303" t="s">
        <v>1805</v>
      </c>
      <c r="R10" s="303" t="s">
        <v>1806</v>
      </c>
      <c r="S10" s="303" t="s">
        <v>1807</v>
      </c>
      <c r="T10" s="296"/>
      <c r="U10" s="295" t="s">
        <v>324</v>
      </c>
      <c r="V10" s="295" t="s">
        <v>1843</v>
      </c>
      <c r="W10" s="295"/>
      <c r="X10" s="294" t="s">
        <v>1844</v>
      </c>
      <c r="Y10" s="295" t="s">
        <v>1810</v>
      </c>
      <c r="Z10" s="295" t="s">
        <v>1845</v>
      </c>
      <c r="AA10" s="295" t="str">
        <f>IFERROR( VLOOKUP(Z10,[1]MOTORISTAS!$A$2:$I$1031,5,0),"")</f>
        <v>03739816600</v>
      </c>
      <c r="AB10" s="295" t="str">
        <f>IFERROR( VLOOKUP(Z10,[1]MOTORISTAS!$A$2:$I$1031,6,0),"")</f>
        <v>01844879030</v>
      </c>
      <c r="AC10" s="295" t="str">
        <f>IFERROR( VLOOKUP(Z10,[1]MOTORISTAS!$A$2:$I$1031,9,0),"")</f>
        <v>M7693913</v>
      </c>
      <c r="AD10" s="302"/>
      <c r="AE10" s="295" t="s">
        <v>1846</v>
      </c>
      <c r="AF10" s="294" t="s">
        <v>1847</v>
      </c>
      <c r="AG10" s="295" t="s">
        <v>1848</v>
      </c>
      <c r="AH10" s="301" t="s">
        <v>1814</v>
      </c>
      <c r="AI10" s="294"/>
      <c r="AJ10" s="295"/>
      <c r="AK10" s="295"/>
      <c r="AL10" s="295"/>
      <c r="AM10" s="295"/>
      <c r="AN10" s="303" t="s">
        <v>1815</v>
      </c>
      <c r="AO10" s="295" t="s">
        <v>1816</v>
      </c>
      <c r="AP10" s="303" t="s">
        <v>1817</v>
      </c>
      <c r="AQ10" s="298"/>
      <c r="AR10" s="295" t="s">
        <v>1849</v>
      </c>
    </row>
    <row r="11" spans="1:44" ht="15.75">
      <c r="A11" s="295" t="s">
        <v>1800</v>
      </c>
      <c r="B11" s="300" t="s">
        <v>1801</v>
      </c>
      <c r="C11" s="297">
        <v>46280</v>
      </c>
      <c r="D11" s="295"/>
      <c r="E11" s="295" t="s">
        <v>1841</v>
      </c>
      <c r="F11" s="298"/>
      <c r="G11" s="298"/>
      <c r="H11" s="295"/>
      <c r="I11" s="295"/>
      <c r="J11" s="295"/>
      <c r="K11" s="295" t="s">
        <v>1803</v>
      </c>
      <c r="L11" s="296">
        <v>46277</v>
      </c>
      <c r="M11" s="299">
        <v>0.67847222222222225</v>
      </c>
      <c r="N11" s="306">
        <v>4400</v>
      </c>
      <c r="O11" s="296"/>
      <c r="P11" s="294" t="s">
        <v>1850</v>
      </c>
      <c r="Q11" s="303" t="s">
        <v>1805</v>
      </c>
      <c r="R11" s="303" t="s">
        <v>1806</v>
      </c>
      <c r="S11" s="303" t="s">
        <v>1807</v>
      </c>
      <c r="T11" s="296"/>
      <c r="U11" s="295" t="s">
        <v>324</v>
      </c>
      <c r="V11" s="295" t="s">
        <v>1843</v>
      </c>
      <c r="W11" s="295"/>
      <c r="X11" s="294" t="s">
        <v>1844</v>
      </c>
      <c r="Y11" s="295" t="s">
        <v>1810</v>
      </c>
      <c r="Z11" s="295" t="s">
        <v>1845</v>
      </c>
      <c r="AA11" s="295" t="str">
        <f>IFERROR( VLOOKUP(Z11,[1]MOTORISTAS!$A$2:$I$1031,5,0),"")</f>
        <v>03739816600</v>
      </c>
      <c r="AB11" s="295" t="str">
        <f>IFERROR( VLOOKUP(Z11,[1]MOTORISTAS!$A$2:$I$1031,6,0),"")</f>
        <v>01844879030</v>
      </c>
      <c r="AC11" s="295" t="str">
        <f>IFERROR( VLOOKUP(Z11,[1]MOTORISTAS!$A$2:$I$1031,9,0),"")</f>
        <v>M7693913</v>
      </c>
      <c r="AD11" s="295"/>
      <c r="AE11" s="295" t="s">
        <v>1846</v>
      </c>
      <c r="AF11" s="294" t="s">
        <v>1851</v>
      </c>
      <c r="AG11" s="295" t="s">
        <v>1852</v>
      </c>
      <c r="AH11" s="301" t="s">
        <v>1814</v>
      </c>
      <c r="AI11" s="294"/>
      <c r="AJ11" s="295"/>
      <c r="AK11" s="295"/>
      <c r="AL11" s="295"/>
      <c r="AM11" s="295"/>
      <c r="AN11" s="303" t="s">
        <v>1815</v>
      </c>
      <c r="AO11" s="295" t="s">
        <v>1816</v>
      </c>
      <c r="AP11" s="303" t="s">
        <v>1817</v>
      </c>
      <c r="AQ11" s="298"/>
      <c r="AR11" s="295" t="s">
        <v>1849</v>
      </c>
    </row>
    <row r="12" spans="1:44" ht="15.75">
      <c r="A12" s="295" t="s">
        <v>1800</v>
      </c>
      <c r="B12" s="300" t="s">
        <v>1801</v>
      </c>
      <c r="C12" s="297">
        <v>46282</v>
      </c>
      <c r="D12" s="295"/>
      <c r="E12" s="295" t="s">
        <v>1841</v>
      </c>
      <c r="F12" s="298"/>
      <c r="G12" s="298"/>
      <c r="H12" s="295"/>
      <c r="I12" s="295"/>
      <c r="J12" s="295"/>
      <c r="K12" s="295" t="s">
        <v>1803</v>
      </c>
      <c r="L12" s="296">
        <v>46279</v>
      </c>
      <c r="M12" s="299">
        <v>0.85</v>
      </c>
      <c r="N12" s="306">
        <v>4400</v>
      </c>
      <c r="O12" s="296"/>
      <c r="P12" s="294" t="s">
        <v>1853</v>
      </c>
      <c r="Q12" s="303" t="s">
        <v>1805</v>
      </c>
      <c r="R12" s="303" t="s">
        <v>1806</v>
      </c>
      <c r="S12" s="303" t="s">
        <v>1807</v>
      </c>
      <c r="T12" s="296"/>
      <c r="U12" s="295" t="s">
        <v>324</v>
      </c>
      <c r="V12" s="295" t="s">
        <v>1843</v>
      </c>
      <c r="W12" s="295"/>
      <c r="X12" s="294" t="s">
        <v>1844</v>
      </c>
      <c r="Y12" s="295" t="s">
        <v>1810</v>
      </c>
      <c r="Z12" s="295" t="s">
        <v>1854</v>
      </c>
      <c r="AA12" s="295" t="str">
        <f>IFERROR( VLOOKUP(Z12,[1]MOTORISTAS!$A$2:$I$1031,5,0),"")</f>
        <v>53588967672</v>
      </c>
      <c r="AB12" s="295" t="str">
        <f>IFERROR( VLOOKUP(Z12,[1]MOTORISTAS!$A$2:$I$1031,6,0),"")</f>
        <v>02918096216</v>
      </c>
      <c r="AC12" s="295" t="str">
        <f>IFERROR( VLOOKUP(Z12,[1]MOTORISTAS!$A$2:$I$1031,9,0),"")</f>
        <v>M4385128</v>
      </c>
      <c r="AD12" s="295"/>
      <c r="AE12" s="294" t="s">
        <v>1855</v>
      </c>
      <c r="AF12" s="294" t="s">
        <v>1856</v>
      </c>
      <c r="AG12" s="295" t="s">
        <v>1857</v>
      </c>
      <c r="AH12" s="301" t="s">
        <v>1814</v>
      </c>
      <c r="AI12" s="294"/>
      <c r="AJ12" s="295"/>
      <c r="AK12" s="295"/>
      <c r="AL12" s="295"/>
      <c r="AM12" s="295"/>
      <c r="AN12" s="303" t="s">
        <v>1815</v>
      </c>
      <c r="AO12" s="295" t="s">
        <v>1816</v>
      </c>
      <c r="AP12" s="303" t="s">
        <v>1817</v>
      </c>
      <c r="AQ12" s="298"/>
      <c r="AR12" s="295" t="s">
        <v>1849</v>
      </c>
    </row>
    <row r="13" spans="1:44" ht="15.75">
      <c r="A13" s="295" t="s">
        <v>1800</v>
      </c>
      <c r="B13" s="300" t="s">
        <v>1801</v>
      </c>
      <c r="C13" s="297">
        <v>46282</v>
      </c>
      <c r="D13" s="295"/>
      <c r="E13" s="295" t="s">
        <v>1841</v>
      </c>
      <c r="F13" s="298"/>
      <c r="G13" s="298"/>
      <c r="H13" s="295"/>
      <c r="I13" s="295"/>
      <c r="J13" s="295"/>
      <c r="K13" s="295" t="s">
        <v>1803</v>
      </c>
      <c r="L13" s="296">
        <v>46279</v>
      </c>
      <c r="M13" s="299">
        <v>0.85</v>
      </c>
      <c r="N13" s="306">
        <v>4400</v>
      </c>
      <c r="O13" s="296"/>
      <c r="P13" s="294" t="s">
        <v>1858</v>
      </c>
      <c r="Q13" s="303" t="s">
        <v>1805</v>
      </c>
      <c r="R13" s="303" t="s">
        <v>1806</v>
      </c>
      <c r="S13" s="303" t="s">
        <v>1807</v>
      </c>
      <c r="T13" s="296"/>
      <c r="U13" s="295" t="s">
        <v>324</v>
      </c>
      <c r="V13" s="295" t="s">
        <v>1843</v>
      </c>
      <c r="W13" s="295"/>
      <c r="X13" s="294" t="s">
        <v>1844</v>
      </c>
      <c r="Y13" s="295" t="s">
        <v>1810</v>
      </c>
      <c r="Z13" s="295" t="s">
        <v>1854</v>
      </c>
      <c r="AA13" s="295" t="str">
        <f>IFERROR( VLOOKUP(Z13,[1]MOTORISTAS!$A$2:$I$1031,5,0),"")</f>
        <v>53588967672</v>
      </c>
      <c r="AB13" s="295" t="str">
        <f>IFERROR( VLOOKUP(Z13,[1]MOTORISTAS!$A$2:$I$1031,6,0),"")</f>
        <v>02918096216</v>
      </c>
      <c r="AC13" s="295" t="str">
        <f>IFERROR( VLOOKUP(Z13,[1]MOTORISTAS!$A$2:$I$1031,9,0),"")</f>
        <v>M4385128</v>
      </c>
      <c r="AD13" s="295"/>
      <c r="AE13" s="294" t="s">
        <v>1855</v>
      </c>
      <c r="AF13" s="294" t="s">
        <v>1859</v>
      </c>
      <c r="AG13" s="295" t="s">
        <v>1860</v>
      </c>
      <c r="AH13" s="301" t="s">
        <v>1814</v>
      </c>
      <c r="AI13" s="294"/>
      <c r="AJ13" s="295"/>
      <c r="AK13" s="295"/>
      <c r="AL13" s="295"/>
      <c r="AM13" s="295"/>
      <c r="AN13" s="303" t="s">
        <v>1815</v>
      </c>
      <c r="AO13" s="295" t="s">
        <v>1816</v>
      </c>
      <c r="AP13" s="303" t="s">
        <v>1817</v>
      </c>
      <c r="AQ13" s="298"/>
      <c r="AR13" s="295" t="s">
        <v>1849</v>
      </c>
    </row>
    <row r="14" spans="1:44" ht="15.75">
      <c r="A14" s="295" t="s">
        <v>1800</v>
      </c>
      <c r="B14" s="300" t="s">
        <v>1801</v>
      </c>
      <c r="C14" s="297">
        <v>46282</v>
      </c>
      <c r="D14" s="295"/>
      <c r="E14" s="295" t="s">
        <v>1802</v>
      </c>
      <c r="F14" s="298"/>
      <c r="G14" s="298"/>
      <c r="H14" s="295"/>
      <c r="I14" s="295"/>
      <c r="J14" s="295"/>
      <c r="K14" s="295" t="s">
        <v>1803</v>
      </c>
      <c r="L14" s="296">
        <v>46280</v>
      </c>
      <c r="M14" s="299">
        <v>0.81527777777777777</v>
      </c>
      <c r="N14" s="306">
        <v>4400</v>
      </c>
      <c r="O14" s="296"/>
      <c r="P14" s="294" t="s">
        <v>1861</v>
      </c>
      <c r="Q14" s="303" t="s">
        <v>1805</v>
      </c>
      <c r="R14" s="303" t="s">
        <v>1806</v>
      </c>
      <c r="S14" s="303" t="s">
        <v>1807</v>
      </c>
      <c r="T14" s="296"/>
      <c r="U14" s="295" t="s">
        <v>324</v>
      </c>
      <c r="V14" s="295" t="s">
        <v>1862</v>
      </c>
      <c r="W14" s="295"/>
      <c r="X14" s="294" t="s">
        <v>1863</v>
      </c>
      <c r="Y14" s="295" t="s">
        <v>1810</v>
      </c>
      <c r="Z14" s="295" t="s">
        <v>1811</v>
      </c>
      <c r="AA14" s="295" t="str">
        <f>IFERROR( VLOOKUP(Z14,[1]MOTORISTAS!$A$2:$I$1031,5,0),"")</f>
        <v>95278761687</v>
      </c>
      <c r="AB14" s="295" t="str">
        <f>IFERROR( VLOOKUP(Z14,[1]MOTORISTAS!$A$2:$I$1031,6,0),"")</f>
        <v>00585420107</v>
      </c>
      <c r="AC14" s="295" t="str">
        <f>IFERROR( VLOOKUP(Z14,[1]MOTORISTAS!$A$2:$I$1031,9,0),"")</f>
        <v>M6151422</v>
      </c>
      <c r="AD14" s="295"/>
      <c r="AE14" s="294" t="s">
        <v>331</v>
      </c>
      <c r="AF14" s="294" t="s">
        <v>1812</v>
      </c>
      <c r="AG14" s="295" t="s">
        <v>1864</v>
      </c>
      <c r="AH14" s="301" t="s">
        <v>1814</v>
      </c>
      <c r="AI14" s="294"/>
      <c r="AJ14" s="295"/>
      <c r="AK14" s="295"/>
      <c r="AL14" s="295"/>
      <c r="AM14" s="295"/>
      <c r="AN14" s="303" t="s">
        <v>1815</v>
      </c>
      <c r="AO14" s="295" t="s">
        <v>1816</v>
      </c>
      <c r="AP14" s="303" t="s">
        <v>1817</v>
      </c>
      <c r="AQ14" s="298"/>
      <c r="AR14" s="295" t="s">
        <v>1865</v>
      </c>
    </row>
    <row r="15" spans="1:44" ht="15.75">
      <c r="A15" s="295" t="s">
        <v>1800</v>
      </c>
      <c r="B15" s="300" t="s">
        <v>1801</v>
      </c>
      <c r="C15" s="297">
        <v>46282</v>
      </c>
      <c r="D15" s="295"/>
      <c r="E15" s="295" t="s">
        <v>1802</v>
      </c>
      <c r="F15" s="298"/>
      <c r="G15" s="298"/>
      <c r="H15" s="295"/>
      <c r="I15" s="295"/>
      <c r="J15" s="295"/>
      <c r="K15" s="295" t="s">
        <v>1803</v>
      </c>
      <c r="L15" s="296">
        <v>46280</v>
      </c>
      <c r="M15" s="299">
        <v>0.81527777777777777</v>
      </c>
      <c r="N15" s="306">
        <v>4400</v>
      </c>
      <c r="O15" s="296"/>
      <c r="P15" s="294" t="s">
        <v>1866</v>
      </c>
      <c r="Q15" s="303" t="s">
        <v>1805</v>
      </c>
      <c r="R15" s="303" t="s">
        <v>1806</v>
      </c>
      <c r="S15" s="303" t="s">
        <v>1807</v>
      </c>
      <c r="T15" s="296"/>
      <c r="U15" s="295" t="s">
        <v>324</v>
      </c>
      <c r="V15" s="295" t="s">
        <v>1862</v>
      </c>
      <c r="W15" s="295"/>
      <c r="X15" s="294" t="s">
        <v>1863</v>
      </c>
      <c r="Y15" s="295" t="s">
        <v>1810</v>
      </c>
      <c r="Z15" s="295" t="s">
        <v>1811</v>
      </c>
      <c r="AA15" s="295" t="str">
        <f>IFERROR( VLOOKUP(Z15,[1]MOTORISTAS!$A$2:$I$1031,5,0),"")</f>
        <v>95278761687</v>
      </c>
      <c r="AB15" s="295" t="str">
        <f>IFERROR( VLOOKUP(Z15,[1]MOTORISTAS!$A$2:$I$1031,6,0),"")</f>
        <v>00585420107</v>
      </c>
      <c r="AC15" s="295" t="str">
        <f>IFERROR( VLOOKUP(Z15,[1]MOTORISTAS!$A$2:$I$1031,9,0),"")</f>
        <v>M6151422</v>
      </c>
      <c r="AD15" s="295"/>
      <c r="AE15" s="294" t="s">
        <v>331</v>
      </c>
      <c r="AF15" s="294" t="s">
        <v>1820</v>
      </c>
      <c r="AG15" s="295" t="s">
        <v>1867</v>
      </c>
      <c r="AH15" s="301" t="s">
        <v>1814</v>
      </c>
      <c r="AI15" s="294"/>
      <c r="AJ15" s="295"/>
      <c r="AK15" s="295"/>
      <c r="AL15" s="295"/>
      <c r="AM15" s="295"/>
      <c r="AN15" s="303" t="s">
        <v>1815</v>
      </c>
      <c r="AO15" s="295" t="s">
        <v>1816</v>
      </c>
      <c r="AP15" s="303" t="s">
        <v>1817</v>
      </c>
      <c r="AQ15" s="298"/>
      <c r="AR15" s="295" t="s">
        <v>1865</v>
      </c>
    </row>
    <row r="16" spans="1:44" ht="15.75">
      <c r="A16" s="295" t="s">
        <v>1800</v>
      </c>
      <c r="B16" s="300" t="s">
        <v>1801</v>
      </c>
      <c r="C16" s="297">
        <v>46282</v>
      </c>
      <c r="D16" s="295"/>
      <c r="E16" s="295" t="s">
        <v>1802</v>
      </c>
      <c r="F16" s="298"/>
      <c r="G16" s="298"/>
      <c r="H16" s="295"/>
      <c r="I16" s="295"/>
      <c r="J16" s="295"/>
      <c r="K16" s="295" t="s">
        <v>1803</v>
      </c>
      <c r="L16" s="296">
        <v>46280</v>
      </c>
      <c r="M16" s="299">
        <v>0.82708333333333328</v>
      </c>
      <c r="N16" s="306">
        <v>4400</v>
      </c>
      <c r="O16" s="296"/>
      <c r="P16" s="294" t="s">
        <v>1868</v>
      </c>
      <c r="Q16" s="303" t="s">
        <v>1805</v>
      </c>
      <c r="R16" s="303" t="s">
        <v>1806</v>
      </c>
      <c r="S16" s="303" t="s">
        <v>1807</v>
      </c>
      <c r="T16" s="296"/>
      <c r="U16" s="295" t="s">
        <v>324</v>
      </c>
      <c r="V16" s="295" t="s">
        <v>1862</v>
      </c>
      <c r="W16" s="295"/>
      <c r="X16" s="294" t="s">
        <v>1863</v>
      </c>
      <c r="Y16" s="295" t="s">
        <v>1810</v>
      </c>
      <c r="Z16" s="295" t="s">
        <v>1845</v>
      </c>
      <c r="AA16" s="295" t="str">
        <f>IFERROR( VLOOKUP(Z16,[1]MOTORISTAS!$A$2:$I$1031,5,0),"")</f>
        <v>03739816600</v>
      </c>
      <c r="AB16" s="295" t="str">
        <f>IFERROR( VLOOKUP(Z16,[1]MOTORISTAS!$A$2:$I$1031,6,0),"")</f>
        <v>01844879030</v>
      </c>
      <c r="AC16" s="295" t="str">
        <f>IFERROR( VLOOKUP(Z16,[1]MOTORISTAS!$A$2:$I$1031,9,0),"")</f>
        <v>M7693913</v>
      </c>
      <c r="AD16" s="302"/>
      <c r="AE16" s="295" t="s">
        <v>1846</v>
      </c>
      <c r="AF16" s="294" t="s">
        <v>1847</v>
      </c>
      <c r="AG16" s="295" t="s">
        <v>1869</v>
      </c>
      <c r="AH16" s="301" t="s">
        <v>1814</v>
      </c>
      <c r="AI16" s="294"/>
      <c r="AJ16" s="295"/>
      <c r="AK16" s="295"/>
      <c r="AL16" s="295"/>
      <c r="AM16" s="295"/>
      <c r="AN16" s="303" t="s">
        <v>1815</v>
      </c>
      <c r="AO16" s="295" t="s">
        <v>1816</v>
      </c>
      <c r="AP16" s="303" t="s">
        <v>1817</v>
      </c>
      <c r="AQ16" s="298"/>
      <c r="AR16" s="295" t="s">
        <v>1865</v>
      </c>
    </row>
    <row r="17" spans="1:44" ht="15.75">
      <c r="A17" s="295" t="s">
        <v>1800</v>
      </c>
      <c r="B17" s="300" t="s">
        <v>1801</v>
      </c>
      <c r="C17" s="297">
        <v>46282</v>
      </c>
      <c r="D17" s="295"/>
      <c r="E17" s="295" t="s">
        <v>1802</v>
      </c>
      <c r="F17" s="298"/>
      <c r="G17" s="298"/>
      <c r="H17" s="295"/>
      <c r="I17" s="295"/>
      <c r="J17" s="295"/>
      <c r="K17" s="295" t="s">
        <v>1803</v>
      </c>
      <c r="L17" s="296">
        <v>46280</v>
      </c>
      <c r="M17" s="299">
        <v>0.82708333333333328</v>
      </c>
      <c r="N17" s="306">
        <v>4400</v>
      </c>
      <c r="O17" s="296"/>
      <c r="P17" s="294" t="s">
        <v>1870</v>
      </c>
      <c r="Q17" s="303" t="s">
        <v>1805</v>
      </c>
      <c r="R17" s="303" t="s">
        <v>1806</v>
      </c>
      <c r="S17" s="303" t="s">
        <v>1807</v>
      </c>
      <c r="T17" s="296"/>
      <c r="U17" s="295" t="s">
        <v>324</v>
      </c>
      <c r="V17" s="295" t="s">
        <v>1862</v>
      </c>
      <c r="W17" s="295"/>
      <c r="X17" s="294" t="s">
        <v>1863</v>
      </c>
      <c r="Y17" s="295" t="s">
        <v>1810</v>
      </c>
      <c r="Z17" s="295" t="s">
        <v>1845</v>
      </c>
      <c r="AA17" s="295" t="str">
        <f>IFERROR( VLOOKUP(Z17,[1]MOTORISTAS!$A$2:$I$1031,5,0),"")</f>
        <v>03739816600</v>
      </c>
      <c r="AB17" s="295" t="str">
        <f>IFERROR( VLOOKUP(Z17,[1]MOTORISTAS!$A$2:$I$1031,6,0),"")</f>
        <v>01844879030</v>
      </c>
      <c r="AC17" s="295" t="str">
        <f>IFERROR( VLOOKUP(Z17,[1]MOTORISTAS!$A$2:$I$1031,9,0),"")</f>
        <v>M7693913</v>
      </c>
      <c r="AD17" s="295"/>
      <c r="AE17" s="295" t="s">
        <v>1846</v>
      </c>
      <c r="AF17" s="294" t="s">
        <v>1851</v>
      </c>
      <c r="AG17" s="295" t="s">
        <v>1871</v>
      </c>
      <c r="AH17" s="301" t="s">
        <v>1814</v>
      </c>
      <c r="AI17" s="294"/>
      <c r="AJ17" s="295"/>
      <c r="AK17" s="295"/>
      <c r="AL17" s="295"/>
      <c r="AM17" s="295"/>
      <c r="AN17" s="303" t="s">
        <v>1815</v>
      </c>
      <c r="AO17" s="295" t="s">
        <v>1816</v>
      </c>
      <c r="AP17" s="303" t="s">
        <v>1817</v>
      </c>
      <c r="AQ17" s="298"/>
      <c r="AR17" s="295" t="s">
        <v>1865</v>
      </c>
    </row>
    <row r="18" spans="1:44" ht="15.75">
      <c r="A18" s="295" t="s">
        <v>1800</v>
      </c>
      <c r="B18" s="300" t="s">
        <v>1801</v>
      </c>
      <c r="C18" s="297">
        <v>46282</v>
      </c>
      <c r="D18" s="295"/>
      <c r="E18" s="295" t="s">
        <v>1841</v>
      </c>
      <c r="F18" s="298"/>
      <c r="G18" s="298"/>
      <c r="H18" s="295"/>
      <c r="I18" s="295"/>
      <c r="J18" s="295"/>
      <c r="K18" s="295" t="s">
        <v>1803</v>
      </c>
      <c r="L18" s="296">
        <v>46280</v>
      </c>
      <c r="M18" s="299">
        <v>0.79166666666666663</v>
      </c>
      <c r="N18" s="306">
        <v>4400</v>
      </c>
      <c r="O18" s="296"/>
      <c r="P18" s="294" t="s">
        <v>1872</v>
      </c>
      <c r="Q18" s="303" t="s">
        <v>1805</v>
      </c>
      <c r="R18" s="303" t="s">
        <v>1806</v>
      </c>
      <c r="S18" s="303" t="s">
        <v>1807</v>
      </c>
      <c r="T18" s="296"/>
      <c r="U18" s="295" t="s">
        <v>324</v>
      </c>
      <c r="V18" s="295" t="s">
        <v>1843</v>
      </c>
      <c r="W18" s="295"/>
      <c r="X18" s="294" t="s">
        <v>1844</v>
      </c>
      <c r="Y18" s="295" t="s">
        <v>1810</v>
      </c>
      <c r="Z18" s="295" t="s">
        <v>1823</v>
      </c>
      <c r="AA18" s="295" t="str">
        <f>IFERROR( VLOOKUP(Z18,[1]MOTORISTAS!$A$2:$I$1031,5,0),"")</f>
        <v>61401820697</v>
      </c>
      <c r="AB18" s="295" t="str">
        <f>IFERROR( VLOOKUP(Z18,[1]MOTORISTAS!$A$2:$I$1031,6,0),"")</f>
        <v>00013349300</v>
      </c>
      <c r="AC18" s="295" t="str">
        <f>IFERROR( VLOOKUP(Z18,[1]MOTORISTAS!$A$2:$I$1031,9,0),"")</f>
        <v>M2157993</v>
      </c>
      <c r="AD18" s="295"/>
      <c r="AE18" s="295" t="s">
        <v>1824</v>
      </c>
      <c r="AF18" s="294" t="s">
        <v>1825</v>
      </c>
      <c r="AG18" s="295" t="s">
        <v>1873</v>
      </c>
      <c r="AH18" s="301" t="s">
        <v>1814</v>
      </c>
      <c r="AI18" s="294"/>
      <c r="AJ18" s="295"/>
      <c r="AK18" s="295"/>
      <c r="AL18" s="295"/>
      <c r="AM18" s="295"/>
      <c r="AN18" s="303" t="s">
        <v>1815</v>
      </c>
      <c r="AO18" s="295" t="s">
        <v>1816</v>
      </c>
      <c r="AP18" s="303" t="s">
        <v>1817</v>
      </c>
      <c r="AQ18" s="298"/>
      <c r="AR18" s="295" t="s">
        <v>1849</v>
      </c>
    </row>
    <row r="19" spans="1:44" ht="15.75">
      <c r="A19" s="295" t="s">
        <v>1800</v>
      </c>
      <c r="B19" s="300" t="s">
        <v>1801</v>
      </c>
      <c r="C19" s="297">
        <v>46282</v>
      </c>
      <c r="D19" s="295"/>
      <c r="E19" s="295" t="s">
        <v>1841</v>
      </c>
      <c r="F19" s="298"/>
      <c r="G19" s="298"/>
      <c r="H19" s="295"/>
      <c r="I19" s="295"/>
      <c r="J19" s="295"/>
      <c r="K19" s="295" t="s">
        <v>1803</v>
      </c>
      <c r="L19" s="296">
        <v>46280</v>
      </c>
      <c r="M19" s="299">
        <v>0.79166666666666663</v>
      </c>
      <c r="N19" s="306">
        <v>4400</v>
      </c>
      <c r="O19" s="296"/>
      <c r="P19" s="294" t="s">
        <v>1874</v>
      </c>
      <c r="Q19" s="303" t="s">
        <v>1805</v>
      </c>
      <c r="R19" s="303" t="s">
        <v>1806</v>
      </c>
      <c r="S19" s="303" t="s">
        <v>1807</v>
      </c>
      <c r="T19" s="296"/>
      <c r="U19" s="295" t="s">
        <v>324</v>
      </c>
      <c r="V19" s="295" t="s">
        <v>1843</v>
      </c>
      <c r="W19" s="295"/>
      <c r="X19" s="294" t="s">
        <v>1844</v>
      </c>
      <c r="Y19" s="295" t="s">
        <v>1810</v>
      </c>
      <c r="Z19" s="295" t="s">
        <v>1823</v>
      </c>
      <c r="AA19" s="295" t="str">
        <f>IFERROR( VLOOKUP(Z19,[1]MOTORISTAS!$A$2:$I$1031,5,0),"")</f>
        <v>61401820697</v>
      </c>
      <c r="AB19" s="295" t="str">
        <f>IFERROR( VLOOKUP(Z19,[1]MOTORISTAS!$A$2:$I$1031,6,0),"")</f>
        <v>00013349300</v>
      </c>
      <c r="AC19" s="295" t="str">
        <f>IFERROR( VLOOKUP(Z19,[1]MOTORISTAS!$A$2:$I$1031,9,0),"")</f>
        <v>M2157993</v>
      </c>
      <c r="AD19" s="295"/>
      <c r="AE19" s="295" t="s">
        <v>1824</v>
      </c>
      <c r="AF19" s="294" t="s">
        <v>1828</v>
      </c>
      <c r="AG19" s="295" t="s">
        <v>1875</v>
      </c>
      <c r="AH19" s="301" t="s">
        <v>1814</v>
      </c>
      <c r="AI19" s="294"/>
      <c r="AJ19" s="295"/>
      <c r="AK19" s="295"/>
      <c r="AL19" s="295"/>
      <c r="AM19" s="295"/>
      <c r="AN19" s="303" t="s">
        <v>1815</v>
      </c>
      <c r="AO19" s="295" t="s">
        <v>1816</v>
      </c>
      <c r="AP19" s="303" t="s">
        <v>1817</v>
      </c>
      <c r="AQ19" s="298"/>
      <c r="AR19" s="295" t="s">
        <v>1849</v>
      </c>
    </row>
    <row r="20" spans="1:44" ht="15.75">
      <c r="A20" s="295" t="s">
        <v>1800</v>
      </c>
      <c r="B20" s="300" t="s">
        <v>1801</v>
      </c>
      <c r="C20" s="297">
        <v>46283</v>
      </c>
      <c r="D20" s="295"/>
      <c r="E20" s="295" t="s">
        <v>1841</v>
      </c>
      <c r="F20" s="298"/>
      <c r="G20" s="298"/>
      <c r="H20" s="295"/>
      <c r="I20" s="295"/>
      <c r="J20" s="295"/>
      <c r="K20" s="295" t="s">
        <v>1803</v>
      </c>
      <c r="L20" s="296">
        <v>46281</v>
      </c>
      <c r="M20" s="299">
        <v>0.93402777777777779</v>
      </c>
      <c r="N20" s="306">
        <v>4400</v>
      </c>
      <c r="O20" s="296"/>
      <c r="P20" s="294" t="s">
        <v>1876</v>
      </c>
      <c r="Q20" s="303" t="s">
        <v>1805</v>
      </c>
      <c r="R20" s="303" t="s">
        <v>1806</v>
      </c>
      <c r="S20" s="303" t="s">
        <v>1807</v>
      </c>
      <c r="T20" s="296"/>
      <c r="U20" s="304"/>
      <c r="V20" s="295" t="s">
        <v>1877</v>
      </c>
      <c r="W20" s="295"/>
      <c r="X20" s="294" t="s">
        <v>1878</v>
      </c>
      <c r="Y20" s="295" t="s">
        <v>1810</v>
      </c>
      <c r="Z20" s="295" t="s">
        <v>1879</v>
      </c>
      <c r="AA20" s="295" t="str">
        <f>IFERROR( VLOOKUP(Z20,[1]MOTORISTAS!$A$2:$M$1141,5,0),"")</f>
        <v>01600561608</v>
      </c>
      <c r="AB20" s="295" t="str">
        <f>IFERROR( VLOOKUP(Z20,[1]MOTORISTAS!$A$2:$M$1141,6,0),"")</f>
        <v>04417723538</v>
      </c>
      <c r="AC20" s="295" t="str">
        <f>IFERROR( VLOOKUP(Z20,[1]MOTORISTAS!$A$2:$M$1141,9,0),"")</f>
        <v>MG14603764</v>
      </c>
      <c r="AD20" s="295" t="str">
        <f>IFERROR( VLOOKUP(Z20,[1]MOTORISTAS!$A$2:$M$1141,3,0),"")</f>
        <v>(31) 99065-8343</v>
      </c>
      <c r="AE20" s="295" t="s">
        <v>1733</v>
      </c>
      <c r="AF20" s="295" t="s">
        <v>1880</v>
      </c>
      <c r="AG20" s="295" t="s">
        <v>1881</v>
      </c>
      <c r="AH20" s="301" t="s">
        <v>1814</v>
      </c>
      <c r="AI20" s="294"/>
      <c r="AJ20" s="295"/>
      <c r="AK20" s="295"/>
      <c r="AL20" s="295"/>
      <c r="AM20" s="295"/>
      <c r="AN20" s="303" t="s">
        <v>1815</v>
      </c>
      <c r="AO20" s="295" t="s">
        <v>1816</v>
      </c>
      <c r="AP20" s="303" t="s">
        <v>1817</v>
      </c>
      <c r="AQ20" s="298"/>
      <c r="AR20" s="295" t="s">
        <v>1882</v>
      </c>
    </row>
    <row r="21" spans="1:44" ht="15.75">
      <c r="A21" s="295" t="s">
        <v>1883</v>
      </c>
      <c r="B21" s="295"/>
      <c r="C21" s="297"/>
      <c r="D21" s="295"/>
      <c r="E21" s="295" t="s">
        <v>1841</v>
      </c>
      <c r="F21" s="298"/>
      <c r="G21" s="298"/>
      <c r="H21" s="295"/>
      <c r="I21" s="295"/>
      <c r="J21" s="295"/>
      <c r="K21" s="295" t="s">
        <v>1803</v>
      </c>
      <c r="L21" s="296">
        <v>46281</v>
      </c>
      <c r="M21" s="299">
        <v>0.93402777777777779</v>
      </c>
      <c r="N21" s="306">
        <v>4400</v>
      </c>
      <c r="O21" s="296"/>
      <c r="P21" s="294" t="s">
        <v>1884</v>
      </c>
      <c r="Q21" s="303" t="s">
        <v>1805</v>
      </c>
      <c r="R21" s="303" t="s">
        <v>1806</v>
      </c>
      <c r="S21" s="303" t="s">
        <v>1807</v>
      </c>
      <c r="T21" s="296"/>
      <c r="U21" s="304"/>
      <c r="V21" s="295" t="s">
        <v>1877</v>
      </c>
      <c r="W21" s="295"/>
      <c r="X21" s="294" t="s">
        <v>1878</v>
      </c>
      <c r="Y21" s="295" t="s">
        <v>1810</v>
      </c>
      <c r="Z21" s="295" t="s">
        <v>1879</v>
      </c>
      <c r="AA21" s="295" t="str">
        <f>IFERROR( VLOOKUP(Z21,[1]MOTORISTAS!$A$2:$M$1141,5,0),"")</f>
        <v>01600561608</v>
      </c>
      <c r="AB21" s="295" t="str">
        <f>IFERROR( VLOOKUP(Z21,[1]MOTORISTAS!$A$2:$M$1141,6,0),"")</f>
        <v>04417723538</v>
      </c>
      <c r="AC21" s="295" t="str">
        <f>IFERROR( VLOOKUP(Z21,[1]MOTORISTAS!$A$2:$M$1141,9,0),"")</f>
        <v>MG14603764</v>
      </c>
      <c r="AD21" s="295" t="str">
        <f>IFERROR( VLOOKUP(Z21,[1]MOTORISTAS!$A$2:$M$1141,3,0),"")</f>
        <v>(31) 99065-8343</v>
      </c>
      <c r="AE21" s="295" t="s">
        <v>1733</v>
      </c>
      <c r="AF21" s="295" t="s">
        <v>1885</v>
      </c>
      <c r="AG21" s="295" t="s">
        <v>1886</v>
      </c>
      <c r="AH21" s="301" t="s">
        <v>1814</v>
      </c>
      <c r="AI21" s="294"/>
      <c r="AJ21" s="295"/>
      <c r="AK21" s="295"/>
      <c r="AL21" s="295"/>
      <c r="AM21" s="295"/>
      <c r="AN21" s="303" t="s">
        <v>1815</v>
      </c>
      <c r="AO21" s="295" t="s">
        <v>1816</v>
      </c>
      <c r="AP21" s="303" t="s">
        <v>1817</v>
      </c>
      <c r="AQ21" s="298"/>
      <c r="AR21" s="295" t="s">
        <v>1882</v>
      </c>
    </row>
    <row r="22" spans="1:44" ht="15.75">
      <c r="A22" s="295" t="s">
        <v>1800</v>
      </c>
      <c r="B22" s="300" t="s">
        <v>1887</v>
      </c>
      <c r="C22" s="297">
        <v>46284</v>
      </c>
      <c r="D22" s="295"/>
      <c r="E22" s="295" t="s">
        <v>1888</v>
      </c>
      <c r="F22" s="298"/>
      <c r="G22" s="298"/>
      <c r="H22" s="295"/>
      <c r="I22" s="295"/>
      <c r="J22" s="295"/>
      <c r="K22" s="295" t="s">
        <v>1803</v>
      </c>
      <c r="L22" s="296">
        <v>46282</v>
      </c>
      <c r="M22" s="299">
        <v>0.86250000000000004</v>
      </c>
      <c r="N22" s="306">
        <v>4400</v>
      </c>
      <c r="O22" s="296"/>
      <c r="P22" s="294" t="s">
        <v>1889</v>
      </c>
      <c r="Q22" s="303" t="s">
        <v>1805</v>
      </c>
      <c r="R22" s="303" t="s">
        <v>1806</v>
      </c>
      <c r="S22" s="303" t="s">
        <v>1807</v>
      </c>
      <c r="T22" s="296"/>
      <c r="U22" s="304"/>
      <c r="V22" s="295" t="s">
        <v>1890</v>
      </c>
      <c r="W22" s="295"/>
      <c r="X22" s="294" t="s">
        <v>1891</v>
      </c>
      <c r="Y22" s="295" t="s">
        <v>1810</v>
      </c>
      <c r="Z22" s="295" t="s">
        <v>1845</v>
      </c>
      <c r="AA22" s="295" t="str">
        <f>IFERROR( VLOOKUP(Z22,[1]MOTORISTAS!$A$2:$I$1031,5,0),"")</f>
        <v>03739816600</v>
      </c>
      <c r="AB22" s="295" t="str">
        <f>IFERROR( VLOOKUP(Z22,[1]MOTORISTAS!$A$2:$I$1031,6,0),"")</f>
        <v>01844879030</v>
      </c>
      <c r="AC22" s="295" t="str">
        <f>IFERROR( VLOOKUP(Z22,[1]MOTORISTAS!$A$2:$I$1031,9,0),"")</f>
        <v>M7693913</v>
      </c>
      <c r="AD22" s="302"/>
      <c r="AE22" s="295" t="s">
        <v>1846</v>
      </c>
      <c r="AF22" s="294" t="s">
        <v>1847</v>
      </c>
      <c r="AG22" s="295" t="s">
        <v>1892</v>
      </c>
      <c r="AH22" s="301" t="s">
        <v>1814</v>
      </c>
      <c r="AI22" s="294"/>
      <c r="AJ22" s="295"/>
      <c r="AK22" s="295"/>
      <c r="AL22" s="295"/>
      <c r="AM22" s="295"/>
      <c r="AN22" s="303" t="s">
        <v>1815</v>
      </c>
      <c r="AO22" s="295" t="s">
        <v>1816</v>
      </c>
      <c r="AP22" s="303" t="s">
        <v>1817</v>
      </c>
      <c r="AQ22" s="298"/>
      <c r="AR22" s="295" t="s">
        <v>1893</v>
      </c>
    </row>
    <row r="23" spans="1:44" ht="15.75">
      <c r="A23" s="295" t="s">
        <v>1800</v>
      </c>
      <c r="B23" s="300" t="s">
        <v>1887</v>
      </c>
      <c r="C23" s="297">
        <v>46284</v>
      </c>
      <c r="D23" s="295"/>
      <c r="E23" s="295" t="s">
        <v>1888</v>
      </c>
      <c r="F23" s="298"/>
      <c r="G23" s="298"/>
      <c r="H23" s="295"/>
      <c r="I23" s="295"/>
      <c r="J23" s="295"/>
      <c r="K23" s="295" t="s">
        <v>1803</v>
      </c>
      <c r="L23" s="296">
        <v>46282</v>
      </c>
      <c r="M23" s="299">
        <v>0.86250000000000004</v>
      </c>
      <c r="N23" s="306">
        <v>4400</v>
      </c>
      <c r="O23" s="296"/>
      <c r="P23" s="294" t="s">
        <v>1894</v>
      </c>
      <c r="Q23" s="303" t="s">
        <v>1805</v>
      </c>
      <c r="R23" s="303" t="s">
        <v>1806</v>
      </c>
      <c r="S23" s="303" t="s">
        <v>1807</v>
      </c>
      <c r="T23" s="296"/>
      <c r="U23" s="304"/>
      <c r="V23" s="295" t="s">
        <v>1890</v>
      </c>
      <c r="W23" s="295"/>
      <c r="X23" s="294" t="s">
        <v>1891</v>
      </c>
      <c r="Y23" s="295" t="s">
        <v>1810</v>
      </c>
      <c r="Z23" s="295" t="s">
        <v>1845</v>
      </c>
      <c r="AA23" s="295" t="str">
        <f>IFERROR( VLOOKUP(Z23,[1]MOTORISTAS!$A$2:$I$1031,5,0),"")</f>
        <v>03739816600</v>
      </c>
      <c r="AB23" s="295" t="str">
        <f>IFERROR( VLOOKUP(Z23,[1]MOTORISTAS!$A$2:$I$1031,6,0),"")</f>
        <v>01844879030</v>
      </c>
      <c r="AC23" s="295" t="str">
        <f>IFERROR( VLOOKUP(Z23,[1]MOTORISTAS!$A$2:$I$1031,9,0),"")</f>
        <v>M7693913</v>
      </c>
      <c r="AD23" s="295"/>
      <c r="AE23" s="295" t="s">
        <v>1846</v>
      </c>
      <c r="AF23" s="294" t="s">
        <v>1851</v>
      </c>
      <c r="AG23" s="295" t="s">
        <v>1895</v>
      </c>
      <c r="AH23" s="301" t="s">
        <v>1814</v>
      </c>
      <c r="AI23" s="294"/>
      <c r="AJ23" s="295"/>
      <c r="AK23" s="295"/>
      <c r="AL23" s="295"/>
      <c r="AM23" s="295"/>
      <c r="AN23" s="303" t="s">
        <v>1815</v>
      </c>
      <c r="AO23" s="295" t="s">
        <v>1816</v>
      </c>
      <c r="AP23" s="303" t="s">
        <v>1817</v>
      </c>
      <c r="AQ23" s="298"/>
      <c r="AR23" s="295" t="s">
        <v>1893</v>
      </c>
    </row>
    <row r="24" spans="1:44" ht="15.75">
      <c r="A24" s="295" t="s">
        <v>1883</v>
      </c>
      <c r="B24" s="295"/>
      <c r="C24" s="297"/>
      <c r="D24" s="295"/>
      <c r="E24" s="295" t="s">
        <v>1888</v>
      </c>
      <c r="F24" s="298"/>
      <c r="G24" s="298"/>
      <c r="H24" s="295"/>
      <c r="I24" s="295"/>
      <c r="J24" s="295"/>
      <c r="K24" s="295" t="s">
        <v>1803</v>
      </c>
      <c r="L24" s="296">
        <v>46282</v>
      </c>
      <c r="M24" s="299">
        <v>0.87083333333333335</v>
      </c>
      <c r="N24" s="306">
        <v>4400</v>
      </c>
      <c r="O24" s="296"/>
      <c r="P24" s="294" t="s">
        <v>1896</v>
      </c>
      <c r="Q24" s="303" t="s">
        <v>1805</v>
      </c>
      <c r="R24" s="303" t="s">
        <v>1806</v>
      </c>
      <c r="S24" s="303" t="s">
        <v>1807</v>
      </c>
      <c r="T24" s="296"/>
      <c r="U24" s="304"/>
      <c r="V24" s="295" t="s">
        <v>1890</v>
      </c>
      <c r="W24" s="295"/>
      <c r="X24" s="294" t="s">
        <v>1891</v>
      </c>
      <c r="Y24" s="295" t="s">
        <v>1810</v>
      </c>
      <c r="Z24" s="295" t="s">
        <v>1811</v>
      </c>
      <c r="AA24" s="295" t="str">
        <f>IFERROR( VLOOKUP(Z24,[1]MOTORISTAS!$A$2:$I$1031,5,0),"")</f>
        <v>95278761687</v>
      </c>
      <c r="AB24" s="295" t="str">
        <f>IFERROR( VLOOKUP(Z24,[1]MOTORISTAS!$A$2:$I$1031,6,0),"")</f>
        <v>00585420107</v>
      </c>
      <c r="AC24" s="295" t="str">
        <f>IFERROR( VLOOKUP(Z24,[1]MOTORISTAS!$A$2:$I$1031,9,0),"")</f>
        <v>M6151422</v>
      </c>
      <c r="AD24" s="295"/>
      <c r="AE24" s="294" t="s">
        <v>331</v>
      </c>
      <c r="AF24" s="294" t="s">
        <v>1812</v>
      </c>
      <c r="AG24" s="295" t="s">
        <v>1897</v>
      </c>
      <c r="AH24" s="301" t="s">
        <v>1814</v>
      </c>
      <c r="AI24" s="294"/>
      <c r="AJ24" s="295"/>
      <c r="AK24" s="295"/>
      <c r="AL24" s="295"/>
      <c r="AM24" s="295"/>
      <c r="AN24" s="303" t="s">
        <v>1815</v>
      </c>
      <c r="AO24" s="295" t="s">
        <v>1816</v>
      </c>
      <c r="AP24" s="303" t="s">
        <v>1817</v>
      </c>
      <c r="AQ24" s="298"/>
      <c r="AR24" s="295" t="s">
        <v>1893</v>
      </c>
    </row>
    <row r="25" spans="1:44" ht="15.75">
      <c r="A25" s="295" t="s">
        <v>1883</v>
      </c>
      <c r="B25" s="295"/>
      <c r="C25" s="297"/>
      <c r="D25" s="295"/>
      <c r="E25" s="295" t="s">
        <v>1888</v>
      </c>
      <c r="F25" s="298"/>
      <c r="G25" s="298"/>
      <c r="H25" s="295"/>
      <c r="I25" s="295"/>
      <c r="J25" s="295"/>
      <c r="K25" s="295" t="s">
        <v>1803</v>
      </c>
      <c r="L25" s="296">
        <v>46282</v>
      </c>
      <c r="M25" s="299">
        <v>0.87083333333333335</v>
      </c>
      <c r="N25" s="306">
        <v>4400</v>
      </c>
      <c r="O25" s="296"/>
      <c r="P25" s="294" t="s">
        <v>1898</v>
      </c>
      <c r="Q25" s="303" t="s">
        <v>1805</v>
      </c>
      <c r="R25" s="303" t="s">
        <v>1806</v>
      </c>
      <c r="S25" s="303" t="s">
        <v>1807</v>
      </c>
      <c r="T25" s="296"/>
      <c r="U25" s="304"/>
      <c r="V25" s="295" t="s">
        <v>1890</v>
      </c>
      <c r="W25" s="295"/>
      <c r="X25" s="294" t="s">
        <v>1891</v>
      </c>
      <c r="Y25" s="295" t="s">
        <v>1810</v>
      </c>
      <c r="Z25" s="295" t="s">
        <v>1811</v>
      </c>
      <c r="AA25" s="295" t="str">
        <f>IFERROR( VLOOKUP(Z25,[1]MOTORISTAS!$A$2:$I$1031,5,0),"")</f>
        <v>95278761687</v>
      </c>
      <c r="AB25" s="295" t="str">
        <f>IFERROR( VLOOKUP(Z25,[1]MOTORISTAS!$A$2:$I$1031,6,0),"")</f>
        <v>00585420107</v>
      </c>
      <c r="AC25" s="295" t="str">
        <f>IFERROR( VLOOKUP(Z25,[1]MOTORISTAS!$A$2:$I$1031,9,0),"")</f>
        <v>M6151422</v>
      </c>
      <c r="AD25" s="295"/>
      <c r="AE25" s="294" t="s">
        <v>331</v>
      </c>
      <c r="AF25" s="294" t="s">
        <v>1820</v>
      </c>
      <c r="AG25" s="295" t="s">
        <v>1899</v>
      </c>
      <c r="AH25" s="301" t="s">
        <v>1814</v>
      </c>
      <c r="AI25" s="294"/>
      <c r="AJ25" s="295"/>
      <c r="AK25" s="295"/>
      <c r="AL25" s="295"/>
      <c r="AM25" s="295"/>
      <c r="AN25" s="303" t="s">
        <v>1815</v>
      </c>
      <c r="AO25" s="295" t="s">
        <v>1816</v>
      </c>
      <c r="AP25" s="303" t="s">
        <v>1817</v>
      </c>
      <c r="AQ25" s="298"/>
      <c r="AR25" s="295" t="s">
        <v>1893</v>
      </c>
    </row>
    <row r="26" spans="1:44" ht="15.75">
      <c r="A26" s="295" t="s">
        <v>1800</v>
      </c>
      <c r="B26" s="300" t="s">
        <v>1887</v>
      </c>
      <c r="C26" s="297">
        <v>46284</v>
      </c>
      <c r="D26" s="295"/>
      <c r="E26" s="295" t="s">
        <v>1888</v>
      </c>
      <c r="F26" s="298"/>
      <c r="G26" s="298"/>
      <c r="H26" s="295"/>
      <c r="I26" s="295"/>
      <c r="J26" s="295"/>
      <c r="K26" s="295" t="s">
        <v>1803</v>
      </c>
      <c r="L26" s="296">
        <v>46282</v>
      </c>
      <c r="M26" s="299">
        <v>0.88055555555555554</v>
      </c>
      <c r="N26" s="306">
        <v>4400</v>
      </c>
      <c r="O26" s="296"/>
      <c r="P26" s="294" t="s">
        <v>1900</v>
      </c>
      <c r="Q26" s="303" t="s">
        <v>1805</v>
      </c>
      <c r="R26" s="303" t="s">
        <v>1806</v>
      </c>
      <c r="S26" s="303" t="s">
        <v>1807</v>
      </c>
      <c r="T26" s="296"/>
      <c r="U26" s="304"/>
      <c r="V26" s="295" t="s">
        <v>1890</v>
      </c>
      <c r="W26" s="295"/>
      <c r="X26" s="294" t="s">
        <v>1891</v>
      </c>
      <c r="Y26" s="295" t="s">
        <v>1810</v>
      </c>
      <c r="Z26" s="295" t="s">
        <v>1854</v>
      </c>
      <c r="AA26" s="295" t="str">
        <f>IFERROR( VLOOKUP(Z26,[1]MOTORISTAS!$A$2:$I$1031,5,0),"")</f>
        <v>53588967672</v>
      </c>
      <c r="AB26" s="295" t="str">
        <f>IFERROR( VLOOKUP(Z26,[1]MOTORISTAS!$A$2:$I$1031,6,0),"")</f>
        <v>02918096216</v>
      </c>
      <c r="AC26" s="295" t="str">
        <f>IFERROR( VLOOKUP(Z26,[1]MOTORISTAS!$A$2:$I$1031,9,0),"")</f>
        <v>M4385128</v>
      </c>
      <c r="AD26" s="295"/>
      <c r="AE26" s="294" t="s">
        <v>1855</v>
      </c>
      <c r="AF26" s="294" t="s">
        <v>1856</v>
      </c>
      <c r="AG26" s="295" t="s">
        <v>1901</v>
      </c>
      <c r="AH26" s="301" t="s">
        <v>1814</v>
      </c>
      <c r="AI26" s="294"/>
      <c r="AJ26" s="295"/>
      <c r="AK26" s="295"/>
      <c r="AL26" s="295"/>
      <c r="AM26" s="295"/>
      <c r="AN26" s="303" t="s">
        <v>1815</v>
      </c>
      <c r="AO26" s="295" t="s">
        <v>1816</v>
      </c>
      <c r="AP26" s="303" t="s">
        <v>1817</v>
      </c>
      <c r="AQ26" s="298"/>
      <c r="AR26" s="295" t="s">
        <v>1893</v>
      </c>
    </row>
    <row r="27" spans="1:44" ht="15.75">
      <c r="A27" s="295" t="s">
        <v>1800</v>
      </c>
      <c r="B27" s="300" t="s">
        <v>1887</v>
      </c>
      <c r="C27" s="297">
        <v>46284</v>
      </c>
      <c r="D27" s="295"/>
      <c r="E27" s="295" t="s">
        <v>1888</v>
      </c>
      <c r="F27" s="298"/>
      <c r="G27" s="298"/>
      <c r="H27" s="295"/>
      <c r="I27" s="295"/>
      <c r="J27" s="295"/>
      <c r="K27" s="295" t="s">
        <v>1803</v>
      </c>
      <c r="L27" s="296">
        <v>46282</v>
      </c>
      <c r="M27" s="299">
        <v>0.88055555555555554</v>
      </c>
      <c r="N27" s="306">
        <v>4400</v>
      </c>
      <c r="O27" s="296"/>
      <c r="P27" s="294" t="s">
        <v>1902</v>
      </c>
      <c r="Q27" s="303" t="s">
        <v>1805</v>
      </c>
      <c r="R27" s="303" t="s">
        <v>1806</v>
      </c>
      <c r="S27" s="303" t="s">
        <v>1807</v>
      </c>
      <c r="T27" s="296"/>
      <c r="U27" s="304"/>
      <c r="V27" s="295" t="s">
        <v>1890</v>
      </c>
      <c r="W27" s="295"/>
      <c r="X27" s="294" t="s">
        <v>1891</v>
      </c>
      <c r="Y27" s="295" t="s">
        <v>1810</v>
      </c>
      <c r="Z27" s="295" t="s">
        <v>1854</v>
      </c>
      <c r="AA27" s="295" t="str">
        <f>IFERROR( VLOOKUP(Z27,[1]MOTORISTAS!$A$2:$I$1031,5,0),"")</f>
        <v>53588967672</v>
      </c>
      <c r="AB27" s="295" t="str">
        <f>IFERROR( VLOOKUP(Z27,[1]MOTORISTAS!$A$2:$I$1031,6,0),"")</f>
        <v>02918096216</v>
      </c>
      <c r="AC27" s="295" t="str">
        <f>IFERROR( VLOOKUP(Z27,[1]MOTORISTAS!$A$2:$I$1031,9,0),"")</f>
        <v>M4385128</v>
      </c>
      <c r="AD27" s="295"/>
      <c r="AE27" s="294" t="s">
        <v>1855</v>
      </c>
      <c r="AF27" s="294" t="s">
        <v>1859</v>
      </c>
      <c r="AG27" s="295" t="s">
        <v>1903</v>
      </c>
      <c r="AH27" s="301" t="s">
        <v>1814</v>
      </c>
      <c r="AI27" s="294"/>
      <c r="AJ27" s="295"/>
      <c r="AK27" s="295"/>
      <c r="AL27" s="295"/>
      <c r="AM27" s="295"/>
      <c r="AN27" s="303" t="s">
        <v>1815</v>
      </c>
      <c r="AO27" s="295" t="s">
        <v>1816</v>
      </c>
      <c r="AP27" s="303" t="s">
        <v>1817</v>
      </c>
      <c r="AQ27" s="298"/>
      <c r="AR27" s="295" t="s">
        <v>1893</v>
      </c>
    </row>
    <row r="28" spans="1:44" ht="15.75">
      <c r="A28" s="295" t="s">
        <v>1800</v>
      </c>
      <c r="B28" s="300" t="s">
        <v>1887</v>
      </c>
      <c r="C28" s="297">
        <v>46287</v>
      </c>
      <c r="D28" s="295"/>
      <c r="E28" s="295" t="s">
        <v>1888</v>
      </c>
      <c r="F28" s="298"/>
      <c r="G28" s="298"/>
      <c r="H28" s="295"/>
      <c r="I28" s="295"/>
      <c r="J28" s="295"/>
      <c r="K28" s="295" t="s">
        <v>1803</v>
      </c>
      <c r="L28" s="296">
        <v>46283</v>
      </c>
      <c r="M28" s="299">
        <v>0.40416666666666667</v>
      </c>
      <c r="N28" s="306">
        <v>4400</v>
      </c>
      <c r="O28" s="296"/>
      <c r="P28" s="294" t="s">
        <v>1904</v>
      </c>
      <c r="Q28" s="303" t="s">
        <v>1805</v>
      </c>
      <c r="R28" s="303" t="s">
        <v>1806</v>
      </c>
      <c r="S28" s="303" t="s">
        <v>1807</v>
      </c>
      <c r="T28" s="296"/>
      <c r="U28" s="304"/>
      <c r="V28" s="295" t="s">
        <v>1890</v>
      </c>
      <c r="W28" s="295"/>
      <c r="X28" s="294" t="s">
        <v>1891</v>
      </c>
      <c r="Y28" s="295" t="s">
        <v>1810</v>
      </c>
      <c r="Z28" s="295" t="s">
        <v>1879</v>
      </c>
      <c r="AA28" s="295" t="str">
        <f>IFERROR( VLOOKUP(Z28,[1]MOTORISTAS!$A$2:$M$1141,5,0),"")</f>
        <v>01600561608</v>
      </c>
      <c r="AB28" s="295" t="str">
        <f>IFERROR( VLOOKUP(Z28,[1]MOTORISTAS!$A$2:$M$1141,6,0),"")</f>
        <v>04417723538</v>
      </c>
      <c r="AC28" s="295" t="str">
        <f>IFERROR( VLOOKUP(Z28,[1]MOTORISTAS!$A$2:$M$1141,9,0),"")</f>
        <v>MG14603764</v>
      </c>
      <c r="AD28" s="295" t="str">
        <f>IFERROR( VLOOKUP(Z28,[1]MOTORISTAS!$A$2:$M$1141,3,0),"")</f>
        <v>(31) 99065-8343</v>
      </c>
      <c r="AE28" s="295" t="s">
        <v>1733</v>
      </c>
      <c r="AF28" s="295" t="s">
        <v>1880</v>
      </c>
      <c r="AG28" s="295" t="s">
        <v>1905</v>
      </c>
      <c r="AH28" s="301" t="s">
        <v>1814</v>
      </c>
      <c r="AI28" s="294"/>
      <c r="AJ28" s="295"/>
      <c r="AK28" s="295"/>
      <c r="AL28" s="295"/>
      <c r="AM28" s="295"/>
      <c r="AN28" s="303" t="s">
        <v>1815</v>
      </c>
      <c r="AO28" s="295" t="s">
        <v>1816</v>
      </c>
      <c r="AP28" s="303" t="s">
        <v>1817</v>
      </c>
      <c r="AQ28" s="298"/>
      <c r="AR28" s="295" t="s">
        <v>1893</v>
      </c>
    </row>
    <row r="29" spans="1:44" ht="15.75">
      <c r="A29" s="295" t="s">
        <v>1800</v>
      </c>
      <c r="B29" s="300" t="s">
        <v>1887</v>
      </c>
      <c r="C29" s="297">
        <v>46289</v>
      </c>
      <c r="D29" s="295"/>
      <c r="E29" s="295" t="s">
        <v>1888</v>
      </c>
      <c r="F29" s="298"/>
      <c r="G29" s="298"/>
      <c r="H29" s="295"/>
      <c r="I29" s="295"/>
      <c r="J29" s="295"/>
      <c r="K29" s="295" t="s">
        <v>1803</v>
      </c>
      <c r="L29" s="296">
        <v>46283</v>
      </c>
      <c r="M29" s="299">
        <v>0.40416666666666667</v>
      </c>
      <c r="N29" s="306">
        <v>4400</v>
      </c>
      <c r="O29" s="296"/>
      <c r="P29" s="294" t="s">
        <v>1906</v>
      </c>
      <c r="Q29" s="303" t="s">
        <v>1805</v>
      </c>
      <c r="R29" s="303" t="s">
        <v>1806</v>
      </c>
      <c r="S29" s="303" t="s">
        <v>1807</v>
      </c>
      <c r="T29" s="296"/>
      <c r="U29" s="304"/>
      <c r="V29" s="295" t="s">
        <v>1890</v>
      </c>
      <c r="W29" s="295"/>
      <c r="X29" s="294" t="s">
        <v>1891</v>
      </c>
      <c r="Y29" s="295" t="s">
        <v>1810</v>
      </c>
      <c r="Z29" s="295" t="s">
        <v>1879</v>
      </c>
      <c r="AA29" s="295" t="str">
        <f>IFERROR( VLOOKUP(Z29,[1]MOTORISTAS!$A$2:$M$1141,5,0),"")</f>
        <v>01600561608</v>
      </c>
      <c r="AB29" s="295" t="str">
        <f>IFERROR( VLOOKUP(Z29,[1]MOTORISTAS!$A$2:$M$1141,6,0),"")</f>
        <v>04417723538</v>
      </c>
      <c r="AC29" s="295" t="str">
        <f>IFERROR( VLOOKUP(Z29,[1]MOTORISTAS!$A$2:$M$1141,9,0),"")</f>
        <v>MG14603764</v>
      </c>
      <c r="AD29" s="295" t="str">
        <f>IFERROR( VLOOKUP(Z29,[1]MOTORISTAS!$A$2:$M$1141,3,0),"")</f>
        <v>(31) 99065-8343</v>
      </c>
      <c r="AE29" s="295" t="s">
        <v>1733</v>
      </c>
      <c r="AF29" s="295" t="s">
        <v>1885</v>
      </c>
      <c r="AG29" s="295" t="s">
        <v>1907</v>
      </c>
      <c r="AH29" s="301" t="s">
        <v>1814</v>
      </c>
      <c r="AI29" s="294"/>
      <c r="AJ29" s="295"/>
      <c r="AK29" s="295"/>
      <c r="AL29" s="295"/>
      <c r="AM29" s="295"/>
      <c r="AN29" s="303" t="s">
        <v>1815</v>
      </c>
      <c r="AO29" s="295" t="s">
        <v>1816</v>
      </c>
      <c r="AP29" s="303" t="s">
        <v>1817</v>
      </c>
      <c r="AQ29" s="298"/>
      <c r="AR29" s="295" t="s">
        <v>1893</v>
      </c>
    </row>
    <row r="30" spans="1:44" ht="15.75">
      <c r="A30" s="295" t="s">
        <v>1800</v>
      </c>
      <c r="B30" s="300" t="s">
        <v>1887</v>
      </c>
      <c r="C30" s="297">
        <v>46287</v>
      </c>
      <c r="D30" s="295"/>
      <c r="E30" s="295" t="s">
        <v>1841</v>
      </c>
      <c r="F30" s="298"/>
      <c r="G30" s="298"/>
      <c r="H30" s="295"/>
      <c r="I30" s="295"/>
      <c r="J30" s="295"/>
      <c r="K30" s="295" t="s">
        <v>1803</v>
      </c>
      <c r="L30" s="296">
        <v>46284</v>
      </c>
      <c r="M30" s="299">
        <v>0.73750000000000004</v>
      </c>
      <c r="N30" s="306">
        <v>4400</v>
      </c>
      <c r="O30" s="296"/>
      <c r="P30" s="294" t="s">
        <v>1908</v>
      </c>
      <c r="Q30" s="303" t="s">
        <v>1805</v>
      </c>
      <c r="R30" s="303" t="s">
        <v>1806</v>
      </c>
      <c r="S30" s="303" t="s">
        <v>1807</v>
      </c>
      <c r="T30" s="296"/>
      <c r="U30" s="295" t="s">
        <v>324</v>
      </c>
      <c r="V30" s="295" t="s">
        <v>1909</v>
      </c>
      <c r="W30" s="295"/>
      <c r="X30" s="294" t="s">
        <v>1910</v>
      </c>
      <c r="Y30" s="295" t="s">
        <v>1810</v>
      </c>
      <c r="Z30" s="295" t="s">
        <v>1845</v>
      </c>
      <c r="AA30" s="295" t="str">
        <f>IFERROR( VLOOKUP(Z30,[1]MOTORISTAS!$A$2:$I$1031,5,0),"")</f>
        <v>03739816600</v>
      </c>
      <c r="AB30" s="295" t="str">
        <f>IFERROR( VLOOKUP(Z30,[1]MOTORISTAS!$A$2:$I$1031,6,0),"")</f>
        <v>01844879030</v>
      </c>
      <c r="AC30" s="295" t="str">
        <f>IFERROR( VLOOKUP(Z30,[1]MOTORISTAS!$A$2:$I$1031,9,0),"")</f>
        <v>M7693913</v>
      </c>
      <c r="AD30" s="302"/>
      <c r="AE30" s="295" t="s">
        <v>1846</v>
      </c>
      <c r="AF30" s="294" t="s">
        <v>1847</v>
      </c>
      <c r="AG30" s="295" t="s">
        <v>1911</v>
      </c>
      <c r="AH30" s="301" t="s">
        <v>1814</v>
      </c>
      <c r="AI30" s="294"/>
      <c r="AJ30" s="295"/>
      <c r="AK30" s="295"/>
      <c r="AL30" s="295"/>
      <c r="AM30" s="295"/>
      <c r="AN30" s="303" t="s">
        <v>1815</v>
      </c>
      <c r="AO30" s="295" t="s">
        <v>1816</v>
      </c>
      <c r="AP30" s="303" t="s">
        <v>1817</v>
      </c>
      <c r="AQ30" s="298"/>
      <c r="AR30" s="295" t="s">
        <v>1912</v>
      </c>
    </row>
    <row r="31" spans="1:44" ht="15.75">
      <c r="A31" s="295" t="s">
        <v>1800</v>
      </c>
      <c r="B31" s="300" t="s">
        <v>1887</v>
      </c>
      <c r="C31" s="297">
        <v>46287</v>
      </c>
      <c r="D31" s="295"/>
      <c r="E31" s="295" t="s">
        <v>1841</v>
      </c>
      <c r="F31" s="298"/>
      <c r="G31" s="298"/>
      <c r="H31" s="295"/>
      <c r="I31" s="295"/>
      <c r="J31" s="295"/>
      <c r="K31" s="295" t="s">
        <v>1803</v>
      </c>
      <c r="L31" s="296">
        <v>46284</v>
      </c>
      <c r="M31" s="299">
        <v>0.73750000000000004</v>
      </c>
      <c r="N31" s="306">
        <v>4400</v>
      </c>
      <c r="O31" s="296"/>
      <c r="P31" s="294" t="s">
        <v>1913</v>
      </c>
      <c r="Q31" s="303" t="s">
        <v>1805</v>
      </c>
      <c r="R31" s="303" t="s">
        <v>1806</v>
      </c>
      <c r="S31" s="303" t="s">
        <v>1807</v>
      </c>
      <c r="T31" s="296"/>
      <c r="U31" s="295" t="s">
        <v>324</v>
      </c>
      <c r="V31" s="295" t="s">
        <v>1909</v>
      </c>
      <c r="W31" s="295"/>
      <c r="X31" s="294" t="s">
        <v>1910</v>
      </c>
      <c r="Y31" s="295" t="s">
        <v>1810</v>
      </c>
      <c r="Z31" s="295" t="s">
        <v>1845</v>
      </c>
      <c r="AA31" s="295" t="str">
        <f>IFERROR( VLOOKUP(Z31,[1]MOTORISTAS!$A$2:$I$1031,5,0),"")</f>
        <v>03739816600</v>
      </c>
      <c r="AB31" s="295" t="str">
        <f>IFERROR( VLOOKUP(Z31,[1]MOTORISTAS!$A$2:$I$1031,6,0),"")</f>
        <v>01844879030</v>
      </c>
      <c r="AC31" s="295" t="str">
        <f>IFERROR( VLOOKUP(Z31,[1]MOTORISTAS!$A$2:$I$1031,9,0),"")</f>
        <v>M7693913</v>
      </c>
      <c r="AD31" s="295"/>
      <c r="AE31" s="295" t="s">
        <v>1846</v>
      </c>
      <c r="AF31" s="294" t="s">
        <v>1851</v>
      </c>
      <c r="AG31" s="295" t="s">
        <v>1914</v>
      </c>
      <c r="AH31" s="301" t="s">
        <v>1814</v>
      </c>
      <c r="AI31" s="294"/>
      <c r="AJ31" s="295"/>
      <c r="AK31" s="295"/>
      <c r="AL31" s="295"/>
      <c r="AM31" s="295"/>
      <c r="AN31" s="303" t="s">
        <v>1815</v>
      </c>
      <c r="AO31" s="295" t="s">
        <v>1816</v>
      </c>
      <c r="AP31" s="303" t="s">
        <v>1817</v>
      </c>
      <c r="AQ31" s="298"/>
      <c r="AR31" s="295" t="s">
        <v>1912</v>
      </c>
    </row>
    <row r="32" spans="1:44" ht="15.75">
      <c r="A32" s="295" t="s">
        <v>1800</v>
      </c>
      <c r="B32" s="300" t="s">
        <v>1887</v>
      </c>
      <c r="C32" s="297">
        <v>46287</v>
      </c>
      <c r="D32" s="295"/>
      <c r="E32" s="295" t="s">
        <v>1841</v>
      </c>
      <c r="F32" s="298"/>
      <c r="G32" s="298"/>
      <c r="H32" s="295"/>
      <c r="I32" s="295"/>
      <c r="J32" s="295"/>
      <c r="K32" s="295" t="s">
        <v>1803</v>
      </c>
      <c r="L32" s="296">
        <v>46284</v>
      </c>
      <c r="M32" s="299">
        <v>0.80347222222222225</v>
      </c>
      <c r="N32" s="306">
        <v>4400</v>
      </c>
      <c r="O32" s="296"/>
      <c r="P32" s="294" t="s">
        <v>1915</v>
      </c>
      <c r="Q32" s="303" t="s">
        <v>1805</v>
      </c>
      <c r="R32" s="303" t="s">
        <v>1806</v>
      </c>
      <c r="S32" s="303" t="s">
        <v>1807</v>
      </c>
      <c r="T32" s="296"/>
      <c r="U32" s="295" t="s">
        <v>324</v>
      </c>
      <c r="V32" s="295" t="s">
        <v>1909</v>
      </c>
      <c r="W32" s="295"/>
      <c r="X32" s="294" t="s">
        <v>1910</v>
      </c>
      <c r="Y32" s="295" t="s">
        <v>1810</v>
      </c>
      <c r="Z32" s="295" t="s">
        <v>1854</v>
      </c>
      <c r="AA32" s="295" t="str">
        <f>IFERROR( VLOOKUP(Z32,[1]MOTORISTAS!$A$2:$I$1031,5,0),"")</f>
        <v>53588967672</v>
      </c>
      <c r="AB32" s="295" t="str">
        <f>IFERROR( VLOOKUP(Z32,[1]MOTORISTAS!$A$2:$I$1031,6,0),"")</f>
        <v>02918096216</v>
      </c>
      <c r="AC32" s="295" t="str">
        <f>IFERROR( VLOOKUP(Z32,[1]MOTORISTAS!$A$2:$I$1031,9,0),"")</f>
        <v>M4385128</v>
      </c>
      <c r="AD32" s="295"/>
      <c r="AE32" s="294" t="s">
        <v>1855</v>
      </c>
      <c r="AF32" s="294" t="s">
        <v>1856</v>
      </c>
      <c r="AG32" s="295" t="s">
        <v>1916</v>
      </c>
      <c r="AH32" s="301" t="s">
        <v>1814</v>
      </c>
      <c r="AI32" s="294"/>
      <c r="AJ32" s="295"/>
      <c r="AK32" s="295"/>
      <c r="AL32" s="295"/>
      <c r="AM32" s="295"/>
      <c r="AN32" s="303" t="s">
        <v>1815</v>
      </c>
      <c r="AO32" s="295" t="s">
        <v>1816</v>
      </c>
      <c r="AP32" s="303" t="s">
        <v>1817</v>
      </c>
      <c r="AQ32" s="298"/>
      <c r="AR32" s="295" t="s">
        <v>1912</v>
      </c>
    </row>
    <row r="33" spans="1:44" ht="15.75">
      <c r="A33" s="295" t="s">
        <v>1800</v>
      </c>
      <c r="B33" s="300" t="s">
        <v>1887</v>
      </c>
      <c r="C33" s="297">
        <v>46287</v>
      </c>
      <c r="D33" s="295"/>
      <c r="E33" s="295" t="s">
        <v>1841</v>
      </c>
      <c r="F33" s="298"/>
      <c r="G33" s="298"/>
      <c r="H33" s="295"/>
      <c r="I33" s="295"/>
      <c r="J33" s="295"/>
      <c r="K33" s="295" t="s">
        <v>1803</v>
      </c>
      <c r="L33" s="296">
        <v>46284</v>
      </c>
      <c r="M33" s="299">
        <v>0.80347222222222225</v>
      </c>
      <c r="N33" s="306">
        <v>4400</v>
      </c>
      <c r="O33" s="296"/>
      <c r="P33" s="294" t="s">
        <v>1917</v>
      </c>
      <c r="Q33" s="303" t="s">
        <v>1805</v>
      </c>
      <c r="R33" s="303" t="s">
        <v>1806</v>
      </c>
      <c r="S33" s="303" t="s">
        <v>1807</v>
      </c>
      <c r="T33" s="296"/>
      <c r="U33" s="295" t="s">
        <v>324</v>
      </c>
      <c r="V33" s="295" t="s">
        <v>1909</v>
      </c>
      <c r="W33" s="295"/>
      <c r="X33" s="294" t="s">
        <v>1910</v>
      </c>
      <c r="Y33" s="295" t="s">
        <v>1810</v>
      </c>
      <c r="Z33" s="295" t="s">
        <v>1854</v>
      </c>
      <c r="AA33" s="295" t="str">
        <f>IFERROR( VLOOKUP(Z33,[1]MOTORISTAS!$A$2:$I$1031,5,0),"")</f>
        <v>53588967672</v>
      </c>
      <c r="AB33" s="295" t="str">
        <f>IFERROR( VLOOKUP(Z33,[1]MOTORISTAS!$A$2:$I$1031,6,0),"")</f>
        <v>02918096216</v>
      </c>
      <c r="AC33" s="295" t="str">
        <f>IFERROR( VLOOKUP(Z33,[1]MOTORISTAS!$A$2:$I$1031,9,0),"")</f>
        <v>M4385128</v>
      </c>
      <c r="AD33" s="295"/>
      <c r="AE33" s="294" t="s">
        <v>1855</v>
      </c>
      <c r="AF33" s="294" t="s">
        <v>1859</v>
      </c>
      <c r="AG33" s="295" t="s">
        <v>1918</v>
      </c>
      <c r="AH33" s="301" t="s">
        <v>1814</v>
      </c>
      <c r="AI33" s="294"/>
      <c r="AJ33" s="295"/>
      <c r="AK33" s="295"/>
      <c r="AL33" s="295"/>
      <c r="AM33" s="295"/>
      <c r="AN33" s="303" t="s">
        <v>1815</v>
      </c>
      <c r="AO33" s="295" t="s">
        <v>1816</v>
      </c>
      <c r="AP33" s="303" t="s">
        <v>1817</v>
      </c>
      <c r="AQ33" s="298"/>
      <c r="AR33" s="295" t="s">
        <v>1912</v>
      </c>
    </row>
    <row r="34" spans="1:44" ht="15.75">
      <c r="A34" s="295" t="s">
        <v>1800</v>
      </c>
      <c r="B34" s="300" t="s">
        <v>1887</v>
      </c>
      <c r="C34" s="297">
        <v>46290</v>
      </c>
      <c r="D34" s="295"/>
      <c r="E34" s="295" t="s">
        <v>1841</v>
      </c>
      <c r="F34" s="298"/>
      <c r="G34" s="298"/>
      <c r="H34" s="295"/>
      <c r="I34" s="295"/>
      <c r="J34" s="295"/>
      <c r="K34" s="295" t="s">
        <v>1803</v>
      </c>
      <c r="L34" s="296">
        <v>46284</v>
      </c>
      <c r="M34" s="299">
        <v>0.84583333333333333</v>
      </c>
      <c r="N34" s="306">
        <v>4400</v>
      </c>
      <c r="O34" s="296"/>
      <c r="P34" s="294" t="s">
        <v>1919</v>
      </c>
      <c r="Q34" s="303" t="s">
        <v>1805</v>
      </c>
      <c r="R34" s="303" t="s">
        <v>1806</v>
      </c>
      <c r="S34" s="303" t="s">
        <v>1807</v>
      </c>
      <c r="T34" s="296"/>
      <c r="U34" s="295" t="s">
        <v>324</v>
      </c>
      <c r="V34" s="295" t="s">
        <v>1909</v>
      </c>
      <c r="W34" s="295"/>
      <c r="X34" s="294" t="s">
        <v>1910</v>
      </c>
      <c r="Y34" s="295" t="s">
        <v>1810</v>
      </c>
      <c r="Z34" s="295" t="s">
        <v>1811</v>
      </c>
      <c r="AA34" s="295" t="str">
        <f>IFERROR( VLOOKUP(Z34,[1]MOTORISTAS!$A$2:$I$1031,5,0),"")</f>
        <v>95278761687</v>
      </c>
      <c r="AB34" s="295" t="str">
        <f>IFERROR( VLOOKUP(Z34,[1]MOTORISTAS!$A$2:$I$1031,6,0),"")</f>
        <v>00585420107</v>
      </c>
      <c r="AC34" s="295" t="str">
        <f>IFERROR( VLOOKUP(Z34,[1]MOTORISTAS!$A$2:$I$1031,9,0),"")</f>
        <v>M6151422</v>
      </c>
      <c r="AD34" s="295"/>
      <c r="AE34" s="294" t="s">
        <v>331</v>
      </c>
      <c r="AF34" s="294" t="s">
        <v>1812</v>
      </c>
      <c r="AG34" s="295" t="s">
        <v>1920</v>
      </c>
      <c r="AH34" s="301" t="s">
        <v>1814</v>
      </c>
      <c r="AI34" s="294"/>
      <c r="AJ34" s="295"/>
      <c r="AK34" s="295"/>
      <c r="AL34" s="295"/>
      <c r="AM34" s="295"/>
      <c r="AN34" s="303" t="s">
        <v>1815</v>
      </c>
      <c r="AO34" s="295" t="s">
        <v>1816</v>
      </c>
      <c r="AP34" s="303" t="s">
        <v>1817</v>
      </c>
      <c r="AQ34" s="298"/>
      <c r="AR34" s="295" t="s">
        <v>1912</v>
      </c>
    </row>
    <row r="35" spans="1:44" ht="15.75">
      <c r="A35" s="295" t="s">
        <v>1800</v>
      </c>
      <c r="B35" s="300" t="s">
        <v>1887</v>
      </c>
      <c r="C35" s="297">
        <v>46290</v>
      </c>
      <c r="D35" s="295"/>
      <c r="E35" s="295" t="s">
        <v>1841</v>
      </c>
      <c r="F35" s="298"/>
      <c r="G35" s="298"/>
      <c r="H35" s="295"/>
      <c r="I35" s="295"/>
      <c r="J35" s="295"/>
      <c r="K35" s="295" t="s">
        <v>1803</v>
      </c>
      <c r="L35" s="296">
        <v>46284</v>
      </c>
      <c r="M35" s="299">
        <v>0.84583333333333333</v>
      </c>
      <c r="N35" s="306">
        <v>4400</v>
      </c>
      <c r="O35" s="296"/>
      <c r="P35" s="294" t="s">
        <v>1921</v>
      </c>
      <c r="Q35" s="303" t="s">
        <v>1805</v>
      </c>
      <c r="R35" s="303" t="s">
        <v>1806</v>
      </c>
      <c r="S35" s="303" t="s">
        <v>1807</v>
      </c>
      <c r="T35" s="296"/>
      <c r="U35" s="295" t="s">
        <v>324</v>
      </c>
      <c r="V35" s="295" t="s">
        <v>1909</v>
      </c>
      <c r="W35" s="295"/>
      <c r="X35" s="294" t="s">
        <v>1910</v>
      </c>
      <c r="Y35" s="295" t="s">
        <v>1810</v>
      </c>
      <c r="Z35" s="295" t="s">
        <v>1811</v>
      </c>
      <c r="AA35" s="295" t="str">
        <f>IFERROR( VLOOKUP(Z35,[1]MOTORISTAS!$A$2:$I$1031,5,0),"")</f>
        <v>95278761687</v>
      </c>
      <c r="AB35" s="295" t="str">
        <f>IFERROR( VLOOKUP(Z35,[1]MOTORISTAS!$A$2:$I$1031,6,0),"")</f>
        <v>00585420107</v>
      </c>
      <c r="AC35" s="295" t="str">
        <f>IFERROR( VLOOKUP(Z35,[1]MOTORISTAS!$A$2:$I$1031,9,0),"")</f>
        <v>M6151422</v>
      </c>
      <c r="AD35" s="295"/>
      <c r="AE35" s="294" t="s">
        <v>331</v>
      </c>
      <c r="AF35" s="294" t="s">
        <v>1820</v>
      </c>
      <c r="AG35" s="295" t="s">
        <v>1922</v>
      </c>
      <c r="AH35" s="301" t="s">
        <v>1814</v>
      </c>
      <c r="AI35" s="294"/>
      <c r="AJ35" s="295"/>
      <c r="AK35" s="295"/>
      <c r="AL35" s="295"/>
      <c r="AM35" s="295"/>
      <c r="AN35" s="303" t="s">
        <v>1815</v>
      </c>
      <c r="AO35" s="295" t="s">
        <v>1816</v>
      </c>
      <c r="AP35" s="303" t="s">
        <v>1817</v>
      </c>
      <c r="AQ35" s="298"/>
      <c r="AR35" s="295" t="s">
        <v>1912</v>
      </c>
    </row>
    <row r="36" spans="1:44" ht="15.75">
      <c r="A36" s="295" t="s">
        <v>1800</v>
      </c>
      <c r="B36" s="300" t="s">
        <v>1887</v>
      </c>
      <c r="C36" s="297">
        <v>46287</v>
      </c>
      <c r="D36" s="295"/>
      <c r="E36" s="295" t="s">
        <v>1888</v>
      </c>
      <c r="F36" s="298"/>
      <c r="G36" s="298"/>
      <c r="H36" s="295"/>
      <c r="I36" s="295"/>
      <c r="J36" s="295"/>
      <c r="K36" s="295" t="s">
        <v>1803</v>
      </c>
      <c r="L36" s="296">
        <v>46284</v>
      </c>
      <c r="M36" s="299">
        <v>0.85416666666666663</v>
      </c>
      <c r="N36" s="306">
        <v>4400</v>
      </c>
      <c r="O36" s="296"/>
      <c r="P36" s="294" t="s">
        <v>1923</v>
      </c>
      <c r="Q36" s="303" t="s">
        <v>1805</v>
      </c>
      <c r="R36" s="303" t="s">
        <v>1806</v>
      </c>
      <c r="S36" s="303" t="s">
        <v>1807</v>
      </c>
      <c r="T36" s="296"/>
      <c r="U36" s="295" t="s">
        <v>324</v>
      </c>
      <c r="V36" s="295" t="s">
        <v>1924</v>
      </c>
      <c r="W36" s="295"/>
      <c r="X36" s="294" t="s">
        <v>1925</v>
      </c>
      <c r="Y36" s="295" t="s">
        <v>1810</v>
      </c>
      <c r="Z36" s="295" t="s">
        <v>1879</v>
      </c>
      <c r="AA36" s="295" t="str">
        <f>IFERROR( VLOOKUP(Z36,[1]MOTORISTAS!$A$2:$M$1141,5,0),"")</f>
        <v>01600561608</v>
      </c>
      <c r="AB36" s="295" t="str">
        <f>IFERROR( VLOOKUP(Z36,[1]MOTORISTAS!$A$2:$M$1141,6,0),"")</f>
        <v>04417723538</v>
      </c>
      <c r="AC36" s="295" t="str">
        <f>IFERROR( VLOOKUP(Z36,[1]MOTORISTAS!$A$2:$M$1141,9,0),"")</f>
        <v>MG14603764</v>
      </c>
      <c r="AD36" s="295" t="str">
        <f>IFERROR( VLOOKUP(Z36,[1]MOTORISTAS!$A$2:$M$1141,3,0),"")</f>
        <v>(31) 99065-8343</v>
      </c>
      <c r="AE36" s="295" t="s">
        <v>1733</v>
      </c>
      <c r="AF36" s="295" t="s">
        <v>1880</v>
      </c>
      <c r="AG36" s="295" t="s">
        <v>1926</v>
      </c>
      <c r="AH36" s="301" t="s">
        <v>1814</v>
      </c>
      <c r="AI36" s="294"/>
      <c r="AJ36" s="295"/>
      <c r="AK36" s="295"/>
      <c r="AL36" s="295"/>
      <c r="AM36" s="295"/>
      <c r="AN36" s="303" t="s">
        <v>1815</v>
      </c>
      <c r="AO36" s="295" t="s">
        <v>1816</v>
      </c>
      <c r="AP36" s="303" t="s">
        <v>1817</v>
      </c>
      <c r="AQ36" s="298"/>
      <c r="AR36" s="295" t="s">
        <v>1927</v>
      </c>
    </row>
    <row r="37" spans="1:44" ht="15.75">
      <c r="A37" s="295" t="s">
        <v>1800</v>
      </c>
      <c r="B37" s="300" t="s">
        <v>1887</v>
      </c>
      <c r="C37" s="297">
        <v>46287</v>
      </c>
      <c r="D37" s="295"/>
      <c r="E37" s="295" t="s">
        <v>1888</v>
      </c>
      <c r="F37" s="298"/>
      <c r="G37" s="298"/>
      <c r="H37" s="295"/>
      <c r="I37" s="295"/>
      <c r="J37" s="295"/>
      <c r="K37" s="295" t="s">
        <v>1803</v>
      </c>
      <c r="L37" s="296">
        <v>46284</v>
      </c>
      <c r="M37" s="299">
        <v>0.85416666666666663</v>
      </c>
      <c r="N37" s="306">
        <v>4400</v>
      </c>
      <c r="O37" s="296"/>
      <c r="P37" s="294" t="s">
        <v>1928</v>
      </c>
      <c r="Q37" s="303" t="s">
        <v>1805</v>
      </c>
      <c r="R37" s="303" t="s">
        <v>1806</v>
      </c>
      <c r="S37" s="303" t="s">
        <v>1807</v>
      </c>
      <c r="T37" s="296"/>
      <c r="U37" s="295" t="s">
        <v>324</v>
      </c>
      <c r="V37" s="295" t="s">
        <v>1924</v>
      </c>
      <c r="W37" s="295"/>
      <c r="X37" s="294" t="s">
        <v>1925</v>
      </c>
      <c r="Y37" s="295" t="s">
        <v>1810</v>
      </c>
      <c r="Z37" s="295" t="s">
        <v>1879</v>
      </c>
      <c r="AA37" s="295" t="str">
        <f>IFERROR( VLOOKUP(Z37,[1]MOTORISTAS!$A$2:$M$1141,5,0),"")</f>
        <v>01600561608</v>
      </c>
      <c r="AB37" s="295" t="str">
        <f>IFERROR( VLOOKUP(Z37,[1]MOTORISTAS!$A$2:$M$1141,6,0),"")</f>
        <v>04417723538</v>
      </c>
      <c r="AC37" s="295" t="str">
        <f>IFERROR( VLOOKUP(Z37,[1]MOTORISTAS!$A$2:$M$1141,9,0),"")</f>
        <v>MG14603764</v>
      </c>
      <c r="AD37" s="295" t="str">
        <f>IFERROR( VLOOKUP(Z37,[1]MOTORISTAS!$A$2:$M$1141,3,0),"")</f>
        <v>(31) 99065-8343</v>
      </c>
      <c r="AE37" s="295" t="s">
        <v>1733</v>
      </c>
      <c r="AF37" s="295" t="s">
        <v>1885</v>
      </c>
      <c r="AG37" s="295" t="s">
        <v>1929</v>
      </c>
      <c r="AH37" s="301" t="s">
        <v>1814</v>
      </c>
      <c r="AI37" s="294"/>
      <c r="AJ37" s="295"/>
      <c r="AK37" s="295"/>
      <c r="AL37" s="295"/>
      <c r="AM37" s="295"/>
      <c r="AN37" s="303" t="s">
        <v>1815</v>
      </c>
      <c r="AO37" s="295" t="s">
        <v>1816</v>
      </c>
      <c r="AP37" s="303" t="s">
        <v>1817</v>
      </c>
      <c r="AQ37" s="298"/>
      <c r="AR37" s="295" t="s">
        <v>1927</v>
      </c>
    </row>
    <row r="38" spans="1:44" ht="15.75">
      <c r="A38" s="295" t="s">
        <v>1883</v>
      </c>
      <c r="B38" s="295"/>
      <c r="C38" s="297"/>
      <c r="D38" s="295"/>
      <c r="E38" s="295" t="s">
        <v>1841</v>
      </c>
      <c r="F38" s="298"/>
      <c r="G38" s="298"/>
      <c r="H38" s="295"/>
      <c r="I38" s="295"/>
      <c r="J38" s="295"/>
      <c r="K38" s="295" t="s">
        <v>1803</v>
      </c>
      <c r="L38" s="296">
        <v>46286</v>
      </c>
      <c r="M38" s="299">
        <v>0.71388888888888891</v>
      </c>
      <c r="N38" s="306">
        <v>4400</v>
      </c>
      <c r="O38" s="296"/>
      <c r="P38" s="294" t="s">
        <v>1930</v>
      </c>
      <c r="Q38" s="303" t="s">
        <v>1805</v>
      </c>
      <c r="R38" s="303" t="s">
        <v>1806</v>
      </c>
      <c r="S38" s="303" t="s">
        <v>1807</v>
      </c>
      <c r="T38" s="296"/>
      <c r="U38" s="304"/>
      <c r="V38" s="295" t="s">
        <v>1877</v>
      </c>
      <c r="W38" s="295"/>
      <c r="X38" s="294" t="s">
        <v>1878</v>
      </c>
      <c r="Y38" s="295" t="s">
        <v>1810</v>
      </c>
      <c r="Z38" s="295" t="s">
        <v>1931</v>
      </c>
      <c r="AA38" s="295" t="str">
        <f>IFERROR( VLOOKUP(Z38,[1]MOTORISTAS!$A$2:$M$1141,5,0),"")</f>
        <v>05962409612</v>
      </c>
      <c r="AB38" s="295" t="str">
        <f>IFERROR( VLOOKUP(Z38,[1]MOTORISTAS!$A$2:$M$1141,6,0),"")</f>
        <v>02555786160</v>
      </c>
      <c r="AC38" s="295" t="str">
        <f>IFERROR( VLOOKUP(Z38,[1]MOTORISTAS!$A$2:$M$1141,9,0),"")</f>
        <v>MG10124259</v>
      </c>
      <c r="AD38" s="295" t="str">
        <f>IFERROR( VLOOKUP(Z38,[1]MOTORISTAS!$A$2:$M$1141,3,0),"")</f>
        <v>(31) 99919-1460</v>
      </c>
      <c r="AE38" s="294" t="s">
        <v>1932</v>
      </c>
      <c r="AF38" s="295" t="s">
        <v>1933</v>
      </c>
      <c r="AG38" s="295" t="s">
        <v>1934</v>
      </c>
      <c r="AH38" s="301" t="s">
        <v>1814</v>
      </c>
      <c r="AI38" s="294"/>
      <c r="AJ38" s="295"/>
      <c r="AK38" s="295"/>
      <c r="AL38" s="295"/>
      <c r="AM38" s="295"/>
      <c r="AN38" s="303" t="s">
        <v>1815</v>
      </c>
      <c r="AO38" s="295" t="s">
        <v>1816</v>
      </c>
      <c r="AP38" s="303" t="s">
        <v>1817</v>
      </c>
      <c r="AQ38" s="298"/>
      <c r="AR38" s="295" t="s">
        <v>1882</v>
      </c>
    </row>
    <row r="39" spans="1:44" ht="15.75">
      <c r="A39" s="295" t="s">
        <v>1883</v>
      </c>
      <c r="B39" s="295"/>
      <c r="C39" s="297"/>
      <c r="D39" s="295"/>
      <c r="E39" s="295" t="s">
        <v>1841</v>
      </c>
      <c r="F39" s="298"/>
      <c r="G39" s="298"/>
      <c r="H39" s="295"/>
      <c r="I39" s="295"/>
      <c r="J39" s="295"/>
      <c r="K39" s="295" t="s">
        <v>1803</v>
      </c>
      <c r="L39" s="296">
        <v>46286</v>
      </c>
      <c r="M39" s="299">
        <v>0.71388888888888891</v>
      </c>
      <c r="N39" s="306">
        <v>4400</v>
      </c>
      <c r="O39" s="296"/>
      <c r="P39" s="294" t="s">
        <v>1935</v>
      </c>
      <c r="Q39" s="303" t="s">
        <v>1805</v>
      </c>
      <c r="R39" s="303" t="s">
        <v>1806</v>
      </c>
      <c r="S39" s="303" t="s">
        <v>1807</v>
      </c>
      <c r="T39" s="296"/>
      <c r="U39" s="304"/>
      <c r="V39" s="295" t="s">
        <v>1877</v>
      </c>
      <c r="W39" s="295"/>
      <c r="X39" s="294" t="s">
        <v>1878</v>
      </c>
      <c r="Y39" s="295" t="s">
        <v>1810</v>
      </c>
      <c r="Z39" s="295" t="s">
        <v>1931</v>
      </c>
      <c r="AA39" s="295" t="str">
        <f>IFERROR( VLOOKUP(Z39,[1]MOTORISTAS!$A$2:$M$1141,5,0),"")</f>
        <v>05962409612</v>
      </c>
      <c r="AB39" s="295" t="str">
        <f>IFERROR( VLOOKUP(Z39,[1]MOTORISTAS!$A$2:$M$1141,6,0),"")</f>
        <v>02555786160</v>
      </c>
      <c r="AC39" s="295" t="str">
        <f>IFERROR( VLOOKUP(Z39,[1]MOTORISTAS!$A$2:$M$1141,9,0),"")</f>
        <v>MG10124259</v>
      </c>
      <c r="AD39" s="295" t="str">
        <f>IFERROR( VLOOKUP(Z39,[1]MOTORISTAS!$A$2:$M$1141,3,0),"")</f>
        <v>(31) 99919-1460</v>
      </c>
      <c r="AE39" s="294" t="s">
        <v>1932</v>
      </c>
      <c r="AF39" s="295" t="s">
        <v>1936</v>
      </c>
      <c r="AG39" s="295" t="s">
        <v>1937</v>
      </c>
      <c r="AH39" s="301" t="s">
        <v>1814</v>
      </c>
      <c r="AI39" s="294"/>
      <c r="AJ39" s="295"/>
      <c r="AK39" s="295"/>
      <c r="AL39" s="295"/>
      <c r="AM39" s="295"/>
      <c r="AN39" s="303" t="s">
        <v>1815</v>
      </c>
      <c r="AO39" s="295" t="s">
        <v>1816</v>
      </c>
      <c r="AP39" s="303" t="s">
        <v>1817</v>
      </c>
      <c r="AQ39" s="298"/>
      <c r="AR39" s="295" t="s">
        <v>1882</v>
      </c>
    </row>
    <row r="40" spans="1:44" ht="15.75">
      <c r="A40" s="295" t="s">
        <v>1800</v>
      </c>
      <c r="B40" s="300" t="s">
        <v>1887</v>
      </c>
      <c r="C40" s="297">
        <v>46289</v>
      </c>
      <c r="D40" s="295"/>
      <c r="E40" s="295" t="s">
        <v>1888</v>
      </c>
      <c r="F40" s="298"/>
      <c r="G40" s="298"/>
      <c r="H40" s="295"/>
      <c r="I40" s="295"/>
      <c r="J40" s="295"/>
      <c r="K40" s="295" t="s">
        <v>1803</v>
      </c>
      <c r="L40" s="296">
        <v>46287</v>
      </c>
      <c r="M40" s="299">
        <v>0.85833333333333328</v>
      </c>
      <c r="N40" s="306">
        <v>4400</v>
      </c>
      <c r="O40" s="296"/>
      <c r="P40" s="294" t="s">
        <v>1938</v>
      </c>
      <c r="Q40" s="303" t="s">
        <v>1805</v>
      </c>
      <c r="R40" s="303" t="s">
        <v>1806</v>
      </c>
      <c r="S40" s="303" t="s">
        <v>1807</v>
      </c>
      <c r="T40" s="296"/>
      <c r="U40" s="304"/>
      <c r="V40" s="295" t="s">
        <v>1939</v>
      </c>
      <c r="W40" s="295"/>
      <c r="X40" s="294" t="s">
        <v>1940</v>
      </c>
      <c r="Y40" s="295" t="s">
        <v>1810</v>
      </c>
      <c r="Z40" s="295" t="s">
        <v>1845</v>
      </c>
      <c r="AA40" s="295" t="str">
        <f>IFERROR( VLOOKUP(Z40,[1]MOTORISTAS!$A$2:$I$1031,5,0),"")</f>
        <v>03739816600</v>
      </c>
      <c r="AB40" s="295" t="str">
        <f>IFERROR( VLOOKUP(Z40,[1]MOTORISTAS!$A$2:$I$1031,6,0),"")</f>
        <v>01844879030</v>
      </c>
      <c r="AC40" s="295" t="str">
        <f>IFERROR( VLOOKUP(Z40,[1]MOTORISTAS!$A$2:$I$1031,9,0),"")</f>
        <v>M7693913</v>
      </c>
      <c r="AD40" s="302"/>
      <c r="AE40" s="295" t="s">
        <v>1846</v>
      </c>
      <c r="AF40" s="294" t="s">
        <v>1847</v>
      </c>
      <c r="AG40" s="295" t="s">
        <v>1941</v>
      </c>
      <c r="AH40" s="301" t="s">
        <v>1814</v>
      </c>
      <c r="AI40" s="294"/>
      <c r="AJ40" s="295"/>
      <c r="AK40" s="295"/>
      <c r="AL40" s="295"/>
      <c r="AM40" s="295"/>
      <c r="AN40" s="303" t="s">
        <v>1815</v>
      </c>
      <c r="AO40" s="295" t="s">
        <v>1816</v>
      </c>
      <c r="AP40" s="303" t="s">
        <v>1817</v>
      </c>
      <c r="AQ40" s="298"/>
      <c r="AR40" s="295" t="s">
        <v>1942</v>
      </c>
    </row>
    <row r="41" spans="1:44" ht="15.75">
      <c r="A41" s="295" t="s">
        <v>1800</v>
      </c>
      <c r="B41" s="300" t="s">
        <v>1887</v>
      </c>
      <c r="C41" s="297">
        <v>46289</v>
      </c>
      <c r="D41" s="295"/>
      <c r="E41" s="295" t="s">
        <v>1888</v>
      </c>
      <c r="F41" s="298"/>
      <c r="G41" s="298"/>
      <c r="H41" s="295"/>
      <c r="I41" s="295"/>
      <c r="J41" s="295"/>
      <c r="K41" s="295" t="s">
        <v>1803</v>
      </c>
      <c r="L41" s="296">
        <v>46287</v>
      </c>
      <c r="M41" s="299">
        <v>0.85833333333333328</v>
      </c>
      <c r="N41" s="306">
        <v>4400</v>
      </c>
      <c r="O41" s="296"/>
      <c r="P41" s="294" t="s">
        <v>1943</v>
      </c>
      <c r="Q41" s="303" t="s">
        <v>1805</v>
      </c>
      <c r="R41" s="303" t="s">
        <v>1806</v>
      </c>
      <c r="S41" s="303" t="s">
        <v>1807</v>
      </c>
      <c r="T41" s="296"/>
      <c r="U41" s="304"/>
      <c r="V41" s="295" t="s">
        <v>1939</v>
      </c>
      <c r="W41" s="295"/>
      <c r="X41" s="294" t="s">
        <v>1940</v>
      </c>
      <c r="Y41" s="295" t="s">
        <v>1810</v>
      </c>
      <c r="Z41" s="295" t="s">
        <v>1845</v>
      </c>
      <c r="AA41" s="295" t="str">
        <f>IFERROR( VLOOKUP(Z41,[1]MOTORISTAS!$A$2:$I$1031,5,0),"")</f>
        <v>03739816600</v>
      </c>
      <c r="AB41" s="295" t="str">
        <f>IFERROR( VLOOKUP(Z41,[1]MOTORISTAS!$A$2:$I$1031,6,0),"")</f>
        <v>01844879030</v>
      </c>
      <c r="AC41" s="295" t="str">
        <f>IFERROR( VLOOKUP(Z41,[1]MOTORISTAS!$A$2:$I$1031,9,0),"")</f>
        <v>M7693913</v>
      </c>
      <c r="AD41" s="295"/>
      <c r="AE41" s="295" t="s">
        <v>1846</v>
      </c>
      <c r="AF41" s="294" t="s">
        <v>1851</v>
      </c>
      <c r="AG41" s="295" t="s">
        <v>1944</v>
      </c>
      <c r="AH41" s="301" t="s">
        <v>1814</v>
      </c>
      <c r="AI41" s="294"/>
      <c r="AJ41" s="295"/>
      <c r="AK41" s="295"/>
      <c r="AL41" s="295"/>
      <c r="AM41" s="295"/>
      <c r="AN41" s="303" t="s">
        <v>1815</v>
      </c>
      <c r="AO41" s="295" t="s">
        <v>1816</v>
      </c>
      <c r="AP41" s="303" t="s">
        <v>1817</v>
      </c>
      <c r="AQ41" s="298"/>
      <c r="AR41" s="295" t="s">
        <v>1942</v>
      </c>
    </row>
    <row r="42" spans="1:44" ht="15.75">
      <c r="A42" s="295" t="s">
        <v>1883</v>
      </c>
      <c r="B42" s="295"/>
      <c r="C42" s="297"/>
      <c r="D42" s="295"/>
      <c r="E42" s="295" t="s">
        <v>1888</v>
      </c>
      <c r="F42" s="298"/>
      <c r="G42" s="298"/>
      <c r="H42" s="295"/>
      <c r="I42" s="295"/>
      <c r="J42" s="295"/>
      <c r="K42" s="295" t="s">
        <v>1803</v>
      </c>
      <c r="L42" s="296">
        <v>46287</v>
      </c>
      <c r="M42" s="299">
        <v>0.70208333333333328</v>
      </c>
      <c r="N42" s="306">
        <v>4400</v>
      </c>
      <c r="O42" s="296"/>
      <c r="P42" s="294" t="s">
        <v>1945</v>
      </c>
      <c r="Q42" s="303" t="s">
        <v>1805</v>
      </c>
      <c r="R42" s="303" t="s">
        <v>1806</v>
      </c>
      <c r="S42" s="303" t="s">
        <v>1807</v>
      </c>
      <c r="T42" s="296"/>
      <c r="U42" s="304"/>
      <c r="V42" s="295" t="s">
        <v>1939</v>
      </c>
      <c r="W42" s="295"/>
      <c r="X42" s="294" t="s">
        <v>1940</v>
      </c>
      <c r="Y42" s="295" t="s">
        <v>1810</v>
      </c>
      <c r="Z42" s="295" t="s">
        <v>1854</v>
      </c>
      <c r="AA42" s="295" t="str">
        <f>IFERROR( VLOOKUP(Z42,[1]MOTORISTAS!$A$2:$I$1031,5,0),"")</f>
        <v>53588967672</v>
      </c>
      <c r="AB42" s="295" t="str">
        <f>IFERROR( VLOOKUP(Z42,[1]MOTORISTAS!$A$2:$I$1031,6,0),"")</f>
        <v>02918096216</v>
      </c>
      <c r="AC42" s="295" t="str">
        <f>IFERROR( VLOOKUP(Z42,[1]MOTORISTAS!$A$2:$I$1031,9,0),"")</f>
        <v>M4385128</v>
      </c>
      <c r="AD42" s="295"/>
      <c r="AE42" s="294" t="s">
        <v>1855</v>
      </c>
      <c r="AF42" s="294" t="s">
        <v>1856</v>
      </c>
      <c r="AG42" s="295" t="s">
        <v>1946</v>
      </c>
      <c r="AH42" s="301" t="s">
        <v>1814</v>
      </c>
      <c r="AI42" s="294"/>
      <c r="AJ42" s="295"/>
      <c r="AK42" s="295"/>
      <c r="AL42" s="295"/>
      <c r="AM42" s="295"/>
      <c r="AN42" s="303" t="s">
        <v>1815</v>
      </c>
      <c r="AO42" s="295" t="s">
        <v>1816</v>
      </c>
      <c r="AP42" s="303" t="s">
        <v>1817</v>
      </c>
      <c r="AQ42" s="298"/>
      <c r="AR42" s="295" t="s">
        <v>1942</v>
      </c>
    </row>
    <row r="43" spans="1:44" ht="15.75">
      <c r="A43" s="295" t="s">
        <v>1883</v>
      </c>
      <c r="B43" s="295"/>
      <c r="C43" s="297"/>
      <c r="D43" s="295"/>
      <c r="E43" s="295" t="s">
        <v>1947</v>
      </c>
      <c r="F43" s="298"/>
      <c r="G43" s="298"/>
      <c r="H43" s="295"/>
      <c r="I43" s="295"/>
      <c r="J43" s="295"/>
      <c r="K43" s="295" t="s">
        <v>1803</v>
      </c>
      <c r="L43" s="296">
        <v>46287</v>
      </c>
      <c r="M43" s="299">
        <v>0.70208333333333328</v>
      </c>
      <c r="N43" s="306">
        <v>4400</v>
      </c>
      <c r="O43" s="296"/>
      <c r="P43" s="294" t="s">
        <v>1948</v>
      </c>
      <c r="Q43" s="303" t="s">
        <v>1805</v>
      </c>
      <c r="R43" s="303" t="s">
        <v>1806</v>
      </c>
      <c r="S43" s="303" t="s">
        <v>1807</v>
      </c>
      <c r="T43" s="296"/>
      <c r="U43" s="304"/>
      <c r="V43" s="295" t="s">
        <v>1949</v>
      </c>
      <c r="W43" s="295"/>
      <c r="X43" s="294" t="s">
        <v>1950</v>
      </c>
      <c r="Y43" s="295" t="s">
        <v>1810</v>
      </c>
      <c r="Z43" s="295" t="s">
        <v>1854</v>
      </c>
      <c r="AA43" s="295" t="str">
        <f>IFERROR( VLOOKUP(Z43,[1]MOTORISTAS!$A$2:$I$1031,5,0),"")</f>
        <v>53588967672</v>
      </c>
      <c r="AB43" s="295" t="str">
        <f>IFERROR( VLOOKUP(Z43,[1]MOTORISTAS!$A$2:$I$1031,6,0),"")</f>
        <v>02918096216</v>
      </c>
      <c r="AC43" s="295" t="str">
        <f>IFERROR( VLOOKUP(Z43,[1]MOTORISTAS!$A$2:$I$1031,9,0),"")</f>
        <v>M4385128</v>
      </c>
      <c r="AD43" s="295"/>
      <c r="AE43" s="294" t="s">
        <v>1855</v>
      </c>
      <c r="AF43" s="294" t="s">
        <v>1859</v>
      </c>
      <c r="AG43" s="295" t="s">
        <v>1951</v>
      </c>
      <c r="AH43" s="301" t="s">
        <v>1814</v>
      </c>
      <c r="AI43" s="294"/>
      <c r="AJ43" s="295"/>
      <c r="AK43" s="295"/>
      <c r="AL43" s="295"/>
      <c r="AM43" s="295"/>
      <c r="AN43" s="303" t="s">
        <v>1815</v>
      </c>
      <c r="AO43" s="295" t="s">
        <v>1816</v>
      </c>
      <c r="AP43" s="303" t="s">
        <v>1817</v>
      </c>
      <c r="AQ43" s="298"/>
      <c r="AR43" s="295" t="s">
        <v>1952</v>
      </c>
    </row>
    <row r="44" spans="1:44" ht="15.75">
      <c r="A44" s="295" t="s">
        <v>1800</v>
      </c>
      <c r="B44" s="300" t="s">
        <v>1887</v>
      </c>
      <c r="C44" s="297">
        <v>46289</v>
      </c>
      <c r="D44" s="295"/>
      <c r="E44" s="295" t="s">
        <v>1947</v>
      </c>
      <c r="F44" s="298"/>
      <c r="G44" s="298"/>
      <c r="H44" s="295"/>
      <c r="I44" s="295"/>
      <c r="J44" s="295"/>
      <c r="K44" s="295" t="s">
        <v>1803</v>
      </c>
      <c r="L44" s="296">
        <v>46287</v>
      </c>
      <c r="M44" s="299">
        <v>0.72569444444444442</v>
      </c>
      <c r="N44" s="306">
        <v>4400</v>
      </c>
      <c r="O44" s="296"/>
      <c r="P44" s="294" t="s">
        <v>1953</v>
      </c>
      <c r="Q44" s="303" t="s">
        <v>1805</v>
      </c>
      <c r="R44" s="303" t="s">
        <v>1806</v>
      </c>
      <c r="S44" s="303" t="s">
        <v>1807</v>
      </c>
      <c r="T44" s="296"/>
      <c r="U44" s="295" t="s">
        <v>324</v>
      </c>
      <c r="V44" s="295" t="s">
        <v>1954</v>
      </c>
      <c r="W44" s="295"/>
      <c r="X44" s="294" t="s">
        <v>1955</v>
      </c>
      <c r="Y44" s="295" t="s">
        <v>1810</v>
      </c>
      <c r="Z44" s="295" t="s">
        <v>1879</v>
      </c>
      <c r="AA44" s="295" t="str">
        <f>IFERROR( VLOOKUP(Z44,[1]MOTORISTAS!$A$2:$M$1141,5,0),"")</f>
        <v>01600561608</v>
      </c>
      <c r="AB44" s="295" t="str">
        <f>IFERROR( VLOOKUP(Z44,[1]MOTORISTAS!$A$2:$M$1141,6,0),"")</f>
        <v>04417723538</v>
      </c>
      <c r="AC44" s="295" t="str">
        <f>IFERROR( VLOOKUP(Z44,[1]MOTORISTAS!$A$2:$M$1141,9,0),"")</f>
        <v>MG14603764</v>
      </c>
      <c r="AD44" s="295" t="str">
        <f>IFERROR( VLOOKUP(Z44,[1]MOTORISTAS!$A$2:$M$1141,3,0),"")</f>
        <v>(31) 99065-8343</v>
      </c>
      <c r="AE44" s="295" t="s">
        <v>1733</v>
      </c>
      <c r="AF44" s="295" t="s">
        <v>1880</v>
      </c>
      <c r="AG44" s="295" t="s">
        <v>1956</v>
      </c>
      <c r="AH44" s="301" t="s">
        <v>1814</v>
      </c>
      <c r="AI44" s="294"/>
      <c r="AJ44" s="295"/>
      <c r="AK44" s="295"/>
      <c r="AL44" s="295"/>
      <c r="AM44" s="295"/>
      <c r="AN44" s="303" t="s">
        <v>1815</v>
      </c>
      <c r="AO44" s="295" t="s">
        <v>1816</v>
      </c>
      <c r="AP44" s="303" t="s">
        <v>1817</v>
      </c>
      <c r="AQ44" s="298"/>
      <c r="AR44" s="295" t="s">
        <v>1957</v>
      </c>
    </row>
    <row r="45" spans="1:44" ht="15.75">
      <c r="A45" s="295" t="s">
        <v>1800</v>
      </c>
      <c r="B45" s="300" t="s">
        <v>1887</v>
      </c>
      <c r="C45" s="297">
        <v>46289</v>
      </c>
      <c r="D45" s="295"/>
      <c r="E45" s="295" t="s">
        <v>1947</v>
      </c>
      <c r="F45" s="298"/>
      <c r="G45" s="298"/>
      <c r="H45" s="295"/>
      <c r="I45" s="295"/>
      <c r="J45" s="295"/>
      <c r="K45" s="295" t="s">
        <v>1803</v>
      </c>
      <c r="L45" s="296">
        <v>46287</v>
      </c>
      <c r="M45" s="299">
        <v>0.72569444444444442</v>
      </c>
      <c r="N45" s="306">
        <v>4400</v>
      </c>
      <c r="O45" s="296"/>
      <c r="P45" s="294" t="s">
        <v>1958</v>
      </c>
      <c r="Q45" s="303" t="s">
        <v>1805</v>
      </c>
      <c r="R45" s="303" t="s">
        <v>1806</v>
      </c>
      <c r="S45" s="303" t="s">
        <v>1807</v>
      </c>
      <c r="T45" s="296"/>
      <c r="U45" s="295" t="s">
        <v>324</v>
      </c>
      <c r="V45" s="295" t="s">
        <v>1954</v>
      </c>
      <c r="W45" s="295"/>
      <c r="X45" s="294" t="s">
        <v>1955</v>
      </c>
      <c r="Y45" s="295" t="s">
        <v>1810</v>
      </c>
      <c r="Z45" s="295" t="s">
        <v>1879</v>
      </c>
      <c r="AA45" s="295" t="str">
        <f>IFERROR( VLOOKUP(Z45,[1]MOTORISTAS!$A$2:$M$1141,5,0),"")</f>
        <v>01600561608</v>
      </c>
      <c r="AB45" s="295" t="str">
        <f>IFERROR( VLOOKUP(Z45,[1]MOTORISTAS!$A$2:$M$1141,6,0),"")</f>
        <v>04417723538</v>
      </c>
      <c r="AC45" s="295" t="str">
        <f>IFERROR( VLOOKUP(Z45,[1]MOTORISTAS!$A$2:$M$1141,9,0),"")</f>
        <v>MG14603764</v>
      </c>
      <c r="AD45" s="295" t="str">
        <f>IFERROR( VLOOKUP(Z45,[1]MOTORISTAS!$A$2:$M$1141,3,0),"")</f>
        <v>(31) 99065-8343</v>
      </c>
      <c r="AE45" s="295" t="s">
        <v>1733</v>
      </c>
      <c r="AF45" s="295" t="s">
        <v>1885</v>
      </c>
      <c r="AG45" s="295" t="s">
        <v>1959</v>
      </c>
      <c r="AH45" s="301" t="s">
        <v>1814</v>
      </c>
      <c r="AI45" s="294"/>
      <c r="AJ45" s="295"/>
      <c r="AK45" s="295"/>
      <c r="AL45" s="295"/>
      <c r="AM45" s="295"/>
      <c r="AN45" s="303" t="s">
        <v>1815</v>
      </c>
      <c r="AO45" s="295" t="s">
        <v>1816</v>
      </c>
      <c r="AP45" s="303" t="s">
        <v>1817</v>
      </c>
      <c r="AQ45" s="298"/>
      <c r="AR45" s="295" t="s">
        <v>1957</v>
      </c>
    </row>
    <row r="46" spans="1:44" ht="15.75">
      <c r="A46" s="295" t="s">
        <v>1800</v>
      </c>
      <c r="B46" s="300" t="s">
        <v>1887</v>
      </c>
      <c r="C46" s="297">
        <v>46291</v>
      </c>
      <c r="D46" s="295"/>
      <c r="E46" s="295" t="s">
        <v>1888</v>
      </c>
      <c r="F46" s="298"/>
      <c r="G46" s="298"/>
      <c r="H46" s="295"/>
      <c r="I46" s="295"/>
      <c r="J46" s="295"/>
      <c r="K46" s="295" t="s">
        <v>1803</v>
      </c>
      <c r="L46" s="296">
        <v>46288</v>
      </c>
      <c r="M46" s="299">
        <v>0.85416666666666663</v>
      </c>
      <c r="N46" s="306">
        <v>4400</v>
      </c>
      <c r="O46" s="296"/>
      <c r="P46" s="294" t="s">
        <v>1960</v>
      </c>
      <c r="Q46" s="303" t="s">
        <v>1805</v>
      </c>
      <c r="R46" s="303" t="s">
        <v>1806</v>
      </c>
      <c r="S46" s="303" t="s">
        <v>1807</v>
      </c>
      <c r="T46" s="296"/>
      <c r="U46" s="295" t="s">
        <v>324</v>
      </c>
      <c r="V46" s="295" t="s">
        <v>1961</v>
      </c>
      <c r="W46" s="295"/>
      <c r="X46" s="294" t="s">
        <v>1962</v>
      </c>
      <c r="Y46" s="295" t="s">
        <v>1810</v>
      </c>
      <c r="Z46" s="295" t="s">
        <v>1931</v>
      </c>
      <c r="AA46" s="295" t="str">
        <f>IFERROR( VLOOKUP(Z46,[1]MOTORISTAS!$A$2:$M$1141,5,0),"")</f>
        <v>05962409612</v>
      </c>
      <c r="AB46" s="295" t="str">
        <f>IFERROR( VLOOKUP(Z46,[1]MOTORISTAS!$A$2:$M$1141,6,0),"")</f>
        <v>02555786160</v>
      </c>
      <c r="AC46" s="295" t="str">
        <f>IFERROR( VLOOKUP(Z46,[1]MOTORISTAS!$A$2:$M$1141,9,0),"")</f>
        <v>MG10124259</v>
      </c>
      <c r="AD46" s="295" t="str">
        <f>IFERROR( VLOOKUP(Z46,[1]MOTORISTAS!$A$2:$M$1141,3,0),"")</f>
        <v>(31) 99919-1460</v>
      </c>
      <c r="AE46" s="294" t="s">
        <v>1932</v>
      </c>
      <c r="AF46" s="295" t="s">
        <v>1933</v>
      </c>
      <c r="AG46" s="295" t="s">
        <v>1963</v>
      </c>
      <c r="AH46" s="301" t="s">
        <v>1814</v>
      </c>
      <c r="AI46" s="294"/>
      <c r="AJ46" s="295"/>
      <c r="AK46" s="295"/>
      <c r="AL46" s="295"/>
      <c r="AM46" s="295"/>
      <c r="AN46" s="303" t="s">
        <v>1815</v>
      </c>
      <c r="AO46" s="295" t="s">
        <v>1816</v>
      </c>
      <c r="AP46" s="303" t="s">
        <v>1817</v>
      </c>
      <c r="AQ46" s="298"/>
      <c r="AR46" s="295" t="s">
        <v>1964</v>
      </c>
    </row>
    <row r="47" spans="1:44" ht="15.75">
      <c r="A47" s="295" t="s">
        <v>1800</v>
      </c>
      <c r="B47" s="300" t="s">
        <v>1887</v>
      </c>
      <c r="C47" s="297">
        <v>46291</v>
      </c>
      <c r="D47" s="295"/>
      <c r="E47" s="295" t="s">
        <v>1888</v>
      </c>
      <c r="F47" s="298"/>
      <c r="G47" s="298"/>
      <c r="H47" s="295"/>
      <c r="I47" s="295"/>
      <c r="J47" s="295"/>
      <c r="K47" s="295" t="s">
        <v>1803</v>
      </c>
      <c r="L47" s="296">
        <v>46288</v>
      </c>
      <c r="M47" s="299">
        <v>0.85416666666666663</v>
      </c>
      <c r="N47" s="306">
        <v>4400</v>
      </c>
      <c r="O47" s="296"/>
      <c r="P47" s="294" t="s">
        <v>1965</v>
      </c>
      <c r="Q47" s="303" t="s">
        <v>1805</v>
      </c>
      <c r="R47" s="303" t="s">
        <v>1806</v>
      </c>
      <c r="S47" s="303" t="s">
        <v>1807</v>
      </c>
      <c r="T47" s="296"/>
      <c r="U47" s="295" t="s">
        <v>324</v>
      </c>
      <c r="V47" s="295" t="s">
        <v>1961</v>
      </c>
      <c r="W47" s="295"/>
      <c r="X47" s="294" t="s">
        <v>1962</v>
      </c>
      <c r="Y47" s="295" t="s">
        <v>1810</v>
      </c>
      <c r="Z47" s="295" t="s">
        <v>1931</v>
      </c>
      <c r="AA47" s="295" t="str">
        <f>IFERROR( VLOOKUP(Z47,[1]MOTORISTAS!$A$2:$M$1141,5,0),"")</f>
        <v>05962409612</v>
      </c>
      <c r="AB47" s="295" t="str">
        <f>IFERROR( VLOOKUP(Z47,[1]MOTORISTAS!$A$2:$M$1141,6,0),"")</f>
        <v>02555786160</v>
      </c>
      <c r="AC47" s="295" t="str">
        <f>IFERROR( VLOOKUP(Z47,[1]MOTORISTAS!$A$2:$M$1141,9,0),"")</f>
        <v>MG10124259</v>
      </c>
      <c r="AD47" s="295" t="str">
        <f>IFERROR( VLOOKUP(Z47,[1]MOTORISTAS!$A$2:$M$1141,3,0),"")</f>
        <v>(31) 99919-1460</v>
      </c>
      <c r="AE47" s="294" t="s">
        <v>1932</v>
      </c>
      <c r="AF47" s="295" t="s">
        <v>1936</v>
      </c>
      <c r="AG47" s="295" t="s">
        <v>1966</v>
      </c>
      <c r="AH47" s="301" t="s">
        <v>1814</v>
      </c>
      <c r="AI47" s="294"/>
      <c r="AJ47" s="295"/>
      <c r="AK47" s="295"/>
      <c r="AL47" s="295"/>
      <c r="AM47" s="295"/>
      <c r="AN47" s="303" t="s">
        <v>1815</v>
      </c>
      <c r="AO47" s="295" t="s">
        <v>1816</v>
      </c>
      <c r="AP47" s="303" t="s">
        <v>1817</v>
      </c>
      <c r="AQ47" s="298"/>
      <c r="AR47" s="295" t="s">
        <v>1964</v>
      </c>
    </row>
    <row r="48" spans="1:44" ht="15.75">
      <c r="A48" s="295" t="s">
        <v>1800</v>
      </c>
      <c r="B48" s="300" t="s">
        <v>1887</v>
      </c>
      <c r="C48" s="297">
        <v>46293</v>
      </c>
      <c r="D48" s="295"/>
      <c r="E48" s="295" t="s">
        <v>1888</v>
      </c>
      <c r="F48" s="298"/>
      <c r="G48" s="298"/>
      <c r="H48" s="295"/>
      <c r="I48" s="295"/>
      <c r="J48" s="295"/>
      <c r="K48" s="295" t="s">
        <v>1803</v>
      </c>
      <c r="L48" s="296">
        <v>46288</v>
      </c>
      <c r="M48" s="299">
        <v>0.86250000000000004</v>
      </c>
      <c r="N48" s="306">
        <v>4400</v>
      </c>
      <c r="O48" s="296"/>
      <c r="P48" s="294" t="s">
        <v>1967</v>
      </c>
      <c r="Q48" s="303" t="s">
        <v>1805</v>
      </c>
      <c r="R48" s="303" t="s">
        <v>1806</v>
      </c>
      <c r="S48" s="303" t="s">
        <v>1807</v>
      </c>
      <c r="T48" s="296"/>
      <c r="U48" s="295" t="s">
        <v>324</v>
      </c>
      <c r="V48" s="295" t="s">
        <v>1961</v>
      </c>
      <c r="W48" s="295"/>
      <c r="X48" s="294" t="s">
        <v>1962</v>
      </c>
      <c r="Y48" s="295" t="s">
        <v>1810</v>
      </c>
      <c r="Z48" s="295" t="s">
        <v>1854</v>
      </c>
      <c r="AA48" s="295" t="str">
        <f>IFERROR( VLOOKUP(Z48,[1]MOTORISTAS!$A$2:$I$1031,5,0),"")</f>
        <v>53588967672</v>
      </c>
      <c r="AB48" s="295" t="str">
        <f>IFERROR( VLOOKUP(Z48,[1]MOTORISTAS!$A$2:$I$1031,6,0),"")</f>
        <v>02918096216</v>
      </c>
      <c r="AC48" s="295" t="str">
        <f>IFERROR( VLOOKUP(Z48,[1]MOTORISTAS!$A$2:$I$1031,9,0),"")</f>
        <v>M4385128</v>
      </c>
      <c r="AD48" s="295"/>
      <c r="AE48" s="294" t="s">
        <v>1855</v>
      </c>
      <c r="AF48" s="294" t="s">
        <v>1856</v>
      </c>
      <c r="AG48" s="295" t="s">
        <v>1968</v>
      </c>
      <c r="AH48" s="301" t="s">
        <v>1814</v>
      </c>
      <c r="AI48" s="294"/>
      <c r="AJ48" s="295"/>
      <c r="AK48" s="295"/>
      <c r="AL48" s="295"/>
      <c r="AM48" s="295"/>
      <c r="AN48" s="303" t="s">
        <v>1815</v>
      </c>
      <c r="AO48" s="295" t="s">
        <v>1816</v>
      </c>
      <c r="AP48" s="303" t="s">
        <v>1817</v>
      </c>
      <c r="AQ48" s="298"/>
      <c r="AR48" s="295" t="s">
        <v>1964</v>
      </c>
    </row>
    <row r="49" spans="1:44" ht="15.75">
      <c r="A49" s="295" t="s">
        <v>1800</v>
      </c>
      <c r="B49" s="300" t="s">
        <v>1887</v>
      </c>
      <c r="C49" s="297">
        <v>46293</v>
      </c>
      <c r="D49" s="295"/>
      <c r="E49" s="295" t="s">
        <v>1947</v>
      </c>
      <c r="F49" s="298"/>
      <c r="G49" s="298"/>
      <c r="H49" s="295"/>
      <c r="I49" s="295"/>
      <c r="J49" s="295"/>
      <c r="K49" s="295" t="s">
        <v>1803</v>
      </c>
      <c r="L49" s="296">
        <v>46288</v>
      </c>
      <c r="M49" s="299">
        <v>0.86250000000000004</v>
      </c>
      <c r="N49" s="306">
        <v>4400</v>
      </c>
      <c r="O49" s="296"/>
      <c r="P49" s="294" t="s">
        <v>1969</v>
      </c>
      <c r="Q49" s="303" t="s">
        <v>1805</v>
      </c>
      <c r="R49" s="303" t="s">
        <v>1806</v>
      </c>
      <c r="S49" s="303" t="s">
        <v>1807</v>
      </c>
      <c r="T49" s="296"/>
      <c r="U49" s="295" t="s">
        <v>324</v>
      </c>
      <c r="V49" s="295" t="s">
        <v>1954</v>
      </c>
      <c r="W49" s="295"/>
      <c r="X49" s="294" t="s">
        <v>1955</v>
      </c>
      <c r="Y49" s="295" t="s">
        <v>1810</v>
      </c>
      <c r="Z49" s="295" t="s">
        <v>1854</v>
      </c>
      <c r="AA49" s="295" t="str">
        <f>IFERROR( VLOOKUP(Z49,[1]MOTORISTAS!$A$2:$I$1031,5,0),"")</f>
        <v>53588967672</v>
      </c>
      <c r="AB49" s="295" t="str">
        <f>IFERROR( VLOOKUP(Z49,[1]MOTORISTAS!$A$2:$I$1031,6,0),"")</f>
        <v>02918096216</v>
      </c>
      <c r="AC49" s="295" t="str">
        <f>IFERROR( VLOOKUP(Z49,[1]MOTORISTAS!$A$2:$I$1031,9,0),"")</f>
        <v>M4385128</v>
      </c>
      <c r="AD49" s="295"/>
      <c r="AE49" s="294" t="s">
        <v>1855</v>
      </c>
      <c r="AF49" s="294" t="s">
        <v>1859</v>
      </c>
      <c r="AG49" s="295" t="s">
        <v>1970</v>
      </c>
      <c r="AH49" s="301" t="s">
        <v>1814</v>
      </c>
      <c r="AI49" s="294"/>
      <c r="AJ49" s="295"/>
      <c r="AK49" s="295"/>
      <c r="AL49" s="295"/>
      <c r="AM49" s="295"/>
      <c r="AN49" s="303" t="s">
        <v>1815</v>
      </c>
      <c r="AO49" s="295" t="s">
        <v>1816</v>
      </c>
      <c r="AP49" s="303" t="s">
        <v>1817</v>
      </c>
      <c r="AQ49" s="298"/>
      <c r="AR49" s="295" t="s">
        <v>1957</v>
      </c>
    </row>
    <row r="50" spans="1:44" ht="15.75">
      <c r="A50" s="295" t="s">
        <v>1800</v>
      </c>
      <c r="B50" s="300" t="s">
        <v>1887</v>
      </c>
      <c r="C50" s="297">
        <v>46294</v>
      </c>
      <c r="D50" s="295"/>
      <c r="E50" s="295" t="s">
        <v>1947</v>
      </c>
      <c r="F50" s="298"/>
      <c r="G50" s="298"/>
      <c r="H50" s="295"/>
      <c r="I50" s="295"/>
      <c r="J50" s="295"/>
      <c r="K50" s="295" t="s">
        <v>1803</v>
      </c>
      <c r="L50" s="296">
        <v>46291</v>
      </c>
      <c r="M50" s="299">
        <v>0.95833333333333337</v>
      </c>
      <c r="N50" s="306">
        <v>4400</v>
      </c>
      <c r="O50" s="296"/>
      <c r="P50" s="294" t="s">
        <v>1971</v>
      </c>
      <c r="Q50" s="303" t="s">
        <v>1805</v>
      </c>
      <c r="R50" s="303" t="s">
        <v>1806</v>
      </c>
      <c r="S50" s="303" t="s">
        <v>1807</v>
      </c>
      <c r="T50" s="296"/>
      <c r="U50" s="304"/>
      <c r="V50" s="295" t="s">
        <v>1949</v>
      </c>
      <c r="W50" s="295"/>
      <c r="X50" s="294" t="s">
        <v>1950</v>
      </c>
      <c r="Y50" s="295" t="s">
        <v>1810</v>
      </c>
      <c r="Z50" s="295" t="s">
        <v>1879</v>
      </c>
      <c r="AA50" s="295" t="str">
        <f>IFERROR( VLOOKUP(Z50,[1]MOTORISTAS!$A$2:$M$1141,5,0),"")</f>
        <v>01600561608</v>
      </c>
      <c r="AB50" s="295" t="str">
        <f>IFERROR( VLOOKUP(Z50,[1]MOTORISTAS!$A$2:$M$1141,6,0),"")</f>
        <v>04417723538</v>
      </c>
      <c r="AC50" s="295" t="str">
        <f>IFERROR( VLOOKUP(Z50,[1]MOTORISTAS!$A$2:$M$1141,9,0),"")</f>
        <v>MG14603764</v>
      </c>
      <c r="AD50" s="295" t="str">
        <f>IFERROR( VLOOKUP(Z50,[1]MOTORISTAS!$A$2:$M$1141,3,0),"")</f>
        <v>(31) 99065-8343</v>
      </c>
      <c r="AE50" s="295" t="s">
        <v>1733</v>
      </c>
      <c r="AF50" s="295" t="s">
        <v>1880</v>
      </c>
      <c r="AG50" s="295" t="s">
        <v>1972</v>
      </c>
      <c r="AH50" s="301" t="s">
        <v>1814</v>
      </c>
      <c r="AI50" s="294"/>
      <c r="AJ50" s="295"/>
      <c r="AK50" s="295"/>
      <c r="AL50" s="295"/>
      <c r="AM50" s="295"/>
      <c r="AN50" s="303" t="s">
        <v>1815</v>
      </c>
      <c r="AO50" s="295" t="s">
        <v>1816</v>
      </c>
      <c r="AP50" s="303" t="s">
        <v>1817</v>
      </c>
      <c r="AQ50" s="298"/>
      <c r="AR50" s="295" t="s">
        <v>1952</v>
      </c>
    </row>
    <row r="51" spans="1:44" ht="15.75">
      <c r="A51" s="295" t="s">
        <v>1800</v>
      </c>
      <c r="B51" s="300" t="s">
        <v>1887</v>
      </c>
      <c r="C51" s="297">
        <v>46294</v>
      </c>
      <c r="D51" s="295"/>
      <c r="E51" s="295" t="s">
        <v>1947</v>
      </c>
      <c r="F51" s="298"/>
      <c r="G51" s="298"/>
      <c r="H51" s="295"/>
      <c r="I51" s="295"/>
      <c r="J51" s="295"/>
      <c r="K51" s="295" t="s">
        <v>1803</v>
      </c>
      <c r="L51" s="296">
        <v>46291</v>
      </c>
      <c r="M51" s="299">
        <v>0.95833333333333337</v>
      </c>
      <c r="N51" s="306">
        <v>4400</v>
      </c>
      <c r="O51" s="296"/>
      <c r="P51" s="294" t="s">
        <v>1973</v>
      </c>
      <c r="Q51" s="303" t="s">
        <v>1805</v>
      </c>
      <c r="R51" s="303" t="s">
        <v>1806</v>
      </c>
      <c r="S51" s="303" t="s">
        <v>1807</v>
      </c>
      <c r="T51" s="296"/>
      <c r="U51" s="295" t="s">
        <v>324</v>
      </c>
      <c r="V51" s="295" t="s">
        <v>1974</v>
      </c>
      <c r="W51" s="295"/>
      <c r="X51" s="294" t="s">
        <v>1975</v>
      </c>
      <c r="Y51" s="295" t="s">
        <v>1810</v>
      </c>
      <c r="Z51" s="295" t="s">
        <v>1879</v>
      </c>
      <c r="AA51" s="295" t="str">
        <f>IFERROR( VLOOKUP(Z51,[1]MOTORISTAS!$A$2:$M$1141,5,0),"")</f>
        <v>01600561608</v>
      </c>
      <c r="AB51" s="295" t="str">
        <f>IFERROR( VLOOKUP(Z51,[1]MOTORISTAS!$A$2:$M$1141,6,0),"")</f>
        <v>04417723538</v>
      </c>
      <c r="AC51" s="295" t="str">
        <f>IFERROR( VLOOKUP(Z51,[1]MOTORISTAS!$A$2:$M$1141,9,0),"")</f>
        <v>MG14603764</v>
      </c>
      <c r="AD51" s="295" t="str">
        <f>IFERROR( VLOOKUP(Z51,[1]MOTORISTAS!$A$2:$M$1141,3,0),"")</f>
        <v>(31) 99065-8343</v>
      </c>
      <c r="AE51" s="295" t="s">
        <v>1733</v>
      </c>
      <c r="AF51" s="295" t="s">
        <v>1885</v>
      </c>
      <c r="AG51" s="295" t="s">
        <v>1976</v>
      </c>
      <c r="AH51" s="301" t="s">
        <v>1814</v>
      </c>
      <c r="AI51" s="294"/>
      <c r="AJ51" s="295"/>
      <c r="AK51" s="295"/>
      <c r="AL51" s="295"/>
      <c r="AM51" s="295"/>
      <c r="AN51" s="303" t="s">
        <v>1815</v>
      </c>
      <c r="AO51" s="295" t="s">
        <v>1816</v>
      </c>
      <c r="AP51" s="303" t="s">
        <v>1817</v>
      </c>
      <c r="AQ51" s="298"/>
      <c r="AR51" s="295" t="s">
        <v>1977</v>
      </c>
    </row>
    <row r="52" spans="1:44" ht="15.75">
      <c r="A52" s="295" t="s">
        <v>1800</v>
      </c>
      <c r="B52" s="300" t="s">
        <v>1887</v>
      </c>
      <c r="C52" s="297">
        <v>46294</v>
      </c>
      <c r="D52" s="295"/>
      <c r="E52" s="295" t="s">
        <v>1947</v>
      </c>
      <c r="F52" s="298"/>
      <c r="G52" s="298"/>
      <c r="H52" s="295"/>
      <c r="I52" s="295"/>
      <c r="J52" s="295"/>
      <c r="K52" s="295" t="s">
        <v>1803</v>
      </c>
      <c r="L52" s="296">
        <v>46291</v>
      </c>
      <c r="M52" s="299">
        <v>0.86250000000000004</v>
      </c>
      <c r="N52" s="306">
        <v>4400</v>
      </c>
      <c r="O52" s="296"/>
      <c r="P52" s="294" t="s">
        <v>1978</v>
      </c>
      <c r="Q52" s="303" t="s">
        <v>1805</v>
      </c>
      <c r="R52" s="303" t="s">
        <v>1806</v>
      </c>
      <c r="S52" s="303" t="s">
        <v>1807</v>
      </c>
      <c r="T52" s="296"/>
      <c r="U52" s="295" t="s">
        <v>324</v>
      </c>
      <c r="V52" s="295" t="s">
        <v>1954</v>
      </c>
      <c r="W52" s="295"/>
      <c r="X52" s="294" t="s">
        <v>1955</v>
      </c>
      <c r="Y52" s="295" t="s">
        <v>1810</v>
      </c>
      <c r="Z52" s="295" t="s">
        <v>1931</v>
      </c>
      <c r="AA52" s="295" t="str">
        <f>IFERROR( VLOOKUP(Z52,[1]MOTORISTAS!$A$2:$M$1141,5,0),"")</f>
        <v>05962409612</v>
      </c>
      <c r="AB52" s="295" t="str">
        <f>IFERROR( VLOOKUP(Z52,[1]MOTORISTAS!$A$2:$M$1141,6,0),"")</f>
        <v>02555786160</v>
      </c>
      <c r="AC52" s="295" t="str">
        <f>IFERROR( VLOOKUP(Z52,[1]MOTORISTAS!$A$2:$M$1141,9,0),"")</f>
        <v>MG10124259</v>
      </c>
      <c r="AD52" s="295" t="str">
        <f>IFERROR( VLOOKUP(Z52,[1]MOTORISTAS!$A$2:$M$1141,3,0),"")</f>
        <v>(31) 99919-1460</v>
      </c>
      <c r="AE52" s="294" t="s">
        <v>1932</v>
      </c>
      <c r="AF52" s="295" t="s">
        <v>1933</v>
      </c>
      <c r="AG52" s="295" t="s">
        <v>1979</v>
      </c>
      <c r="AH52" s="301" t="s">
        <v>1814</v>
      </c>
      <c r="AI52" s="294"/>
      <c r="AJ52" s="295"/>
      <c r="AK52" s="295"/>
      <c r="AL52" s="295"/>
      <c r="AM52" s="295"/>
      <c r="AN52" s="303" t="s">
        <v>1815</v>
      </c>
      <c r="AO52" s="295" t="s">
        <v>1816</v>
      </c>
      <c r="AP52" s="303" t="s">
        <v>1817</v>
      </c>
      <c r="AQ52" s="298"/>
      <c r="AR52" s="295" t="s">
        <v>1957</v>
      </c>
    </row>
    <row r="53" spans="1:44" ht="15.75">
      <c r="A53" s="295" t="s">
        <v>1800</v>
      </c>
      <c r="B53" s="300" t="s">
        <v>1887</v>
      </c>
      <c r="C53" s="297">
        <v>46294</v>
      </c>
      <c r="D53" s="295"/>
      <c r="E53" s="295" t="s">
        <v>1947</v>
      </c>
      <c r="F53" s="298"/>
      <c r="G53" s="298"/>
      <c r="H53" s="295"/>
      <c r="I53" s="295"/>
      <c r="J53" s="295"/>
      <c r="K53" s="295" t="s">
        <v>1803</v>
      </c>
      <c r="L53" s="296">
        <v>46291</v>
      </c>
      <c r="M53" s="299">
        <v>0.86250000000000004</v>
      </c>
      <c r="N53" s="306">
        <v>4400</v>
      </c>
      <c r="O53" s="296"/>
      <c r="P53" s="294" t="s">
        <v>1980</v>
      </c>
      <c r="Q53" s="303" t="s">
        <v>1805</v>
      </c>
      <c r="R53" s="303" t="s">
        <v>1806</v>
      </c>
      <c r="S53" s="303" t="s">
        <v>1807</v>
      </c>
      <c r="T53" s="296"/>
      <c r="U53" s="295" t="s">
        <v>324</v>
      </c>
      <c r="V53" s="295" t="s">
        <v>1954</v>
      </c>
      <c r="W53" s="295"/>
      <c r="X53" s="294" t="s">
        <v>1955</v>
      </c>
      <c r="Y53" s="295" t="s">
        <v>1810</v>
      </c>
      <c r="Z53" s="295" t="s">
        <v>1931</v>
      </c>
      <c r="AA53" s="295" t="str">
        <f>IFERROR( VLOOKUP(Z53,[1]MOTORISTAS!$A$2:$M$1141,5,0),"")</f>
        <v>05962409612</v>
      </c>
      <c r="AB53" s="295" t="str">
        <f>IFERROR( VLOOKUP(Z53,[1]MOTORISTAS!$A$2:$M$1141,6,0),"")</f>
        <v>02555786160</v>
      </c>
      <c r="AC53" s="295" t="str">
        <f>IFERROR( VLOOKUP(Z53,[1]MOTORISTAS!$A$2:$M$1141,9,0),"")</f>
        <v>MG10124259</v>
      </c>
      <c r="AD53" s="295" t="str">
        <f>IFERROR( VLOOKUP(Z53,[1]MOTORISTAS!$A$2:$M$1141,3,0),"")</f>
        <v>(31) 99919-1460</v>
      </c>
      <c r="AE53" s="294" t="s">
        <v>1932</v>
      </c>
      <c r="AF53" s="295" t="s">
        <v>1936</v>
      </c>
      <c r="AG53" s="295" t="s">
        <v>1981</v>
      </c>
      <c r="AH53" s="301" t="s">
        <v>1814</v>
      </c>
      <c r="AI53" s="294"/>
      <c r="AJ53" s="295"/>
      <c r="AK53" s="295"/>
      <c r="AL53" s="295"/>
      <c r="AM53" s="295"/>
      <c r="AN53" s="303" t="s">
        <v>1815</v>
      </c>
      <c r="AO53" s="295" t="s">
        <v>1816</v>
      </c>
      <c r="AP53" s="303" t="s">
        <v>1817</v>
      </c>
      <c r="AQ53" s="298"/>
      <c r="AR53" s="295" t="s">
        <v>1957</v>
      </c>
    </row>
    <row r="54" spans="1:44" ht="15.75">
      <c r="A54" s="295" t="s">
        <v>1800</v>
      </c>
      <c r="B54" s="300" t="s">
        <v>1887</v>
      </c>
      <c r="C54" s="297">
        <v>46294</v>
      </c>
      <c r="D54" s="295"/>
      <c r="E54" s="295" t="s">
        <v>1947</v>
      </c>
      <c r="F54" s="298"/>
      <c r="G54" s="298"/>
      <c r="H54" s="295"/>
      <c r="I54" s="295"/>
      <c r="J54" s="295"/>
      <c r="K54" s="295" t="s">
        <v>1803</v>
      </c>
      <c r="L54" s="296">
        <v>46291</v>
      </c>
      <c r="M54" s="299">
        <v>0.87083333333333335</v>
      </c>
      <c r="N54" s="306">
        <v>4400</v>
      </c>
      <c r="O54" s="296"/>
      <c r="P54" s="294" t="s">
        <v>1982</v>
      </c>
      <c r="Q54" s="303" t="s">
        <v>1805</v>
      </c>
      <c r="R54" s="303" t="s">
        <v>1806</v>
      </c>
      <c r="S54" s="303" t="s">
        <v>1807</v>
      </c>
      <c r="T54" s="296"/>
      <c r="U54" s="295" t="s">
        <v>324</v>
      </c>
      <c r="V54" s="295" t="s">
        <v>1974</v>
      </c>
      <c r="W54" s="295"/>
      <c r="X54" s="294" t="s">
        <v>1975</v>
      </c>
      <c r="Y54" s="295" t="s">
        <v>1810</v>
      </c>
      <c r="Z54" s="295" t="s">
        <v>1811</v>
      </c>
      <c r="AA54" s="295" t="str">
        <f>IFERROR( VLOOKUP(Z54,[1]MOTORISTAS!$A$2:$I$1031,5,0),"")</f>
        <v>95278761687</v>
      </c>
      <c r="AB54" s="295" t="str">
        <f>IFERROR( VLOOKUP(Z54,[1]MOTORISTAS!$A$2:$I$1031,6,0),"")</f>
        <v>00585420107</v>
      </c>
      <c r="AC54" s="295" t="str">
        <f>IFERROR( VLOOKUP(Z54,[1]MOTORISTAS!$A$2:$I$1031,9,0),"")</f>
        <v>M6151422</v>
      </c>
      <c r="AD54" s="295"/>
      <c r="AE54" s="294" t="s">
        <v>331</v>
      </c>
      <c r="AF54" s="294" t="s">
        <v>1812</v>
      </c>
      <c r="AG54" s="295" t="s">
        <v>1983</v>
      </c>
      <c r="AH54" s="301" t="s">
        <v>1814</v>
      </c>
      <c r="AI54" s="294"/>
      <c r="AJ54" s="295"/>
      <c r="AK54" s="295"/>
      <c r="AL54" s="295"/>
      <c r="AM54" s="295"/>
      <c r="AN54" s="303" t="s">
        <v>1815</v>
      </c>
      <c r="AO54" s="295" t="s">
        <v>1816</v>
      </c>
      <c r="AP54" s="303" t="s">
        <v>1817</v>
      </c>
      <c r="AQ54" s="298"/>
      <c r="AR54" s="295" t="s">
        <v>1977</v>
      </c>
    </row>
    <row r="55" spans="1:44" ht="15.75">
      <c r="A55" s="305" t="s">
        <v>1800</v>
      </c>
      <c r="B55" s="305" t="s">
        <v>1887</v>
      </c>
      <c r="C55" s="297">
        <v>46294</v>
      </c>
      <c r="D55" s="295"/>
      <c r="E55" s="295" t="s">
        <v>1947</v>
      </c>
      <c r="F55" s="298"/>
      <c r="G55" s="298"/>
      <c r="H55" s="295"/>
      <c r="I55" s="295"/>
      <c r="J55" s="295"/>
      <c r="K55" s="295" t="s">
        <v>1803</v>
      </c>
      <c r="L55" s="296">
        <v>46291</v>
      </c>
      <c r="M55" s="299">
        <v>0.87083333333333335</v>
      </c>
      <c r="N55" s="306">
        <v>4400</v>
      </c>
      <c r="O55" s="296"/>
      <c r="P55" s="294" t="s">
        <v>1984</v>
      </c>
      <c r="Q55" s="303" t="s">
        <v>1805</v>
      </c>
      <c r="R55" s="303" t="s">
        <v>1806</v>
      </c>
      <c r="S55" s="303" t="s">
        <v>1807</v>
      </c>
      <c r="T55" s="296"/>
      <c r="U55" s="295" t="s">
        <v>324</v>
      </c>
      <c r="V55" s="295" t="s">
        <v>1974</v>
      </c>
      <c r="W55" s="295"/>
      <c r="X55" s="294" t="s">
        <v>1975</v>
      </c>
      <c r="Y55" s="295" t="s">
        <v>1810</v>
      </c>
      <c r="Z55" s="295" t="s">
        <v>1811</v>
      </c>
      <c r="AA55" s="295" t="str">
        <f>IFERROR( VLOOKUP(Z55,[1]MOTORISTAS!$A$2:$I$1031,5,0),"")</f>
        <v>95278761687</v>
      </c>
      <c r="AB55" s="295" t="str">
        <f>IFERROR( VLOOKUP(Z55,[1]MOTORISTAS!$A$2:$I$1031,6,0),"")</f>
        <v>00585420107</v>
      </c>
      <c r="AC55" s="295" t="str">
        <f>IFERROR( VLOOKUP(Z55,[1]MOTORISTAS!$A$2:$I$1031,9,0),"")</f>
        <v>M6151422</v>
      </c>
      <c r="AD55" s="295"/>
      <c r="AE55" s="294" t="s">
        <v>331</v>
      </c>
      <c r="AF55" s="294" t="s">
        <v>1820</v>
      </c>
      <c r="AG55" s="295" t="s">
        <v>1985</v>
      </c>
      <c r="AH55" s="301" t="s">
        <v>1814</v>
      </c>
      <c r="AI55" s="294"/>
      <c r="AJ55" s="295"/>
      <c r="AK55" s="295"/>
      <c r="AL55" s="295"/>
      <c r="AM55" s="295"/>
      <c r="AN55" s="303" t="s">
        <v>1815</v>
      </c>
      <c r="AO55" s="295" t="s">
        <v>1816</v>
      </c>
      <c r="AP55" s="303" t="s">
        <v>1817</v>
      </c>
      <c r="AQ55" s="298"/>
      <c r="AR55" s="295" t="s">
        <v>1977</v>
      </c>
    </row>
    <row r="56" spans="1:44" ht="15.75">
      <c r="A56" s="295" t="s">
        <v>1800</v>
      </c>
      <c r="B56" s="300" t="s">
        <v>1887</v>
      </c>
      <c r="C56" s="297">
        <v>46296</v>
      </c>
      <c r="D56" s="295"/>
      <c r="E56" s="295" t="s">
        <v>1947</v>
      </c>
      <c r="F56" s="298"/>
      <c r="G56" s="298"/>
      <c r="H56" s="295"/>
      <c r="I56" s="295"/>
      <c r="J56" s="295"/>
      <c r="K56" s="295" t="s">
        <v>1803</v>
      </c>
      <c r="L56" s="296">
        <v>46294</v>
      </c>
      <c r="M56" s="299">
        <v>0.70833333333333337</v>
      </c>
      <c r="N56" s="306">
        <v>4400</v>
      </c>
      <c r="O56" s="296"/>
      <c r="P56" s="294" t="s">
        <v>1986</v>
      </c>
      <c r="Q56" s="303" t="s">
        <v>1805</v>
      </c>
      <c r="R56" s="303" t="s">
        <v>1806</v>
      </c>
      <c r="S56" s="303" t="s">
        <v>1807</v>
      </c>
      <c r="T56" s="296"/>
      <c r="U56" s="295" t="s">
        <v>324</v>
      </c>
      <c r="V56" s="295" t="s">
        <v>1987</v>
      </c>
      <c r="W56" s="295"/>
      <c r="X56" s="294" t="s">
        <v>1988</v>
      </c>
      <c r="Y56" s="295" t="s">
        <v>1810</v>
      </c>
      <c r="Z56" s="295" t="s">
        <v>1854</v>
      </c>
      <c r="AA56" s="295" t="str">
        <f>IFERROR( VLOOKUP(Z56,[1]MOTORISTAS!$A$2:$I$1031,5,0),"")</f>
        <v>53588967672</v>
      </c>
      <c r="AB56" s="295" t="str">
        <f>IFERROR( VLOOKUP(Z56,[1]MOTORISTAS!$A$2:$I$1031,6,0),"")</f>
        <v>02918096216</v>
      </c>
      <c r="AC56" s="295" t="str">
        <f>IFERROR( VLOOKUP(Z56,[1]MOTORISTAS!$A$2:$I$1031,9,0),"")</f>
        <v>M4385128</v>
      </c>
      <c r="AD56" s="295"/>
      <c r="AE56" s="294" t="s">
        <v>1855</v>
      </c>
      <c r="AF56" s="294" t="s">
        <v>1856</v>
      </c>
      <c r="AG56" s="295" t="s">
        <v>1989</v>
      </c>
      <c r="AH56" s="301" t="s">
        <v>1814</v>
      </c>
      <c r="AI56" s="294"/>
      <c r="AJ56" s="295"/>
      <c r="AK56" s="295"/>
      <c r="AL56" s="295"/>
      <c r="AM56" s="295"/>
      <c r="AN56" s="303" t="s">
        <v>1815</v>
      </c>
      <c r="AO56" s="295" t="s">
        <v>1816</v>
      </c>
      <c r="AP56" s="303" t="s">
        <v>1817</v>
      </c>
      <c r="AQ56" s="298"/>
      <c r="AR56" s="295" t="s">
        <v>1990</v>
      </c>
    </row>
    <row r="57" spans="1:44" ht="15.75">
      <c r="A57" s="295" t="s">
        <v>1800</v>
      </c>
      <c r="B57" s="300" t="s">
        <v>1887</v>
      </c>
      <c r="C57" s="297">
        <v>46296</v>
      </c>
      <c r="D57" s="295"/>
      <c r="E57" s="295" t="s">
        <v>1947</v>
      </c>
      <c r="F57" s="298"/>
      <c r="G57" s="298"/>
      <c r="H57" s="295"/>
      <c r="I57" s="295"/>
      <c r="J57" s="295"/>
      <c r="K57" s="295" t="s">
        <v>1803</v>
      </c>
      <c r="L57" s="296">
        <v>46294</v>
      </c>
      <c r="M57" s="299">
        <v>0.70833333333333337</v>
      </c>
      <c r="N57" s="306">
        <v>4400</v>
      </c>
      <c r="O57" s="296"/>
      <c r="P57" s="294" t="s">
        <v>1991</v>
      </c>
      <c r="Q57" s="303" t="s">
        <v>1805</v>
      </c>
      <c r="R57" s="303" t="s">
        <v>1806</v>
      </c>
      <c r="S57" s="303" t="s">
        <v>1807</v>
      </c>
      <c r="T57" s="296"/>
      <c r="U57" s="295" t="s">
        <v>324</v>
      </c>
      <c r="V57" s="295" t="s">
        <v>1987</v>
      </c>
      <c r="W57" s="295"/>
      <c r="X57" s="294" t="s">
        <v>1988</v>
      </c>
      <c r="Y57" s="295" t="s">
        <v>1810</v>
      </c>
      <c r="Z57" s="295" t="s">
        <v>1854</v>
      </c>
      <c r="AA57" s="295" t="str">
        <f>IFERROR( VLOOKUP(Z57,[1]MOTORISTAS!$A$2:$I$1031,5,0),"")</f>
        <v>53588967672</v>
      </c>
      <c r="AB57" s="295" t="str">
        <f>IFERROR( VLOOKUP(Z57,[1]MOTORISTAS!$A$2:$I$1031,6,0),"")</f>
        <v>02918096216</v>
      </c>
      <c r="AC57" s="295" t="str">
        <f>IFERROR( VLOOKUP(Z57,[1]MOTORISTAS!$A$2:$I$1031,9,0),"")</f>
        <v>M4385128</v>
      </c>
      <c r="AD57" s="295"/>
      <c r="AE57" s="294" t="s">
        <v>1855</v>
      </c>
      <c r="AF57" s="294" t="s">
        <v>1859</v>
      </c>
      <c r="AG57" s="295" t="s">
        <v>1992</v>
      </c>
      <c r="AH57" s="301" t="s">
        <v>1814</v>
      </c>
      <c r="AI57" s="294"/>
      <c r="AJ57" s="295"/>
      <c r="AK57" s="295"/>
      <c r="AL57" s="295"/>
      <c r="AM57" s="295"/>
      <c r="AN57" s="303" t="s">
        <v>1815</v>
      </c>
      <c r="AO57" s="295" t="s">
        <v>1816</v>
      </c>
      <c r="AP57" s="303" t="s">
        <v>1817</v>
      </c>
      <c r="AQ57" s="298"/>
      <c r="AR57" s="295" t="s">
        <v>1990</v>
      </c>
    </row>
    <row r="58" spans="1:44" ht="15.75">
      <c r="A58" s="295" t="s">
        <v>1800</v>
      </c>
      <c r="B58" s="300" t="s">
        <v>1887</v>
      </c>
      <c r="C58" s="297">
        <v>46296</v>
      </c>
      <c r="D58" s="295"/>
      <c r="E58" s="295" t="s">
        <v>1947</v>
      </c>
      <c r="F58" s="298"/>
      <c r="G58" s="298"/>
      <c r="H58" s="295"/>
      <c r="I58" s="295"/>
      <c r="J58" s="295"/>
      <c r="K58" s="295" t="s">
        <v>1803</v>
      </c>
      <c r="L58" s="296">
        <v>46294</v>
      </c>
      <c r="M58" s="299">
        <v>0.71388888888888891</v>
      </c>
      <c r="N58" s="306">
        <v>4400</v>
      </c>
      <c r="O58" s="296"/>
      <c r="P58" s="294" t="s">
        <v>1993</v>
      </c>
      <c r="Q58" s="303" t="s">
        <v>1805</v>
      </c>
      <c r="R58" s="303" t="s">
        <v>1806</v>
      </c>
      <c r="S58" s="303" t="s">
        <v>1807</v>
      </c>
      <c r="T58" s="296"/>
      <c r="U58" s="295" t="s">
        <v>324</v>
      </c>
      <c r="V58" s="295" t="s">
        <v>1994</v>
      </c>
      <c r="W58" s="295"/>
      <c r="X58" s="294" t="s">
        <v>1995</v>
      </c>
      <c r="Y58" s="295" t="s">
        <v>1810</v>
      </c>
      <c r="Z58" s="295" t="s">
        <v>1996</v>
      </c>
      <c r="AA58" s="295" t="str">
        <f>IFERROR( VLOOKUP(Z58,[1]MOTORISTAS!$A$2:$I$1031,5,0),"")</f>
        <v>03451506602</v>
      </c>
      <c r="AB58" s="295" t="str">
        <f>IFERROR( VLOOKUP(Z58,[1]MOTORISTAS!$A$2:$I$1031,6,0),"")</f>
        <v>01792604654</v>
      </c>
      <c r="AC58" s="295" t="str">
        <f>IFERROR( VLOOKUP(Z58,[1]MOTORISTAS!$A$2:$I$1031,9,0),"")</f>
        <v>MG8912213</v>
      </c>
      <c r="AD58" s="295"/>
      <c r="AE58" s="294" t="s">
        <v>1997</v>
      </c>
      <c r="AF58" s="294" t="s">
        <v>1998</v>
      </c>
      <c r="AG58" s="295" t="s">
        <v>1999</v>
      </c>
      <c r="AH58" s="301" t="s">
        <v>1814</v>
      </c>
      <c r="AI58" s="294"/>
      <c r="AJ58" s="295"/>
      <c r="AK58" s="295"/>
      <c r="AL58" s="295"/>
      <c r="AM58" s="295"/>
      <c r="AN58" s="303" t="s">
        <v>1815</v>
      </c>
      <c r="AO58" s="295" t="s">
        <v>1816</v>
      </c>
      <c r="AP58" s="303" t="s">
        <v>1817</v>
      </c>
      <c r="AQ58" s="298"/>
      <c r="AR58" s="295" t="s">
        <v>2000</v>
      </c>
    </row>
    <row r="59" spans="1:44" ht="15.75">
      <c r="A59" s="295" t="s">
        <v>1800</v>
      </c>
      <c r="B59" s="300" t="s">
        <v>1887</v>
      </c>
      <c r="C59" s="297">
        <v>46296</v>
      </c>
      <c r="D59" s="295"/>
      <c r="E59" s="295" t="s">
        <v>1947</v>
      </c>
      <c r="F59" s="298"/>
      <c r="G59" s="298"/>
      <c r="H59" s="295"/>
      <c r="I59" s="295"/>
      <c r="J59" s="295"/>
      <c r="K59" s="295" t="s">
        <v>1803</v>
      </c>
      <c r="L59" s="296">
        <v>46294</v>
      </c>
      <c r="M59" s="299">
        <v>0.71388888888888891</v>
      </c>
      <c r="N59" s="306">
        <v>4400</v>
      </c>
      <c r="O59" s="296"/>
      <c r="P59" s="294" t="s">
        <v>2001</v>
      </c>
      <c r="Q59" s="303" t="s">
        <v>1805</v>
      </c>
      <c r="R59" s="303" t="s">
        <v>1806</v>
      </c>
      <c r="S59" s="303" t="s">
        <v>1807</v>
      </c>
      <c r="T59" s="296"/>
      <c r="U59" s="295" t="s">
        <v>324</v>
      </c>
      <c r="V59" s="295" t="s">
        <v>1994</v>
      </c>
      <c r="W59" s="295"/>
      <c r="X59" s="294" t="s">
        <v>1995</v>
      </c>
      <c r="Y59" s="295" t="s">
        <v>1810</v>
      </c>
      <c r="Z59" s="295" t="s">
        <v>1996</v>
      </c>
      <c r="AA59" s="295" t="str">
        <f>IFERROR( VLOOKUP(Z59,[1]MOTORISTAS!$A$2:$I$1031,5,0),"")</f>
        <v>03451506602</v>
      </c>
      <c r="AB59" s="295" t="str">
        <f>IFERROR( VLOOKUP(Z59,[1]MOTORISTAS!$A$2:$I$1031,6,0),"")</f>
        <v>01792604654</v>
      </c>
      <c r="AC59" s="295" t="str">
        <f>IFERROR( VLOOKUP(Z59,[1]MOTORISTAS!$A$2:$I$1031,9,0),"")</f>
        <v>MG8912213</v>
      </c>
      <c r="AD59" s="295"/>
      <c r="AE59" s="294" t="s">
        <v>1997</v>
      </c>
      <c r="AF59" s="294" t="s">
        <v>2002</v>
      </c>
      <c r="AG59" s="295" t="s">
        <v>2003</v>
      </c>
      <c r="AH59" s="301" t="s">
        <v>1814</v>
      </c>
      <c r="AI59" s="294"/>
      <c r="AJ59" s="295"/>
      <c r="AK59" s="295"/>
      <c r="AL59" s="295"/>
      <c r="AM59" s="295"/>
      <c r="AN59" s="303" t="s">
        <v>1815</v>
      </c>
      <c r="AO59" s="295" t="s">
        <v>1816</v>
      </c>
      <c r="AP59" s="303" t="s">
        <v>1817</v>
      </c>
      <c r="AQ59" s="298"/>
      <c r="AR59" s="295" t="s">
        <v>2000</v>
      </c>
    </row>
    <row r="60" spans="1:44" ht="15.75">
      <c r="A60" s="295" t="s">
        <v>1800</v>
      </c>
      <c r="B60" s="300" t="s">
        <v>1887</v>
      </c>
      <c r="C60" s="297">
        <v>46296</v>
      </c>
      <c r="D60" s="295"/>
      <c r="E60" s="295" t="s">
        <v>1947</v>
      </c>
      <c r="F60" s="298"/>
      <c r="G60" s="298"/>
      <c r="H60" s="295"/>
      <c r="I60" s="295"/>
      <c r="J60" s="295"/>
      <c r="K60" s="295" t="s">
        <v>1803</v>
      </c>
      <c r="L60" s="296">
        <v>46294</v>
      </c>
      <c r="M60" s="299">
        <v>0.72569444444444442</v>
      </c>
      <c r="N60" s="306">
        <v>4400</v>
      </c>
      <c r="O60" s="296"/>
      <c r="P60" s="294" t="s">
        <v>2004</v>
      </c>
      <c r="Q60" s="303" t="s">
        <v>1805</v>
      </c>
      <c r="R60" s="303" t="s">
        <v>1806</v>
      </c>
      <c r="S60" s="303" t="s">
        <v>1807</v>
      </c>
      <c r="T60" s="296"/>
      <c r="U60" s="295" t="s">
        <v>324</v>
      </c>
      <c r="V60" s="295" t="s">
        <v>1994</v>
      </c>
      <c r="W60" s="295"/>
      <c r="X60" s="294" t="s">
        <v>1995</v>
      </c>
      <c r="Y60" s="295" t="s">
        <v>1810</v>
      </c>
      <c r="Z60" s="295" t="s">
        <v>1879</v>
      </c>
      <c r="AA60" s="295" t="str">
        <f>IFERROR( VLOOKUP(Z60,[1]MOTORISTAS!$A$2:$M$1141,5,0),"")</f>
        <v>01600561608</v>
      </c>
      <c r="AB60" s="295" t="str">
        <f>IFERROR( VLOOKUP(Z60,[1]MOTORISTAS!$A$2:$M$1141,6,0),"")</f>
        <v>04417723538</v>
      </c>
      <c r="AC60" s="295" t="str">
        <f>IFERROR( VLOOKUP(Z60,[1]MOTORISTAS!$A$2:$M$1141,9,0),"")</f>
        <v>MG14603764</v>
      </c>
      <c r="AD60" s="295" t="str">
        <f>IFERROR( VLOOKUP(Z60,[1]MOTORISTAS!$A$2:$M$1141,3,0),"")</f>
        <v>(31) 99065-8343</v>
      </c>
      <c r="AE60" s="295" t="s">
        <v>1733</v>
      </c>
      <c r="AF60" s="295" t="s">
        <v>1880</v>
      </c>
      <c r="AG60" s="295" t="s">
        <v>2005</v>
      </c>
      <c r="AH60" s="301" t="s">
        <v>1814</v>
      </c>
      <c r="AI60" s="294"/>
      <c r="AJ60" s="295"/>
      <c r="AK60" s="295"/>
      <c r="AL60" s="295"/>
      <c r="AM60" s="295"/>
      <c r="AN60" s="303" t="s">
        <v>1815</v>
      </c>
      <c r="AO60" s="295" t="s">
        <v>1816</v>
      </c>
      <c r="AP60" s="303" t="s">
        <v>1817</v>
      </c>
      <c r="AQ60" s="298"/>
      <c r="AR60" s="295" t="s">
        <v>2000</v>
      </c>
    </row>
    <row r="61" spans="1:44" ht="15.75">
      <c r="A61" s="295" t="s">
        <v>1800</v>
      </c>
      <c r="B61" s="300" t="s">
        <v>1887</v>
      </c>
      <c r="C61" s="297">
        <v>46296</v>
      </c>
      <c r="D61" s="295"/>
      <c r="E61" s="295" t="s">
        <v>1947</v>
      </c>
      <c r="F61" s="298"/>
      <c r="G61" s="298"/>
      <c r="H61" s="295"/>
      <c r="I61" s="295"/>
      <c r="J61" s="295"/>
      <c r="K61" s="295" t="s">
        <v>1803</v>
      </c>
      <c r="L61" s="296">
        <v>46294</v>
      </c>
      <c r="M61" s="299">
        <v>0.72569444444444442</v>
      </c>
      <c r="N61" s="306">
        <v>4400</v>
      </c>
      <c r="O61" s="296"/>
      <c r="P61" s="294" t="s">
        <v>2006</v>
      </c>
      <c r="Q61" s="303" t="s">
        <v>1805</v>
      </c>
      <c r="R61" s="303" t="s">
        <v>1806</v>
      </c>
      <c r="S61" s="303" t="s">
        <v>1807</v>
      </c>
      <c r="T61" s="296"/>
      <c r="U61" s="295" t="s">
        <v>324</v>
      </c>
      <c r="V61" s="295" t="s">
        <v>1994</v>
      </c>
      <c r="W61" s="295"/>
      <c r="X61" s="294" t="s">
        <v>1995</v>
      </c>
      <c r="Y61" s="295" t="s">
        <v>1810</v>
      </c>
      <c r="Z61" s="295" t="s">
        <v>1879</v>
      </c>
      <c r="AA61" s="295" t="str">
        <f>IFERROR( VLOOKUP(Z61,[1]MOTORISTAS!$A$2:$M$1141,5,0),"")</f>
        <v>01600561608</v>
      </c>
      <c r="AB61" s="295" t="str">
        <f>IFERROR( VLOOKUP(Z61,[1]MOTORISTAS!$A$2:$M$1141,6,0),"")</f>
        <v>04417723538</v>
      </c>
      <c r="AC61" s="295" t="str">
        <f>IFERROR( VLOOKUP(Z61,[1]MOTORISTAS!$A$2:$M$1141,9,0),"")</f>
        <v>MG14603764</v>
      </c>
      <c r="AD61" s="295" t="str">
        <f>IFERROR( VLOOKUP(Z61,[1]MOTORISTAS!$A$2:$M$1141,3,0),"")</f>
        <v>(31) 99065-8343</v>
      </c>
      <c r="AE61" s="295" t="s">
        <v>1733</v>
      </c>
      <c r="AF61" s="295" t="s">
        <v>1885</v>
      </c>
      <c r="AG61" s="295" t="s">
        <v>2007</v>
      </c>
      <c r="AH61" s="301" t="s">
        <v>1814</v>
      </c>
      <c r="AI61" s="294"/>
      <c r="AJ61" s="295"/>
      <c r="AK61" s="295"/>
      <c r="AL61" s="295"/>
      <c r="AM61" s="295"/>
      <c r="AN61" s="303" t="s">
        <v>1815</v>
      </c>
      <c r="AO61" s="295" t="s">
        <v>1816</v>
      </c>
      <c r="AP61" s="303" t="s">
        <v>1817</v>
      </c>
      <c r="AQ61" s="298"/>
      <c r="AR61" s="295" t="s">
        <v>2000</v>
      </c>
    </row>
  </sheetData>
  <autoFilter ref="A1:AR1" xr:uid="{7983059F-34F0-4973-8E99-2D9CCAD06224}"/>
  <conditionalFormatting sqref="A2:AR61">
    <cfRule type="expression" dxfId="14" priority="1">
      <formula>$B2="AGUARDANDO DADOS"</formula>
    </cfRule>
    <cfRule type="expression" dxfId="13" priority="2">
      <formula>$B2="SOLICITADO AO ARMADOR"</formula>
    </cfRule>
    <cfRule type="expression" dxfId="12" priority="3">
      <formula>$B2="SOLICITADO AO DEPOT"</formula>
    </cfRule>
    <cfRule type="expression" dxfId="11" priority="4">
      <formula>$B2="AGENDADO NO DEPOT (EM ANALISE)"</formula>
    </cfRule>
    <cfRule type="expression" dxfId="10" priority="5">
      <formula>$B2="AGENDADO NO DEPOT (APROVADO)"</formula>
    </cfRule>
    <cfRule type="expression" dxfId="9" priority="6">
      <formula>$B2="ARMAZENADO NO PATIO"</formula>
    </cfRule>
    <cfRule type="expression" dxfId="8" priority="7">
      <formula>$B2="A CAMINHO DO CLIENTE"</formula>
    </cfRule>
    <cfRule type="expression" dxfId="7" priority="8">
      <formula>$B2="NO CLIENTE (CARREGANDO)"</formula>
    </cfRule>
    <cfRule type="expression" dxfId="6" priority="9">
      <formula>$B2="A CAMINHO DA ENTREGA"</formula>
    </cfRule>
    <cfRule type="expression" dxfId="5" priority="10">
      <formula>$B2="AGENDADO NO TERMINAL"</formula>
    </cfRule>
    <cfRule type="expression" dxfId="4" priority="11">
      <formula>$B2="AGENDADO NO REDEX"</formula>
    </cfRule>
    <cfRule type="expression" dxfId="3" priority="12">
      <formula>$B2="VIAGEM FINALIZADA"</formula>
    </cfRule>
    <cfRule type="expression" dxfId="2" priority="13">
      <formula>$B2="SOLICITADO AO REDEX"</formula>
    </cfRule>
    <cfRule type="expression" dxfId="1" priority="14">
      <formula>$B2="RESERVA INVALIDA OU CANCELADA"</formula>
    </cfRule>
  </conditionalFormatting>
  <dataValidations count="3">
    <dataValidation type="list" allowBlank="1" showErrorMessage="1" sqref="B2:B20 B22:B23 B26:B37 B40:B41 B44:B61" xr:uid="{971D6431-18FF-41D9-AF3A-FAD656D363EF}">
      <formula1>"BTP - ABERTO,BTP - ANTECIPADO,DP WORLD - ABERTO,DP WORLD - ANTECIPADO, SANTOS BRASIL - ABERTO,SANTOS BRASIL - ANTECIPADO,SATEL - ABERTO,SATEL - FECHADO,ISIS - ABERTO,ISIS - FECHADO,GELOG - ABERTO,GELOG - FECHADO,OZIRIS - ABERTO,OZIRIS - FECHADO,ATLANTIS,L"&amp;"ECHMAN,TRANSTEC,DEPOTAINER (STS),TRANSTEC (PGD)"</formula1>
    </dataValidation>
    <dataValidation type="list" allowBlank="1" showDropDown="1" sqref="AO2:AO61" xr:uid="{9F2DE131-669F-4D6F-B080-2AE10493B679}">
      <formula1>"BTP - BRASIL TERM PORTUARIO S/A (STS) - 04.887.625/0001-78,DP WORLD - EMP BRAS DE TERM PORT S/A (STS) - 02.805.610/0002-79,SANTOS BRASIL PART S/A (GJA) - 02.762.121/0014-10,TCP - TERM DE CONTEINERES DE PNG S/A (PNG) - 12.919.786/0001-24,CONVICON - CONTEIN"&amp;"ERES DE VDC S/A (VDC) - 06.013.760/0001-10,TRANSREAL - CUBATAO TRANSPORTES E SERVICOS LTDA - 00.253.524/0001-94,ECOPORTO SANTOS - 02.390.435/0001-15"</formula1>
    </dataValidation>
    <dataValidation type="list" allowBlank="1" sqref="A2:A61" xr:uid="{6471E732-35EC-4920-B165-FC21A4B1A3C4}">
      <formula1>"AGUARDANDO DADOS,RESERVA INVALIDA OU CANCELADA,SOLICITADO AO ARMADOR,SOLICITADO AO DEPOT,AGENDADO NO DEPOT (EM ANALISE),AGENDADO NO DEPOT (APROVADO),ARMAZENADO NO PATIO,A CAMINHO DO CLIENTE,NO CLIENTE (CARREGANDO),A CAMINHO DA ENTREGA,SOLICITADO AO REDEX,"&amp;"AGENDADO NO REDEX,AGENDADO NO TERMINAL,VIAGEM FINALIZADA"</formula1>
    </dataValidation>
  </dataValidation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977B-2451-43FA-AC3A-C7C901918946}">
  <dimension ref="A1:AD1048562"/>
  <sheetViews>
    <sheetView workbookViewId="0">
      <selection activeCell="D7" sqref="D7:D8"/>
    </sheetView>
  </sheetViews>
  <sheetFormatPr defaultRowHeight="15"/>
  <cols>
    <col min="2" max="2" width="19.140625" customWidth="1"/>
    <col min="3" max="3" width="13.28515625" customWidth="1"/>
    <col min="4" max="4" width="15.42578125" customWidth="1"/>
    <col min="5" max="5" width="14.28515625" customWidth="1"/>
    <col min="6" max="6" width="19.28515625" customWidth="1"/>
    <col min="7" max="7" width="16.28515625" customWidth="1"/>
    <col min="8" max="8" width="19.85546875" customWidth="1"/>
  </cols>
  <sheetData>
    <row r="1" spans="1:30" s="74" customFormat="1" ht="31.15" customHeight="1" thickBot="1">
      <c r="A1" s="650" t="s">
        <v>350</v>
      </c>
      <c r="B1" s="651"/>
      <c r="C1" s="652"/>
      <c r="D1" s="653"/>
      <c r="E1" s="578"/>
      <c r="F1" s="156" t="s">
        <v>351</v>
      </c>
      <c r="G1" s="133">
        <v>46279</v>
      </c>
      <c r="H1" s="72"/>
      <c r="I1" s="71"/>
      <c r="J1" s="72"/>
      <c r="K1" s="73"/>
      <c r="L1" s="73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</row>
    <row r="2" spans="1:30" s="97" customFormat="1">
      <c r="A2" s="91" t="s">
        <v>353</v>
      </c>
      <c r="B2" s="92" t="s">
        <v>354</v>
      </c>
      <c r="C2" s="92" t="s">
        <v>356</v>
      </c>
      <c r="D2" s="93" t="s">
        <v>357</v>
      </c>
      <c r="E2" s="94" t="s">
        <v>358</v>
      </c>
      <c r="F2" s="94" t="s">
        <v>359</v>
      </c>
      <c r="G2" s="95" t="s">
        <v>360</v>
      </c>
      <c r="H2" s="76"/>
      <c r="I2" s="96"/>
      <c r="J2" s="76"/>
      <c r="K2" s="96"/>
      <c r="L2" s="9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1:30" s="87" customFormat="1" ht="15" customHeight="1">
      <c r="A3" s="560" t="s">
        <v>1141</v>
      </c>
      <c r="B3" s="111" t="s">
        <v>2008</v>
      </c>
      <c r="C3" s="111" t="s">
        <v>2009</v>
      </c>
      <c r="D3" s="121">
        <v>1158</v>
      </c>
      <c r="E3" s="125">
        <v>46238</v>
      </c>
      <c r="F3" s="509" t="s">
        <v>2010</v>
      </c>
      <c r="G3" s="510" t="s">
        <v>2010</v>
      </c>
      <c r="H3" s="81"/>
      <c r="I3" s="82"/>
      <c r="J3" s="83"/>
      <c r="K3" s="84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</row>
    <row r="4" spans="1:30" s="86" customFormat="1" ht="15" customHeight="1">
      <c r="A4" s="560" t="s">
        <v>1141</v>
      </c>
      <c r="B4" s="111" t="s">
        <v>2011</v>
      </c>
      <c r="C4" s="111" t="s">
        <v>2012</v>
      </c>
      <c r="D4" s="121">
        <v>2666.66</v>
      </c>
      <c r="E4" s="125">
        <v>46238</v>
      </c>
      <c r="F4" s="509" t="s">
        <v>2010</v>
      </c>
      <c r="G4" s="510" t="s">
        <v>2010</v>
      </c>
      <c r="H4" s="77"/>
      <c r="I4" s="78"/>
      <c r="J4" s="79"/>
      <c r="K4" s="80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</row>
    <row r="5" spans="1:30" ht="15.75">
      <c r="A5" s="560" t="s">
        <v>1141</v>
      </c>
      <c r="B5" s="511" t="s">
        <v>2013</v>
      </c>
      <c r="C5" s="111" t="s">
        <v>2014</v>
      </c>
      <c r="D5" s="121">
        <v>1158</v>
      </c>
      <c r="E5" s="125">
        <v>46266</v>
      </c>
      <c r="F5" s="509" t="s">
        <v>2010</v>
      </c>
      <c r="G5" s="510" t="s">
        <v>2010</v>
      </c>
      <c r="H5" s="72"/>
      <c r="I5" s="71"/>
      <c r="J5" s="72"/>
      <c r="K5" s="73"/>
      <c r="L5" s="73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spans="1:30" ht="15" customHeight="1">
      <c r="A6" s="560" t="s">
        <v>1141</v>
      </c>
      <c r="B6" s="511" t="s">
        <v>2015</v>
      </c>
      <c r="C6" s="111" t="s">
        <v>2012</v>
      </c>
      <c r="D6" s="121">
        <v>2666.66</v>
      </c>
      <c r="E6" s="125">
        <v>46266</v>
      </c>
      <c r="F6" s="509" t="s">
        <v>2010</v>
      </c>
      <c r="G6" s="510" t="s">
        <v>2010</v>
      </c>
      <c r="H6" s="72"/>
      <c r="I6" s="71"/>
      <c r="J6" s="72"/>
      <c r="K6" s="73"/>
      <c r="L6" s="73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</row>
    <row r="7" spans="1:30" ht="15.75">
      <c r="A7" s="560" t="s">
        <v>1141</v>
      </c>
      <c r="B7" s="189" t="s">
        <v>2016</v>
      </c>
      <c r="C7" s="111" t="s">
        <v>2014</v>
      </c>
      <c r="D7" s="121">
        <v>1158</v>
      </c>
      <c r="E7" s="125">
        <v>46294</v>
      </c>
      <c r="F7" s="510" t="s">
        <v>2010</v>
      </c>
      <c r="G7" s="510" t="s">
        <v>2010</v>
      </c>
      <c r="H7" s="72"/>
      <c r="I7" s="71"/>
      <c r="J7" s="72"/>
      <c r="K7" s="73"/>
      <c r="L7" s="73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</row>
    <row r="8" spans="1:30" ht="15.75">
      <c r="A8" s="560" t="s">
        <v>1141</v>
      </c>
      <c r="B8" s="111" t="s">
        <v>2017</v>
      </c>
      <c r="C8" s="111" t="s">
        <v>2012</v>
      </c>
      <c r="D8" s="121">
        <v>2666.68</v>
      </c>
      <c r="E8" s="125">
        <v>46294</v>
      </c>
      <c r="F8" s="510" t="s">
        <v>2010</v>
      </c>
      <c r="G8" s="510" t="s">
        <v>2010</v>
      </c>
      <c r="H8" s="72"/>
      <c r="I8" s="71"/>
      <c r="J8" s="72"/>
      <c r="K8" s="73"/>
      <c r="L8" s="73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</row>
    <row r="18" spans="7:7">
      <c r="G18" s="204"/>
    </row>
    <row r="1048562" spans="4:4">
      <c r="D1048562">
        <f>SUM(D1:D1048561)</f>
        <v>11474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9C79-5A84-4E6C-8607-FEC291964848}">
  <dimension ref="C2:M19"/>
  <sheetViews>
    <sheetView topLeftCell="B1" workbookViewId="0">
      <selection activeCell="L19" sqref="L19"/>
    </sheetView>
  </sheetViews>
  <sheetFormatPr defaultRowHeight="15"/>
  <cols>
    <col min="3" max="3" width="22.7109375" customWidth="1"/>
    <col min="7" max="7" width="20.85546875" bestFit="1" customWidth="1"/>
    <col min="11" max="11" width="15" bestFit="1" customWidth="1"/>
    <col min="12" max="12" width="21.42578125" customWidth="1"/>
    <col min="13" max="13" width="12.7109375" customWidth="1"/>
  </cols>
  <sheetData>
    <row r="2" spans="3:13">
      <c r="C2" s="656" t="s">
        <v>2018</v>
      </c>
      <c r="D2" s="656"/>
      <c r="E2" s="656"/>
      <c r="G2" s="656" t="s">
        <v>2019</v>
      </c>
      <c r="H2" s="656"/>
      <c r="I2" s="656"/>
      <c r="K2" s="660" t="s">
        <v>2020</v>
      </c>
      <c r="L2" s="660"/>
    </row>
    <row r="3" spans="3:13">
      <c r="C3" s="656" t="s">
        <v>2021</v>
      </c>
      <c r="D3" s="656"/>
      <c r="E3" s="656"/>
      <c r="G3" s="656" t="s">
        <v>2022</v>
      </c>
      <c r="H3" s="656"/>
      <c r="I3" s="656"/>
      <c r="K3" s="130" t="s">
        <v>2023</v>
      </c>
      <c r="L3" s="137" t="s">
        <v>2024</v>
      </c>
    </row>
    <row r="4" spans="3:13">
      <c r="C4" s="657" t="s">
        <v>2025</v>
      </c>
      <c r="D4" s="658"/>
      <c r="E4" s="659"/>
      <c r="G4" s="657" t="s">
        <v>2026</v>
      </c>
      <c r="H4" s="658"/>
      <c r="I4" s="659"/>
      <c r="K4" s="205">
        <v>46178</v>
      </c>
      <c r="L4" s="137">
        <v>5000</v>
      </c>
    </row>
    <row r="5" spans="3:13">
      <c r="C5" s="656" t="s">
        <v>2027</v>
      </c>
      <c r="D5" s="656"/>
      <c r="E5" s="656"/>
      <c r="G5" s="656" t="s">
        <v>2028</v>
      </c>
      <c r="H5" s="656"/>
      <c r="I5" s="656"/>
      <c r="K5" s="205">
        <v>46192</v>
      </c>
      <c r="L5" s="137">
        <v>3000</v>
      </c>
      <c r="M5" t="s">
        <v>2029</v>
      </c>
    </row>
    <row r="6" spans="3:13">
      <c r="C6" s="562"/>
      <c r="D6" s="562"/>
      <c r="E6" s="562"/>
      <c r="G6" s="657" t="s">
        <v>2030</v>
      </c>
      <c r="H6" s="658"/>
      <c r="I6" s="659"/>
      <c r="K6" s="205">
        <v>46209</v>
      </c>
      <c r="L6" s="137">
        <v>7502</v>
      </c>
      <c r="M6" t="s">
        <v>2031</v>
      </c>
    </row>
    <row r="7" spans="3:13">
      <c r="C7" s="129" t="s">
        <v>2032</v>
      </c>
      <c r="D7" s="654">
        <v>0</v>
      </c>
      <c r="E7" s="654"/>
      <c r="G7" s="129" t="s">
        <v>2032</v>
      </c>
      <c r="H7" s="654">
        <v>0</v>
      </c>
      <c r="I7" s="654"/>
      <c r="K7" s="206" t="s">
        <v>2033</v>
      </c>
      <c r="L7" s="207">
        <f>SUM(L5:L6)</f>
        <v>10502</v>
      </c>
    </row>
    <row r="8" spans="3:13">
      <c r="C8" s="130" t="s">
        <v>2034</v>
      </c>
      <c r="D8" s="654">
        <v>0</v>
      </c>
      <c r="E8" s="654"/>
      <c r="G8" s="130" t="s">
        <v>2034</v>
      </c>
      <c r="H8" s="654">
        <v>0</v>
      </c>
      <c r="I8" s="654"/>
      <c r="K8" s="205"/>
      <c r="L8" s="137"/>
    </row>
    <row r="9" spans="3:13">
      <c r="C9" s="130" t="s">
        <v>2035</v>
      </c>
      <c r="D9" s="654">
        <v>0</v>
      </c>
      <c r="E9" s="654"/>
      <c r="G9" s="130" t="s">
        <v>2035</v>
      </c>
      <c r="H9" s="654">
        <v>0</v>
      </c>
      <c r="I9" s="654"/>
      <c r="K9" s="205">
        <v>46223</v>
      </c>
      <c r="L9" s="137">
        <v>3000</v>
      </c>
      <c r="M9" t="s">
        <v>2029</v>
      </c>
    </row>
    <row r="10" spans="3:13">
      <c r="C10" s="129" t="s">
        <v>2036</v>
      </c>
      <c r="D10" s="654">
        <v>0</v>
      </c>
      <c r="E10" s="654"/>
      <c r="G10" s="129" t="s">
        <v>2036</v>
      </c>
      <c r="H10" s="654">
        <v>0</v>
      </c>
      <c r="I10" s="654"/>
      <c r="K10" s="205">
        <v>46240</v>
      </c>
      <c r="L10" s="137">
        <v>9252</v>
      </c>
      <c r="M10" t="s">
        <v>2031</v>
      </c>
    </row>
    <row r="11" spans="3:13">
      <c r="C11" s="129" t="s">
        <v>2037</v>
      </c>
      <c r="D11" s="654">
        <f>3352/30*10</f>
        <v>1117.3333333333333</v>
      </c>
      <c r="E11" s="654"/>
      <c r="G11" s="129" t="s">
        <v>2038</v>
      </c>
      <c r="H11" s="654">
        <f>3552/30*8</f>
        <v>947.2</v>
      </c>
      <c r="I11" s="654"/>
      <c r="K11" s="205">
        <v>46241</v>
      </c>
      <c r="L11" s="137">
        <v>150</v>
      </c>
      <c r="M11" t="s">
        <v>2031</v>
      </c>
    </row>
    <row r="12" spans="3:13">
      <c r="C12" s="129" t="s">
        <v>2039</v>
      </c>
      <c r="D12" s="654">
        <f>3352/12*4</f>
        <v>1117.3333333333333</v>
      </c>
      <c r="E12" s="654"/>
      <c r="G12" s="129" t="s">
        <v>2039</v>
      </c>
      <c r="H12" s="654">
        <f>3552/12*3</f>
        <v>888</v>
      </c>
      <c r="I12" s="654"/>
      <c r="K12" s="206" t="s">
        <v>2040</v>
      </c>
      <c r="L12" s="207">
        <f>SUM(L9:L11)</f>
        <v>12402</v>
      </c>
    </row>
    <row r="13" spans="3:13">
      <c r="C13" s="129" t="s">
        <v>2041</v>
      </c>
      <c r="D13" s="654">
        <f>372.44</f>
        <v>372.44</v>
      </c>
      <c r="E13" s="654"/>
      <c r="G13" s="129" t="s">
        <v>2041</v>
      </c>
      <c r="H13" s="654">
        <f>H12/3</f>
        <v>296</v>
      </c>
      <c r="I13" s="654"/>
      <c r="K13" s="205"/>
      <c r="L13" s="137"/>
    </row>
    <row r="14" spans="3:13">
      <c r="C14" s="129" t="s">
        <v>2042</v>
      </c>
      <c r="D14" s="654">
        <f>3352/12*4</f>
        <v>1117.3333333333333</v>
      </c>
      <c r="E14" s="654"/>
      <c r="G14" s="129" t="s">
        <v>2042</v>
      </c>
      <c r="H14" s="654">
        <f>3552/12*3</f>
        <v>888</v>
      </c>
      <c r="I14" s="654"/>
      <c r="K14" s="205">
        <v>46254</v>
      </c>
      <c r="L14" s="137">
        <v>3000</v>
      </c>
      <c r="M14" t="s">
        <v>2029</v>
      </c>
    </row>
    <row r="15" spans="3:13" ht="30">
      <c r="C15" s="131" t="s">
        <v>2043</v>
      </c>
      <c r="D15" s="655">
        <f>SUM(D11:E13)</f>
        <v>2607.1066666666666</v>
      </c>
      <c r="E15" s="655"/>
      <c r="G15" s="131" t="s">
        <v>2043</v>
      </c>
      <c r="H15" s="655">
        <f>SUM(H11:I12)</f>
        <v>1835.2</v>
      </c>
      <c r="I15" s="655"/>
      <c r="K15" s="205">
        <v>46269</v>
      </c>
      <c r="L15" s="137">
        <v>2448</v>
      </c>
      <c r="M15" t="s">
        <v>2031</v>
      </c>
    </row>
    <row r="16" spans="3:13" ht="35.450000000000003" customHeight="1">
      <c r="C16" s="131" t="s">
        <v>2044</v>
      </c>
      <c r="D16" s="655">
        <f>SUM(D11:E14)</f>
        <v>3724.4399999999996</v>
      </c>
      <c r="E16" s="655"/>
      <c r="G16" s="131" t="s">
        <v>2044</v>
      </c>
      <c r="H16" s="655">
        <f>SUM(H11:I14)</f>
        <v>3019.2</v>
      </c>
      <c r="I16" s="655"/>
      <c r="K16" s="205">
        <v>46270</v>
      </c>
      <c r="L16" s="137">
        <v>6426.58</v>
      </c>
      <c r="M16" t="s">
        <v>2031</v>
      </c>
    </row>
    <row r="17" spans="7:12">
      <c r="G17" s="131" t="s">
        <v>2045</v>
      </c>
      <c r="H17" s="655">
        <v>852.48</v>
      </c>
      <c r="I17" s="655"/>
      <c r="K17" s="208" t="s">
        <v>2046</v>
      </c>
      <c r="L17" s="209">
        <f>SUM(L14:L16)</f>
        <v>11874.58</v>
      </c>
    </row>
    <row r="18" spans="7:12">
      <c r="G18" s="131" t="s">
        <v>2047</v>
      </c>
      <c r="H18" s="655">
        <v>341</v>
      </c>
      <c r="I18" s="655"/>
    </row>
    <row r="19" spans="7:12">
      <c r="G19" s="131" t="s">
        <v>2048</v>
      </c>
      <c r="H19" s="655">
        <f>SUM(H16:I18)</f>
        <v>4212.68</v>
      </c>
      <c r="I19" s="655"/>
    </row>
  </sheetData>
  <mergeCells count="33">
    <mergeCell ref="K2:L2"/>
    <mergeCell ref="H17:I17"/>
    <mergeCell ref="H18:I18"/>
    <mergeCell ref="D16:E16"/>
    <mergeCell ref="C4:E4"/>
    <mergeCell ref="D10:E10"/>
    <mergeCell ref="D11:E11"/>
    <mergeCell ref="D12:E12"/>
    <mergeCell ref="D13:E13"/>
    <mergeCell ref="D14:E14"/>
    <mergeCell ref="D15:E15"/>
    <mergeCell ref="D9:E9"/>
    <mergeCell ref="C2:E2"/>
    <mergeCell ref="C3:E3"/>
    <mergeCell ref="C5:E5"/>
    <mergeCell ref="D7:E7"/>
    <mergeCell ref="D8:E8"/>
    <mergeCell ref="G2:I2"/>
    <mergeCell ref="G3:I3"/>
    <mergeCell ref="G4:I4"/>
    <mergeCell ref="G5:I5"/>
    <mergeCell ref="H7:I7"/>
    <mergeCell ref="G6:I6"/>
    <mergeCell ref="H8:I8"/>
    <mergeCell ref="H9:I9"/>
    <mergeCell ref="H10:I10"/>
    <mergeCell ref="H11:I11"/>
    <mergeCell ref="H12:I12"/>
    <mergeCell ref="H19:I19"/>
    <mergeCell ref="H13:I13"/>
    <mergeCell ref="H14:I14"/>
    <mergeCell ref="H15:I15"/>
    <mergeCell ref="H16:I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8F8C-0378-4184-BD9C-67298A99617A}">
  <dimension ref="A1:K27"/>
  <sheetViews>
    <sheetView workbookViewId="0">
      <selection sqref="A1:M27"/>
    </sheetView>
  </sheetViews>
  <sheetFormatPr defaultRowHeight="15"/>
  <cols>
    <col min="2" max="2" width="11.85546875" style="35" bestFit="1" customWidth="1"/>
    <col min="3" max="3" width="18.140625" style="35" customWidth="1"/>
    <col min="6" max="6" width="10.7109375" customWidth="1"/>
    <col min="7" max="7" width="17.28515625" customWidth="1"/>
    <col min="10" max="10" width="10.42578125" customWidth="1"/>
    <col min="11" max="11" width="18" bestFit="1" customWidth="1"/>
  </cols>
  <sheetData>
    <row r="1" spans="1:11">
      <c r="A1" s="130" t="s">
        <v>2049</v>
      </c>
      <c r="B1" s="137">
        <v>1699</v>
      </c>
    </row>
    <row r="2" spans="1:11">
      <c r="A2" s="190" t="s">
        <v>2050</v>
      </c>
      <c r="B2" s="190" t="s">
        <v>2024</v>
      </c>
      <c r="C2" s="190" t="s">
        <v>2051</v>
      </c>
      <c r="E2" s="190" t="s">
        <v>2050</v>
      </c>
      <c r="F2" s="190" t="s">
        <v>2024</v>
      </c>
      <c r="G2" s="190" t="s">
        <v>2051</v>
      </c>
      <c r="I2" s="190" t="s">
        <v>2050</v>
      </c>
      <c r="J2" s="190" t="s">
        <v>2024</v>
      </c>
      <c r="K2" s="190" t="s">
        <v>2051</v>
      </c>
    </row>
    <row r="3" spans="1:11">
      <c r="A3" s="155">
        <v>1</v>
      </c>
      <c r="B3" s="137">
        <v>547.12</v>
      </c>
      <c r="C3" s="137"/>
      <c r="E3" s="155">
        <v>26</v>
      </c>
      <c r="F3" s="137">
        <v>547.12</v>
      </c>
      <c r="G3" s="130"/>
      <c r="I3" s="130">
        <v>51</v>
      </c>
      <c r="J3" s="137">
        <v>547.12</v>
      </c>
      <c r="K3" s="130"/>
    </row>
    <row r="4" spans="1:11">
      <c r="A4" s="155">
        <v>2</v>
      </c>
      <c r="B4" s="137">
        <v>547.12</v>
      </c>
      <c r="C4" s="137"/>
      <c r="E4" s="155">
        <v>27</v>
      </c>
      <c r="F4" s="137">
        <v>547.12</v>
      </c>
      <c r="G4" s="130"/>
      <c r="I4" s="130">
        <v>52</v>
      </c>
      <c r="J4" s="137">
        <v>547.12</v>
      </c>
      <c r="K4" s="130"/>
    </row>
    <row r="5" spans="1:11">
      <c r="A5" s="155">
        <v>3</v>
      </c>
      <c r="B5" s="137">
        <v>547.12</v>
      </c>
      <c r="C5" s="137"/>
      <c r="E5" s="155">
        <v>28</v>
      </c>
      <c r="F5" s="137">
        <v>547.12</v>
      </c>
      <c r="G5" s="130"/>
      <c r="I5" s="130">
        <v>53</v>
      </c>
      <c r="J5" s="137">
        <v>547.12</v>
      </c>
      <c r="K5" s="130"/>
    </row>
    <row r="6" spans="1:11">
      <c r="A6" s="155">
        <v>4</v>
      </c>
      <c r="B6" s="137">
        <v>547.12</v>
      </c>
      <c r="C6" s="137"/>
      <c r="E6" s="155">
        <v>29</v>
      </c>
      <c r="F6" s="137">
        <v>547.12</v>
      </c>
      <c r="G6" s="130"/>
      <c r="I6" s="130">
        <v>54</v>
      </c>
      <c r="J6" s="137">
        <v>547.12</v>
      </c>
      <c r="K6" s="130"/>
    </row>
    <row r="7" spans="1:11">
      <c r="A7" s="155">
        <v>5</v>
      </c>
      <c r="B7" s="137">
        <v>547.12</v>
      </c>
      <c r="C7" s="137"/>
      <c r="E7" s="155">
        <v>30</v>
      </c>
      <c r="F7" s="137">
        <v>547.12</v>
      </c>
      <c r="G7" s="130"/>
      <c r="I7" s="130">
        <v>55</v>
      </c>
      <c r="J7" s="137">
        <v>547.12</v>
      </c>
      <c r="K7" s="130"/>
    </row>
    <row r="8" spans="1:11">
      <c r="A8" s="155">
        <v>6</v>
      </c>
      <c r="B8" s="137">
        <v>547.12</v>
      </c>
      <c r="C8" s="137"/>
      <c r="E8" s="155">
        <v>31</v>
      </c>
      <c r="F8" s="137">
        <v>547.12</v>
      </c>
      <c r="G8" s="130"/>
      <c r="I8" s="130">
        <v>56</v>
      </c>
      <c r="J8" s="137">
        <v>547.12</v>
      </c>
      <c r="K8" s="130"/>
    </row>
    <row r="9" spans="1:11">
      <c r="A9" s="155">
        <v>7</v>
      </c>
      <c r="B9" s="137">
        <v>547.12</v>
      </c>
      <c r="C9" s="137"/>
      <c r="E9" s="155">
        <v>32</v>
      </c>
      <c r="F9" s="137">
        <v>547.12</v>
      </c>
      <c r="G9" s="130"/>
      <c r="I9" s="130">
        <v>57</v>
      </c>
      <c r="J9" s="137">
        <v>547.12</v>
      </c>
      <c r="K9" s="130"/>
    </row>
    <row r="10" spans="1:11">
      <c r="A10" s="155">
        <v>8</v>
      </c>
      <c r="B10" s="137">
        <v>547.12</v>
      </c>
      <c r="C10" s="137"/>
      <c r="E10" s="155">
        <v>33</v>
      </c>
      <c r="F10" s="137">
        <v>547.12</v>
      </c>
      <c r="G10" s="130"/>
      <c r="I10" s="130">
        <v>58</v>
      </c>
      <c r="J10" s="137">
        <v>547.12</v>
      </c>
      <c r="K10" s="130"/>
    </row>
    <row r="11" spans="1:11">
      <c r="A11" s="155">
        <v>9</v>
      </c>
      <c r="B11" s="137">
        <v>547.12</v>
      </c>
      <c r="C11" s="137"/>
      <c r="E11" s="155">
        <v>34</v>
      </c>
      <c r="F11" s="137">
        <v>547.12</v>
      </c>
      <c r="G11" s="130"/>
      <c r="I11" s="130">
        <v>59</v>
      </c>
      <c r="J11" s="137">
        <v>547.12</v>
      </c>
      <c r="K11" s="130"/>
    </row>
    <row r="12" spans="1:11">
      <c r="A12" s="155">
        <v>10</v>
      </c>
      <c r="B12" s="137">
        <v>547.12</v>
      </c>
      <c r="C12" s="137"/>
      <c r="E12" s="155">
        <v>35</v>
      </c>
      <c r="F12" s="137">
        <v>547.12</v>
      </c>
      <c r="G12" s="130"/>
      <c r="J12" s="98"/>
    </row>
    <row r="13" spans="1:11">
      <c r="A13" s="155">
        <v>11</v>
      </c>
      <c r="B13" s="137">
        <v>547.12</v>
      </c>
      <c r="C13" s="137"/>
      <c r="E13" s="155">
        <v>36</v>
      </c>
      <c r="F13" s="137">
        <v>547.12</v>
      </c>
      <c r="G13" s="130"/>
      <c r="J13" s="98"/>
    </row>
    <row r="14" spans="1:11">
      <c r="A14" s="155">
        <v>12</v>
      </c>
      <c r="B14" s="137">
        <v>547.12</v>
      </c>
      <c r="C14" s="137"/>
      <c r="E14" s="155">
        <v>37</v>
      </c>
      <c r="F14" s="137">
        <v>547.12</v>
      </c>
      <c r="G14" s="130"/>
      <c r="J14" s="98"/>
    </row>
    <row r="15" spans="1:11">
      <c r="A15" s="155">
        <v>13</v>
      </c>
      <c r="B15" s="137">
        <v>547.12</v>
      </c>
      <c r="C15" s="137"/>
      <c r="E15" s="155">
        <v>38</v>
      </c>
      <c r="F15" s="137">
        <v>547.12</v>
      </c>
      <c r="G15" s="130"/>
    </row>
    <row r="16" spans="1:11">
      <c r="A16" s="155">
        <v>14</v>
      </c>
      <c r="B16" s="137">
        <v>547.12</v>
      </c>
      <c r="C16" s="137"/>
      <c r="E16" s="155">
        <v>39</v>
      </c>
      <c r="F16" s="137">
        <v>547.12</v>
      </c>
      <c r="G16" s="130"/>
    </row>
    <row r="17" spans="1:7">
      <c r="A17" s="155">
        <v>15</v>
      </c>
      <c r="B17" s="137">
        <v>547.12</v>
      </c>
      <c r="C17" s="137"/>
      <c r="E17" s="155">
        <v>40</v>
      </c>
      <c r="F17" s="137">
        <v>547.12</v>
      </c>
      <c r="G17" s="130"/>
    </row>
    <row r="18" spans="1:7">
      <c r="A18" s="155">
        <v>16</v>
      </c>
      <c r="B18" s="137">
        <v>547.12</v>
      </c>
      <c r="C18" s="137"/>
      <c r="E18" s="155">
        <v>41</v>
      </c>
      <c r="F18" s="137">
        <v>547.12</v>
      </c>
      <c r="G18" s="130"/>
    </row>
    <row r="19" spans="1:7">
      <c r="A19" s="155">
        <v>17</v>
      </c>
      <c r="B19" s="137">
        <v>547.12</v>
      </c>
      <c r="C19" s="137"/>
      <c r="E19" s="155">
        <v>42</v>
      </c>
      <c r="F19" s="137">
        <v>547.12</v>
      </c>
      <c r="G19" s="130"/>
    </row>
    <row r="20" spans="1:7">
      <c r="A20" s="155">
        <v>18</v>
      </c>
      <c r="B20" s="137">
        <v>547.12</v>
      </c>
      <c r="C20" s="137"/>
      <c r="E20" s="155">
        <v>43</v>
      </c>
      <c r="F20" s="137">
        <v>547.12</v>
      </c>
      <c r="G20" s="130"/>
    </row>
    <row r="21" spans="1:7">
      <c r="A21" s="155">
        <v>19</v>
      </c>
      <c r="B21" s="137">
        <v>547.12</v>
      </c>
      <c r="C21" s="137"/>
      <c r="E21" s="155">
        <v>44</v>
      </c>
      <c r="F21" s="137">
        <v>547.12</v>
      </c>
      <c r="G21" s="130"/>
    </row>
    <row r="22" spans="1:7">
      <c r="A22" s="155">
        <v>20</v>
      </c>
      <c r="B22" s="137">
        <v>547.12</v>
      </c>
      <c r="C22" s="137"/>
      <c r="E22" s="155">
        <v>45</v>
      </c>
      <c r="F22" s="137">
        <v>547.12</v>
      </c>
      <c r="G22" s="130"/>
    </row>
    <row r="23" spans="1:7">
      <c r="A23" s="155">
        <v>21</v>
      </c>
      <c r="B23" s="137">
        <v>547.12</v>
      </c>
      <c r="C23" s="137"/>
      <c r="E23" s="155">
        <v>46</v>
      </c>
      <c r="F23" s="137">
        <v>547.12</v>
      </c>
      <c r="G23" s="130"/>
    </row>
    <row r="24" spans="1:7">
      <c r="A24" s="155">
        <v>22</v>
      </c>
      <c r="B24" s="137">
        <v>547.12</v>
      </c>
      <c r="C24" s="137"/>
      <c r="E24" s="155">
        <v>47</v>
      </c>
      <c r="F24" s="137">
        <v>547.12</v>
      </c>
      <c r="G24" s="130"/>
    </row>
    <row r="25" spans="1:7">
      <c r="A25" s="155">
        <v>23</v>
      </c>
      <c r="B25" s="137">
        <v>547.12</v>
      </c>
      <c r="C25" s="137"/>
      <c r="E25" s="155">
        <v>48</v>
      </c>
      <c r="F25" s="137">
        <v>547.12</v>
      </c>
      <c r="G25" s="130"/>
    </row>
    <row r="26" spans="1:7">
      <c r="A26" s="155">
        <v>24</v>
      </c>
      <c r="B26" s="137">
        <v>547.12</v>
      </c>
      <c r="C26" s="137"/>
      <c r="E26" s="155">
        <v>49</v>
      </c>
      <c r="F26" s="137">
        <v>547.12</v>
      </c>
      <c r="G26" s="130"/>
    </row>
    <row r="27" spans="1:7">
      <c r="A27" s="155">
        <v>25</v>
      </c>
      <c r="B27" s="137">
        <v>547.12</v>
      </c>
      <c r="C27" s="137"/>
      <c r="E27" s="155">
        <v>50</v>
      </c>
      <c r="F27" s="137">
        <v>547.12</v>
      </c>
      <c r="G27" s="130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07B1-BE1D-4454-81DD-F94CBA91BD88}">
  <dimension ref="A1:U62"/>
  <sheetViews>
    <sheetView workbookViewId="0">
      <selection activeCell="A54" sqref="A54"/>
    </sheetView>
  </sheetViews>
  <sheetFormatPr defaultRowHeight="15"/>
  <cols>
    <col min="1" max="1" width="72.140625" style="34" customWidth="1"/>
    <col min="2" max="2" width="14.7109375" style="4" bestFit="1" customWidth="1"/>
    <col min="3" max="3" width="23.42578125" style="4" customWidth="1"/>
    <col min="4" max="4" width="10.42578125" style="4" customWidth="1"/>
    <col min="5" max="5" width="17" style="35" customWidth="1"/>
    <col min="6" max="6" width="19" style="4" customWidth="1"/>
    <col min="7" max="7" width="13.5703125" style="4" customWidth="1"/>
    <col min="8" max="8" width="16.7109375" style="2" customWidth="1"/>
    <col min="9" max="9" width="12.7109375" style="2" customWidth="1"/>
    <col min="10" max="10" width="11.85546875" bestFit="1" customWidth="1"/>
    <col min="11" max="11" width="2.42578125" customWidth="1"/>
    <col min="12" max="12" width="11" bestFit="1" customWidth="1"/>
    <col min="13" max="13" width="5.42578125" bestFit="1" customWidth="1"/>
    <col min="14" max="14" width="2.7109375" customWidth="1"/>
    <col min="15" max="15" width="49" style="26" customWidth="1"/>
    <col min="16" max="16" width="71" style="2" customWidth="1"/>
    <col min="17" max="17" width="10.5703125" style="2" customWidth="1"/>
    <col min="18" max="18" width="136.5703125" style="1" bestFit="1" customWidth="1"/>
    <col min="19" max="19" width="14.28515625" style="1" bestFit="1" customWidth="1"/>
    <col min="20" max="21" width="12.7109375" style="1" customWidth="1"/>
  </cols>
  <sheetData>
    <row r="1" spans="1:21" ht="24" thickBot="1">
      <c r="A1" s="592" t="s">
        <v>213</v>
      </c>
      <c r="B1" s="592"/>
      <c r="C1" s="592"/>
      <c r="D1" s="592"/>
      <c r="E1" s="592"/>
      <c r="F1" s="592"/>
      <c r="G1" s="592"/>
      <c r="H1" s="593"/>
      <c r="I1" s="12" t="s">
        <v>1</v>
      </c>
      <c r="J1" s="13">
        <f ca="1">TODAY()</f>
        <v>46318</v>
      </c>
      <c r="K1" s="7"/>
      <c r="L1" s="594" t="s">
        <v>2</v>
      </c>
      <c r="M1" s="595"/>
      <c r="O1" s="594"/>
      <c r="P1" s="595"/>
    </row>
    <row r="2" spans="1:21" ht="15.75" thickBot="1">
      <c r="A2" s="29" t="s">
        <v>214</v>
      </c>
      <c r="B2" s="9" t="s">
        <v>215</v>
      </c>
      <c r="C2" s="9" t="s">
        <v>2052</v>
      </c>
      <c r="D2" s="9" t="s">
        <v>216</v>
      </c>
      <c r="E2" s="30" t="s">
        <v>6</v>
      </c>
      <c r="F2" s="9" t="s">
        <v>217</v>
      </c>
      <c r="G2" s="9" t="s">
        <v>2053</v>
      </c>
      <c r="H2" s="10" t="s">
        <v>2054</v>
      </c>
      <c r="I2" s="10" t="s">
        <v>8</v>
      </c>
      <c r="J2" s="11" t="s">
        <v>9</v>
      </c>
      <c r="K2" s="6"/>
      <c r="L2" s="596" t="s">
        <v>10</v>
      </c>
      <c r="M2" s="597"/>
      <c r="O2" s="598" t="s">
        <v>11</v>
      </c>
      <c r="P2" s="599"/>
      <c r="Q2" s="5"/>
      <c r="R2" s="5"/>
      <c r="S2" s="5"/>
      <c r="T2" s="5"/>
      <c r="U2" s="5"/>
    </row>
    <row r="3" spans="1:21" ht="15.75">
      <c r="A3" s="460" t="s">
        <v>219</v>
      </c>
      <c r="B3" s="512" t="s">
        <v>220</v>
      </c>
      <c r="C3" s="512">
        <v>84</v>
      </c>
      <c r="D3" s="138" t="s">
        <v>221</v>
      </c>
      <c r="E3" s="139">
        <v>5600</v>
      </c>
      <c r="F3" s="471" t="s">
        <v>222</v>
      </c>
      <c r="G3" s="471"/>
      <c r="H3" s="447">
        <v>46200</v>
      </c>
      <c r="I3" s="447">
        <v>46204</v>
      </c>
      <c r="J3" s="449"/>
      <c r="K3" s="14"/>
      <c r="L3" s="450"/>
      <c r="M3" s="451"/>
      <c r="N3" s="14"/>
      <c r="O3" s="535"/>
      <c r="P3" s="535"/>
      <c r="U3"/>
    </row>
    <row r="4" spans="1:21" ht="15.75">
      <c r="A4" s="460" t="s">
        <v>219</v>
      </c>
      <c r="B4" s="512" t="s">
        <v>223</v>
      </c>
      <c r="C4" s="512">
        <v>85</v>
      </c>
      <c r="D4" s="138" t="s">
        <v>224</v>
      </c>
      <c r="E4" s="139">
        <v>5600.01</v>
      </c>
      <c r="F4" s="471" t="s">
        <v>222</v>
      </c>
      <c r="G4" s="471"/>
      <c r="H4" s="447">
        <v>46200</v>
      </c>
      <c r="I4" s="447">
        <v>46204</v>
      </c>
      <c r="J4" s="449"/>
      <c r="K4" s="14"/>
      <c r="L4" s="450"/>
      <c r="M4" s="451"/>
      <c r="N4" s="14"/>
      <c r="O4" s="535"/>
      <c r="P4" s="535"/>
      <c r="U4"/>
    </row>
    <row r="5" spans="1:21" ht="15.75">
      <c r="A5" s="460" t="s">
        <v>219</v>
      </c>
      <c r="B5" s="512" t="s">
        <v>225</v>
      </c>
      <c r="C5" s="512">
        <v>86</v>
      </c>
      <c r="D5" s="138" t="s">
        <v>226</v>
      </c>
      <c r="E5" s="139">
        <v>5600.02</v>
      </c>
      <c r="F5" s="471" t="s">
        <v>222</v>
      </c>
      <c r="G5" s="471"/>
      <c r="H5" s="447">
        <v>46201</v>
      </c>
      <c r="I5" s="447">
        <v>46204</v>
      </c>
      <c r="J5" s="449"/>
      <c r="K5" s="14"/>
      <c r="L5" s="450"/>
      <c r="M5" s="451"/>
      <c r="N5" s="14"/>
      <c r="O5" s="535"/>
      <c r="P5" s="535"/>
      <c r="U5"/>
    </row>
    <row r="6" spans="1:21" ht="15" customHeight="1">
      <c r="A6" s="460" t="s">
        <v>227</v>
      </c>
      <c r="B6" s="512" t="s">
        <v>228</v>
      </c>
      <c r="C6" s="512">
        <v>87</v>
      </c>
      <c r="D6" s="138" t="s">
        <v>229</v>
      </c>
      <c r="E6" s="139">
        <v>5460</v>
      </c>
      <c r="F6" s="471" t="s">
        <v>222</v>
      </c>
      <c r="G6" s="471"/>
      <c r="H6" s="447">
        <v>46203</v>
      </c>
      <c r="I6" s="447">
        <v>46204</v>
      </c>
      <c r="J6" s="449"/>
      <c r="K6" s="14"/>
      <c r="L6" s="450"/>
      <c r="M6" s="451"/>
      <c r="N6" s="14"/>
      <c r="O6" s="536" t="s">
        <v>230</v>
      </c>
      <c r="P6" s="535"/>
      <c r="U6"/>
    </row>
    <row r="7" spans="1:21" s="68" customFormat="1" ht="15.75">
      <c r="A7" s="513" t="s">
        <v>227</v>
      </c>
      <c r="B7" s="514" t="s">
        <v>228</v>
      </c>
      <c r="C7" s="514">
        <v>87</v>
      </c>
      <c r="D7" s="514" t="s">
        <v>229</v>
      </c>
      <c r="E7" s="139">
        <v>2340</v>
      </c>
      <c r="F7" s="471" t="s">
        <v>231</v>
      </c>
      <c r="G7" s="471"/>
      <c r="H7" s="515">
        <v>46203</v>
      </c>
      <c r="I7" s="515">
        <v>46206</v>
      </c>
      <c r="J7" s="449"/>
      <c r="K7" s="65"/>
      <c r="L7" s="516"/>
      <c r="M7" s="517"/>
      <c r="N7" s="65"/>
      <c r="O7" s="518"/>
      <c r="P7" s="518"/>
      <c r="Q7" s="66"/>
      <c r="R7" s="67"/>
      <c r="S7" s="67"/>
      <c r="T7" s="67"/>
    </row>
    <row r="8" spans="1:21" ht="15.75">
      <c r="A8" s="460" t="s">
        <v>219</v>
      </c>
      <c r="B8" s="138" t="s">
        <v>232</v>
      </c>
      <c r="C8" s="138">
        <v>88</v>
      </c>
      <c r="D8" s="138" t="s">
        <v>233</v>
      </c>
      <c r="E8" s="139">
        <v>5600</v>
      </c>
      <c r="F8" s="471" t="s">
        <v>222</v>
      </c>
      <c r="G8" s="471"/>
      <c r="H8" s="447">
        <v>46203</v>
      </c>
      <c r="I8" s="447">
        <v>46204</v>
      </c>
      <c r="J8" s="449"/>
      <c r="K8" s="14"/>
      <c r="L8" s="450"/>
      <c r="M8" s="451"/>
      <c r="N8" s="14"/>
      <c r="O8" s="535"/>
      <c r="P8" s="535"/>
      <c r="U8"/>
    </row>
    <row r="9" spans="1:21" ht="15.75">
      <c r="A9" s="460" t="s">
        <v>219</v>
      </c>
      <c r="B9" s="138" t="s">
        <v>232</v>
      </c>
      <c r="C9" s="138">
        <v>88</v>
      </c>
      <c r="D9" s="138" t="s">
        <v>233</v>
      </c>
      <c r="E9" s="139">
        <v>2400</v>
      </c>
      <c r="F9" s="471" t="s">
        <v>9</v>
      </c>
      <c r="G9" s="471"/>
      <c r="H9" s="447">
        <v>46203</v>
      </c>
      <c r="I9" s="515">
        <v>46205</v>
      </c>
      <c r="J9" s="449"/>
      <c r="K9" s="14"/>
      <c r="L9" s="450"/>
      <c r="M9" s="451"/>
      <c r="N9" s="14"/>
      <c r="O9" s="535"/>
      <c r="P9" s="535"/>
      <c r="U9"/>
    </row>
    <row r="10" spans="1:21" ht="15.75">
      <c r="A10" s="460" t="s">
        <v>219</v>
      </c>
      <c r="B10" s="138" t="s">
        <v>234</v>
      </c>
      <c r="C10" s="138">
        <v>89</v>
      </c>
      <c r="D10" s="138" t="s">
        <v>235</v>
      </c>
      <c r="E10" s="139">
        <v>5600.04</v>
      </c>
      <c r="F10" s="471" t="s">
        <v>222</v>
      </c>
      <c r="G10" s="471"/>
      <c r="H10" s="447">
        <v>46203</v>
      </c>
      <c r="I10" s="447">
        <v>46204</v>
      </c>
      <c r="J10" s="449"/>
      <c r="K10" s="14"/>
      <c r="L10" s="450"/>
      <c r="M10" s="451"/>
      <c r="N10" s="14"/>
      <c r="O10" s="535"/>
      <c r="P10" s="535"/>
      <c r="U10"/>
    </row>
    <row r="11" spans="1:21" ht="15.75">
      <c r="A11" s="460" t="s">
        <v>219</v>
      </c>
      <c r="B11" s="138" t="s">
        <v>234</v>
      </c>
      <c r="C11" s="138">
        <v>89</v>
      </c>
      <c r="D11" s="138" t="s">
        <v>235</v>
      </c>
      <c r="E11" s="139">
        <v>2400</v>
      </c>
      <c r="F11" s="471" t="s">
        <v>231</v>
      </c>
      <c r="G11" s="471"/>
      <c r="H11" s="447">
        <v>46203</v>
      </c>
      <c r="I11" s="515">
        <v>46205</v>
      </c>
      <c r="J11" s="449"/>
      <c r="K11" s="14"/>
      <c r="L11" s="450"/>
      <c r="M11" s="451"/>
      <c r="N11" s="14"/>
      <c r="O11" s="535"/>
      <c r="P11" s="535"/>
      <c r="U11"/>
    </row>
    <row r="12" spans="1:21" ht="15.75">
      <c r="A12" s="460" t="s">
        <v>219</v>
      </c>
      <c r="B12" s="138" t="s">
        <v>236</v>
      </c>
      <c r="C12" s="519">
        <v>90</v>
      </c>
      <c r="D12" s="138" t="s">
        <v>237</v>
      </c>
      <c r="E12" s="139">
        <v>2400</v>
      </c>
      <c r="F12" s="471" t="s">
        <v>231</v>
      </c>
      <c r="G12" s="471"/>
      <c r="H12" s="447">
        <v>46204</v>
      </c>
      <c r="I12" s="447">
        <v>46209</v>
      </c>
      <c r="J12" s="449"/>
      <c r="K12" s="14"/>
      <c r="L12" s="450"/>
      <c r="M12" s="451"/>
      <c r="N12" s="14"/>
      <c r="O12" s="535"/>
      <c r="P12" s="535"/>
      <c r="U12"/>
    </row>
    <row r="13" spans="1:21" ht="15.75">
      <c r="A13" s="460" t="s">
        <v>219</v>
      </c>
      <c r="B13" s="138" t="s">
        <v>238</v>
      </c>
      <c r="C13" s="138">
        <v>91</v>
      </c>
      <c r="D13" s="138" t="s">
        <v>239</v>
      </c>
      <c r="E13" s="139">
        <v>5600.04</v>
      </c>
      <c r="F13" s="471" t="s">
        <v>222</v>
      </c>
      <c r="G13" s="471"/>
      <c r="H13" s="447">
        <v>46205</v>
      </c>
      <c r="I13" s="515">
        <v>46205</v>
      </c>
      <c r="J13" s="449"/>
      <c r="K13" s="14"/>
      <c r="L13" s="450"/>
      <c r="M13" s="451"/>
      <c r="N13" s="14"/>
      <c r="O13" s="535"/>
      <c r="P13" s="535"/>
      <c r="U13"/>
    </row>
    <row r="14" spans="1:21" ht="15.75">
      <c r="A14" s="460" t="s">
        <v>219</v>
      </c>
      <c r="B14" s="138" t="s">
        <v>238</v>
      </c>
      <c r="C14" s="519">
        <v>91</v>
      </c>
      <c r="D14" s="138" t="s">
        <v>239</v>
      </c>
      <c r="E14" s="139">
        <v>2400</v>
      </c>
      <c r="F14" s="471" t="s">
        <v>231</v>
      </c>
      <c r="G14" s="471"/>
      <c r="H14" s="447">
        <v>46205</v>
      </c>
      <c r="I14" s="447">
        <v>46209</v>
      </c>
      <c r="J14" s="449"/>
      <c r="K14" s="14"/>
      <c r="L14" s="450"/>
      <c r="M14" s="451"/>
      <c r="N14" s="14"/>
      <c r="O14" s="535"/>
      <c r="P14" s="535"/>
      <c r="U14"/>
    </row>
    <row r="15" spans="1:21" ht="15.75">
      <c r="A15" s="460" t="s">
        <v>240</v>
      </c>
      <c r="B15" s="138" t="s">
        <v>241</v>
      </c>
      <c r="C15" s="138"/>
      <c r="D15" s="138" t="s">
        <v>242</v>
      </c>
      <c r="E15" s="139"/>
      <c r="F15" s="471" t="s">
        <v>243</v>
      </c>
      <c r="G15" s="471"/>
      <c r="H15" s="447">
        <v>46205</v>
      </c>
      <c r="I15" s="447"/>
      <c r="J15" s="449"/>
      <c r="K15" s="14"/>
      <c r="L15" s="450"/>
      <c r="M15" s="451"/>
      <c r="N15" s="14"/>
      <c r="O15" s="535"/>
      <c r="P15" s="535"/>
      <c r="U15"/>
    </row>
    <row r="16" spans="1:21" ht="15.75">
      <c r="A16" s="460" t="s">
        <v>244</v>
      </c>
      <c r="B16" s="138" t="s">
        <v>245</v>
      </c>
      <c r="C16" s="138"/>
      <c r="D16" s="138" t="s">
        <v>246</v>
      </c>
      <c r="E16" s="139"/>
      <c r="F16" s="471" t="s">
        <v>243</v>
      </c>
      <c r="G16" s="471"/>
      <c r="H16" s="447">
        <v>46206</v>
      </c>
      <c r="I16" s="447"/>
      <c r="J16" s="449"/>
      <c r="K16" s="14"/>
      <c r="L16" s="450"/>
      <c r="M16" s="451"/>
      <c r="N16" s="14"/>
      <c r="O16" s="535"/>
      <c r="P16" s="535"/>
      <c r="U16"/>
    </row>
    <row r="17" spans="1:21" ht="15.75">
      <c r="A17" s="460" t="s">
        <v>247</v>
      </c>
      <c r="B17" s="138" t="s">
        <v>248</v>
      </c>
      <c r="C17" s="138">
        <v>94</v>
      </c>
      <c r="D17" s="138" t="s">
        <v>249</v>
      </c>
      <c r="E17" s="139">
        <v>5117.1099999999997</v>
      </c>
      <c r="F17" s="471" t="s">
        <v>222</v>
      </c>
      <c r="G17" s="471"/>
      <c r="H17" s="447">
        <v>46206</v>
      </c>
      <c r="I17" s="447">
        <v>46209</v>
      </c>
      <c r="J17" s="449"/>
      <c r="K17" s="14"/>
      <c r="L17" s="450"/>
      <c r="M17" s="451"/>
      <c r="N17" s="14"/>
      <c r="O17" s="535"/>
      <c r="P17" s="535"/>
      <c r="U17"/>
    </row>
    <row r="18" spans="1:21" ht="15.75">
      <c r="A18" s="460" t="s">
        <v>247</v>
      </c>
      <c r="B18" s="138" t="s">
        <v>248</v>
      </c>
      <c r="C18" s="138"/>
      <c r="D18" s="138" t="s">
        <v>249</v>
      </c>
      <c r="E18" s="139">
        <v>2193.0500000000002</v>
      </c>
      <c r="F18" s="471" t="s">
        <v>231</v>
      </c>
      <c r="G18" s="471"/>
      <c r="H18" s="447">
        <v>46206</v>
      </c>
      <c r="I18" s="447">
        <v>46210</v>
      </c>
      <c r="J18" s="449"/>
      <c r="K18" s="14"/>
      <c r="L18" s="450"/>
      <c r="M18" s="451"/>
      <c r="N18" s="14"/>
      <c r="O18" s="535"/>
      <c r="P18" s="535"/>
      <c r="U18"/>
    </row>
    <row r="19" spans="1:21" ht="15.75">
      <c r="A19" s="460" t="s">
        <v>219</v>
      </c>
      <c r="B19" s="138" t="s">
        <v>250</v>
      </c>
      <c r="C19" s="138"/>
      <c r="D19" s="138" t="s">
        <v>251</v>
      </c>
      <c r="E19" s="139">
        <v>5600</v>
      </c>
      <c r="F19" s="471" t="s">
        <v>222</v>
      </c>
      <c r="G19" s="471"/>
      <c r="H19" s="447">
        <v>46209</v>
      </c>
      <c r="I19" s="447">
        <v>46210</v>
      </c>
      <c r="J19" s="449"/>
      <c r="K19" s="14"/>
      <c r="L19" s="450"/>
      <c r="M19" s="451"/>
      <c r="N19" s="14"/>
      <c r="O19" s="535"/>
      <c r="P19" s="535"/>
      <c r="U19"/>
    </row>
    <row r="20" spans="1:21" ht="15.75">
      <c r="A20" s="460" t="s">
        <v>219</v>
      </c>
      <c r="B20" s="138" t="s">
        <v>250</v>
      </c>
      <c r="C20" s="138"/>
      <c r="D20" s="138" t="s">
        <v>251</v>
      </c>
      <c r="E20" s="139">
        <v>2400</v>
      </c>
      <c r="F20" s="471" t="s">
        <v>231</v>
      </c>
      <c r="G20" s="471"/>
      <c r="H20" s="447">
        <v>46209</v>
      </c>
      <c r="I20" s="447">
        <v>46217</v>
      </c>
      <c r="J20" s="472"/>
      <c r="K20" s="14"/>
      <c r="L20" s="450"/>
      <c r="M20" s="451"/>
      <c r="N20" s="14"/>
      <c r="O20" s="535"/>
      <c r="P20" s="535"/>
      <c r="U20"/>
    </row>
    <row r="21" spans="1:21" ht="17.25" customHeight="1">
      <c r="A21" s="460" t="s">
        <v>252</v>
      </c>
      <c r="B21" s="138" t="s">
        <v>253</v>
      </c>
      <c r="C21" s="138"/>
      <c r="D21" s="138">
        <v>247</v>
      </c>
      <c r="E21" s="139">
        <v>2100</v>
      </c>
      <c r="F21" s="471" t="s">
        <v>222</v>
      </c>
      <c r="G21" s="471"/>
      <c r="H21" s="447">
        <v>46209</v>
      </c>
      <c r="I21" s="447">
        <v>46210</v>
      </c>
      <c r="J21" s="449"/>
      <c r="K21" s="14"/>
      <c r="L21" s="450"/>
      <c r="M21" s="451"/>
      <c r="N21" s="14"/>
      <c r="O21" s="536" t="s">
        <v>254</v>
      </c>
      <c r="P21" s="535"/>
      <c r="U21"/>
    </row>
    <row r="22" spans="1:21" ht="15.75">
      <c r="A22" s="460" t="s">
        <v>252</v>
      </c>
      <c r="B22" s="138" t="s">
        <v>253</v>
      </c>
      <c r="C22" s="138"/>
      <c r="D22" s="138">
        <v>247</v>
      </c>
      <c r="E22" s="139">
        <v>900</v>
      </c>
      <c r="F22" s="471" t="s">
        <v>231</v>
      </c>
      <c r="G22" s="471"/>
      <c r="H22" s="447">
        <v>46209</v>
      </c>
      <c r="I22" s="447">
        <v>46210</v>
      </c>
      <c r="J22" s="472"/>
      <c r="K22" s="14"/>
      <c r="L22" s="450"/>
      <c r="M22" s="451"/>
      <c r="N22" s="14"/>
      <c r="O22" s="535"/>
      <c r="P22" s="535"/>
      <c r="U22"/>
    </row>
    <row r="23" spans="1:21" ht="15.75">
      <c r="A23" s="460" t="s">
        <v>240</v>
      </c>
      <c r="B23" s="138" t="s">
        <v>241</v>
      </c>
      <c r="C23" s="138"/>
      <c r="D23" s="138" t="s">
        <v>255</v>
      </c>
      <c r="E23" s="139"/>
      <c r="F23" s="471" t="s">
        <v>243</v>
      </c>
      <c r="G23" s="471"/>
      <c r="H23" s="447">
        <v>46209</v>
      </c>
      <c r="I23" s="447"/>
      <c r="J23" s="449"/>
      <c r="K23" s="14"/>
      <c r="L23" s="450"/>
      <c r="M23" s="451"/>
      <c r="N23" s="14"/>
      <c r="O23" s="535"/>
      <c r="P23" s="535"/>
      <c r="U23"/>
    </row>
    <row r="24" spans="1:21" ht="15.75">
      <c r="A24" s="460" t="s">
        <v>219</v>
      </c>
      <c r="B24" s="138" t="s">
        <v>256</v>
      </c>
      <c r="C24" s="138"/>
      <c r="D24" s="138" t="s">
        <v>257</v>
      </c>
      <c r="E24" s="139">
        <v>5600</v>
      </c>
      <c r="F24" s="471" t="s">
        <v>222</v>
      </c>
      <c r="G24" s="471"/>
      <c r="H24" s="447">
        <v>46209</v>
      </c>
      <c r="I24" s="447">
        <v>46210</v>
      </c>
      <c r="J24" s="449"/>
      <c r="K24" s="14"/>
      <c r="L24" s="450"/>
      <c r="M24" s="451"/>
      <c r="N24" s="14"/>
      <c r="O24" s="535"/>
      <c r="P24" s="535"/>
      <c r="U24"/>
    </row>
    <row r="25" spans="1:21" ht="15.75">
      <c r="A25" s="460" t="s">
        <v>219</v>
      </c>
      <c r="B25" s="138" t="s">
        <v>256</v>
      </c>
      <c r="C25" s="138"/>
      <c r="D25" s="138" t="s">
        <v>257</v>
      </c>
      <c r="E25" s="139">
        <v>2400</v>
      </c>
      <c r="F25" s="471" t="s">
        <v>231</v>
      </c>
      <c r="G25" s="471"/>
      <c r="H25" s="447">
        <v>46209</v>
      </c>
      <c r="I25" s="447">
        <v>46217</v>
      </c>
      <c r="J25" s="472"/>
      <c r="K25" s="14"/>
      <c r="L25" s="450"/>
      <c r="M25" s="451"/>
      <c r="N25" s="14"/>
      <c r="O25" s="535"/>
      <c r="P25" s="535"/>
      <c r="U25"/>
    </row>
    <row r="26" spans="1:21" ht="15.75">
      <c r="A26" s="460" t="s">
        <v>244</v>
      </c>
      <c r="B26" s="138" t="s">
        <v>245</v>
      </c>
      <c r="C26" s="138"/>
      <c r="D26" s="138" t="s">
        <v>258</v>
      </c>
      <c r="E26" s="139"/>
      <c r="F26" s="471" t="s">
        <v>243</v>
      </c>
      <c r="G26" s="471"/>
      <c r="H26" s="447">
        <v>46210</v>
      </c>
      <c r="I26" s="447"/>
      <c r="J26" s="449"/>
      <c r="K26" s="14"/>
      <c r="L26" s="450"/>
      <c r="M26" s="451"/>
      <c r="N26" s="14"/>
      <c r="O26" s="535"/>
      <c r="P26" s="535"/>
      <c r="U26"/>
    </row>
    <row r="27" spans="1:21" ht="15.75">
      <c r="A27" s="460" t="s">
        <v>259</v>
      </c>
      <c r="B27" s="138" t="s">
        <v>260</v>
      </c>
      <c r="C27" s="138"/>
      <c r="D27" s="138" t="s">
        <v>261</v>
      </c>
      <c r="E27" s="139"/>
      <c r="F27" s="471" t="s">
        <v>243</v>
      </c>
      <c r="G27" s="471"/>
      <c r="H27" s="447">
        <v>46210</v>
      </c>
      <c r="I27" s="447"/>
      <c r="J27" s="449"/>
      <c r="K27" s="14"/>
      <c r="L27" s="450"/>
      <c r="M27" s="451"/>
      <c r="N27" s="14"/>
      <c r="O27" s="535"/>
      <c r="P27" s="535"/>
      <c r="U27"/>
    </row>
    <row r="28" spans="1:21" ht="15.75">
      <c r="A28" s="460" t="s">
        <v>262</v>
      </c>
      <c r="B28" s="138" t="s">
        <v>263</v>
      </c>
      <c r="C28" s="138"/>
      <c r="D28" s="138" t="s">
        <v>264</v>
      </c>
      <c r="E28" s="139"/>
      <c r="F28" s="471" t="s">
        <v>243</v>
      </c>
      <c r="G28" s="471"/>
      <c r="H28" s="447">
        <v>46211</v>
      </c>
      <c r="I28" s="447"/>
      <c r="J28" s="449"/>
      <c r="K28" s="14"/>
      <c r="L28" s="450"/>
      <c r="M28" s="451"/>
      <c r="N28" s="14"/>
      <c r="O28" s="535"/>
      <c r="P28" s="535"/>
      <c r="U28"/>
    </row>
    <row r="29" spans="1:21" ht="15.75">
      <c r="A29" s="460" t="s">
        <v>247</v>
      </c>
      <c r="B29" s="138" t="s">
        <v>265</v>
      </c>
      <c r="C29" s="138"/>
      <c r="D29" s="138" t="s">
        <v>266</v>
      </c>
      <c r="E29" s="473">
        <v>5062.6000000000004</v>
      </c>
      <c r="F29" s="471" t="s">
        <v>222</v>
      </c>
      <c r="G29" s="471"/>
      <c r="H29" s="447">
        <v>46211</v>
      </c>
      <c r="I29" s="447">
        <v>46216</v>
      </c>
      <c r="J29" s="449"/>
      <c r="K29" s="14"/>
      <c r="L29" s="450"/>
      <c r="M29" s="451"/>
      <c r="N29" s="14"/>
      <c r="O29" s="535"/>
      <c r="P29" s="535"/>
      <c r="U29"/>
    </row>
    <row r="30" spans="1:21" ht="15.75">
      <c r="A30" s="460" t="s">
        <v>247</v>
      </c>
      <c r="B30" s="138" t="s">
        <v>265</v>
      </c>
      <c r="C30" s="138"/>
      <c r="D30" s="138" t="s">
        <v>266</v>
      </c>
      <c r="E30" s="139">
        <v>2169.6799999999998</v>
      </c>
      <c r="F30" s="471" t="s">
        <v>231</v>
      </c>
      <c r="G30" s="471"/>
      <c r="H30" s="447">
        <v>46211</v>
      </c>
      <c r="I30" s="447">
        <v>46217</v>
      </c>
      <c r="J30" s="472"/>
      <c r="K30" s="14"/>
      <c r="L30" s="450"/>
      <c r="M30" s="451"/>
      <c r="N30" s="14"/>
      <c r="O30" s="535"/>
      <c r="P30" s="535"/>
      <c r="U30"/>
    </row>
    <row r="31" spans="1:21" ht="15.75">
      <c r="A31" s="460" t="s">
        <v>219</v>
      </c>
      <c r="B31" s="138" t="s">
        <v>267</v>
      </c>
      <c r="C31" s="138"/>
      <c r="D31" s="138" t="s">
        <v>268</v>
      </c>
      <c r="E31" s="473">
        <v>5600</v>
      </c>
      <c r="F31" s="471" t="s">
        <v>222</v>
      </c>
      <c r="G31" s="471"/>
      <c r="H31" s="447">
        <v>46211</v>
      </c>
      <c r="I31" s="447">
        <v>46216</v>
      </c>
      <c r="J31" s="449"/>
      <c r="K31" s="14"/>
      <c r="L31" s="450"/>
      <c r="M31" s="451"/>
      <c r="N31" s="14"/>
      <c r="O31" s="535"/>
      <c r="P31" s="535"/>
      <c r="U31"/>
    </row>
    <row r="32" spans="1:21" ht="15.75">
      <c r="A32" s="460" t="s">
        <v>219</v>
      </c>
      <c r="B32" s="138" t="s">
        <v>267</v>
      </c>
      <c r="C32" s="138"/>
      <c r="D32" s="138" t="s">
        <v>268</v>
      </c>
      <c r="E32" s="139">
        <v>2400</v>
      </c>
      <c r="F32" s="471" t="s">
        <v>231</v>
      </c>
      <c r="G32" s="471"/>
      <c r="H32" s="447">
        <v>46211</v>
      </c>
      <c r="I32" s="447">
        <v>46217</v>
      </c>
      <c r="J32" s="472"/>
      <c r="K32" s="14"/>
      <c r="L32" s="450"/>
      <c r="M32" s="451"/>
      <c r="N32" s="14"/>
      <c r="O32" s="535"/>
      <c r="P32" s="535"/>
      <c r="U32"/>
    </row>
    <row r="33" spans="1:21" ht="15.75">
      <c r="A33" s="460" t="s">
        <v>244</v>
      </c>
      <c r="B33" s="138" t="s">
        <v>245</v>
      </c>
      <c r="C33" s="138"/>
      <c r="D33" s="138" t="s">
        <v>269</v>
      </c>
      <c r="E33" s="139"/>
      <c r="F33" s="471" t="s">
        <v>243</v>
      </c>
      <c r="G33" s="471"/>
      <c r="H33" s="447">
        <v>46219</v>
      </c>
      <c r="I33" s="447"/>
      <c r="J33" s="449"/>
      <c r="K33" s="14"/>
      <c r="L33" s="450"/>
      <c r="M33" s="451"/>
      <c r="N33" s="14"/>
      <c r="O33" s="535"/>
      <c r="P33" s="535"/>
      <c r="U33"/>
    </row>
    <row r="34" spans="1:21" ht="15.75">
      <c r="A34" s="460" t="s">
        <v>219</v>
      </c>
      <c r="B34" s="138" t="s">
        <v>270</v>
      </c>
      <c r="C34" s="138"/>
      <c r="D34" s="138" t="s">
        <v>271</v>
      </c>
      <c r="E34" s="473">
        <v>5412.6</v>
      </c>
      <c r="F34" s="471" t="s">
        <v>222</v>
      </c>
      <c r="G34" s="471"/>
      <c r="H34" s="447">
        <v>46218</v>
      </c>
      <c r="I34" s="447">
        <v>46220</v>
      </c>
      <c r="J34" s="449"/>
      <c r="K34" s="14"/>
      <c r="L34" s="450"/>
      <c r="M34" s="451"/>
      <c r="N34" s="14"/>
      <c r="O34" s="535"/>
      <c r="P34" s="535"/>
      <c r="U34"/>
    </row>
    <row r="35" spans="1:21" ht="15.75">
      <c r="A35" s="460" t="s">
        <v>219</v>
      </c>
      <c r="B35" s="138" t="s">
        <v>270</v>
      </c>
      <c r="C35" s="138"/>
      <c r="D35" s="138" t="s">
        <v>271</v>
      </c>
      <c r="E35" s="473">
        <v>2319.6799999999998</v>
      </c>
      <c r="F35" s="471" t="s">
        <v>231</v>
      </c>
      <c r="G35" s="471"/>
      <c r="H35" s="447">
        <v>46218</v>
      </c>
      <c r="I35" s="62">
        <v>46226</v>
      </c>
      <c r="J35" s="449"/>
      <c r="K35" s="14"/>
      <c r="L35" s="450"/>
      <c r="M35" s="451"/>
      <c r="N35" s="14"/>
      <c r="O35" s="535"/>
      <c r="P35" s="535"/>
      <c r="U35"/>
    </row>
    <row r="36" spans="1:21" ht="15.75">
      <c r="A36" s="460" t="s">
        <v>219</v>
      </c>
      <c r="B36" s="138" t="s">
        <v>272</v>
      </c>
      <c r="C36" s="138"/>
      <c r="D36" s="138" t="s">
        <v>273</v>
      </c>
      <c r="E36" s="473">
        <v>5412.6</v>
      </c>
      <c r="F36" s="471" t="s">
        <v>222</v>
      </c>
      <c r="G36" s="471"/>
      <c r="H36" s="447">
        <v>46218</v>
      </c>
      <c r="I36" s="447">
        <v>46220</v>
      </c>
      <c r="J36" s="449"/>
      <c r="K36" s="14"/>
      <c r="L36" s="450"/>
      <c r="M36" s="451"/>
      <c r="N36" s="14"/>
      <c r="O36" s="535"/>
      <c r="P36" s="535"/>
      <c r="U36"/>
    </row>
    <row r="37" spans="1:21" ht="15.75">
      <c r="A37" s="460" t="s">
        <v>219</v>
      </c>
      <c r="B37" s="138" t="s">
        <v>272</v>
      </c>
      <c r="C37" s="138"/>
      <c r="D37" s="138" t="s">
        <v>273</v>
      </c>
      <c r="E37" s="473">
        <v>2319.6799999999998</v>
      </c>
      <c r="F37" s="471" t="s">
        <v>231</v>
      </c>
      <c r="G37" s="471"/>
      <c r="H37" s="447">
        <v>46218</v>
      </c>
      <c r="I37" s="62">
        <v>46226</v>
      </c>
      <c r="J37" s="449"/>
      <c r="K37" s="14"/>
      <c r="L37" s="450"/>
      <c r="M37" s="451"/>
      <c r="N37" s="14"/>
      <c r="O37" s="535"/>
      <c r="P37" s="535"/>
      <c r="U37"/>
    </row>
    <row r="38" spans="1:21" ht="19.5" customHeight="1">
      <c r="A38" s="460" t="s">
        <v>274</v>
      </c>
      <c r="B38" s="138" t="s">
        <v>275</v>
      </c>
      <c r="C38" s="138"/>
      <c r="D38" s="138">
        <v>303</v>
      </c>
      <c r="E38" s="473">
        <v>2800</v>
      </c>
      <c r="F38" s="471" t="s">
        <v>222</v>
      </c>
      <c r="G38" s="471"/>
      <c r="H38" s="447">
        <v>46220</v>
      </c>
      <c r="I38" s="447">
        <v>46220</v>
      </c>
      <c r="J38" s="449"/>
      <c r="K38" s="14"/>
      <c r="L38" s="450"/>
      <c r="M38" s="451"/>
      <c r="N38" s="14"/>
      <c r="O38" s="536" t="s">
        <v>276</v>
      </c>
      <c r="P38" s="535"/>
      <c r="U38"/>
    </row>
    <row r="39" spans="1:21" ht="15.75">
      <c r="A39" s="460" t="s">
        <v>274</v>
      </c>
      <c r="B39" s="138" t="s">
        <v>275</v>
      </c>
      <c r="C39" s="138"/>
      <c r="D39" s="138">
        <v>303</v>
      </c>
      <c r="E39" s="139">
        <v>1200</v>
      </c>
      <c r="F39" s="471" t="s">
        <v>231</v>
      </c>
      <c r="G39" s="471"/>
      <c r="H39" s="447">
        <v>46220</v>
      </c>
      <c r="I39" s="62">
        <v>46223</v>
      </c>
      <c r="J39" s="449"/>
      <c r="K39" s="14"/>
      <c r="L39" s="450"/>
      <c r="M39" s="451"/>
      <c r="N39" s="14"/>
      <c r="O39" s="535"/>
      <c r="P39" s="535"/>
      <c r="U39"/>
    </row>
    <row r="40" spans="1:21" ht="15.75">
      <c r="A40" s="460" t="s">
        <v>240</v>
      </c>
      <c r="B40" s="138" t="s">
        <v>241</v>
      </c>
      <c r="C40" s="138"/>
      <c r="D40" s="138" t="s">
        <v>277</v>
      </c>
      <c r="E40" s="139"/>
      <c r="F40" s="471" t="s">
        <v>243</v>
      </c>
      <c r="G40" s="471"/>
      <c r="H40" s="447">
        <v>46220</v>
      </c>
      <c r="I40" s="447"/>
      <c r="J40" s="449"/>
      <c r="K40" s="14"/>
      <c r="L40" s="450"/>
      <c r="M40" s="451"/>
      <c r="N40" s="14"/>
      <c r="O40" s="535"/>
      <c r="P40" s="535"/>
      <c r="U40"/>
    </row>
    <row r="41" spans="1:21" ht="15.75">
      <c r="A41" s="460" t="s">
        <v>278</v>
      </c>
      <c r="B41" s="138" t="s">
        <v>279</v>
      </c>
      <c r="C41" s="138"/>
      <c r="D41" s="138" t="s">
        <v>280</v>
      </c>
      <c r="E41" s="139">
        <v>5132.6000000000004</v>
      </c>
      <c r="F41" s="471" t="s">
        <v>222</v>
      </c>
      <c r="G41" s="471"/>
      <c r="H41" s="447">
        <v>46220</v>
      </c>
      <c r="I41" s="62">
        <v>46223</v>
      </c>
      <c r="J41" s="449"/>
      <c r="K41" s="14"/>
      <c r="L41" s="450"/>
      <c r="M41" s="451"/>
      <c r="N41" s="14"/>
      <c r="O41" s="535"/>
      <c r="P41" s="535"/>
      <c r="U41"/>
    </row>
    <row r="42" spans="1:21" ht="15.75">
      <c r="A42" s="460" t="s">
        <v>278</v>
      </c>
      <c r="B42" s="138" t="s">
        <v>279</v>
      </c>
      <c r="C42" s="138"/>
      <c r="D42" s="138" t="s">
        <v>280</v>
      </c>
      <c r="E42" s="139">
        <v>2199.6799999999998</v>
      </c>
      <c r="F42" s="471" t="s">
        <v>231</v>
      </c>
      <c r="G42" s="471"/>
      <c r="H42" s="447">
        <v>46220</v>
      </c>
      <c r="I42" s="62">
        <v>46223</v>
      </c>
      <c r="J42" s="449"/>
      <c r="K42" s="14"/>
      <c r="L42" s="450"/>
      <c r="M42" s="451"/>
      <c r="N42" s="14"/>
      <c r="O42" s="535"/>
      <c r="P42" s="535"/>
      <c r="U42"/>
    </row>
    <row r="43" spans="1:21" ht="15.75">
      <c r="A43" s="460" t="s">
        <v>247</v>
      </c>
      <c r="B43" s="138" t="s">
        <v>2055</v>
      </c>
      <c r="C43" s="138"/>
      <c r="D43" s="138">
        <v>314</v>
      </c>
      <c r="E43" s="473">
        <v>3721.65</v>
      </c>
      <c r="F43" s="471" t="s">
        <v>222</v>
      </c>
      <c r="G43" s="471"/>
      <c r="H43" s="447">
        <v>46225</v>
      </c>
      <c r="I43" s="62">
        <v>46226</v>
      </c>
      <c r="J43" s="449"/>
      <c r="K43" s="14"/>
      <c r="L43" s="450"/>
      <c r="M43" s="451"/>
      <c r="N43" s="14"/>
      <c r="O43" s="535"/>
      <c r="P43" s="535"/>
      <c r="U43"/>
    </row>
    <row r="44" spans="1:21" ht="15.75">
      <c r="A44" s="460" t="s">
        <v>247</v>
      </c>
      <c r="B44" s="138" t="s">
        <v>2055</v>
      </c>
      <c r="C44" s="138"/>
      <c r="D44" s="138">
        <v>314</v>
      </c>
      <c r="E44" s="139">
        <v>1594.99</v>
      </c>
      <c r="F44" s="471" t="s">
        <v>2056</v>
      </c>
      <c r="G44" s="471"/>
      <c r="H44" s="447">
        <v>46225</v>
      </c>
      <c r="I44" s="447">
        <v>46230</v>
      </c>
      <c r="J44" s="449"/>
      <c r="K44" s="14"/>
      <c r="L44" s="450"/>
      <c r="M44" s="451"/>
      <c r="N44" s="14"/>
      <c r="O44" s="535"/>
      <c r="P44" s="535"/>
      <c r="U44"/>
    </row>
    <row r="45" spans="1:21" ht="15.75">
      <c r="A45" s="460" t="s">
        <v>278</v>
      </c>
      <c r="B45" s="138" t="s">
        <v>2057</v>
      </c>
      <c r="C45" s="138"/>
      <c r="D45" s="138" t="s">
        <v>2058</v>
      </c>
      <c r="E45" s="473">
        <v>9100</v>
      </c>
      <c r="F45" s="471" t="s">
        <v>222</v>
      </c>
      <c r="G45" s="471"/>
      <c r="H45" s="447">
        <v>46225</v>
      </c>
      <c r="I45" s="62">
        <v>46226</v>
      </c>
      <c r="J45" s="449"/>
      <c r="K45" s="14"/>
      <c r="L45" s="450"/>
      <c r="M45" s="451"/>
      <c r="N45" s="14"/>
      <c r="O45" s="535"/>
      <c r="P45" s="535"/>
      <c r="U45"/>
    </row>
    <row r="46" spans="1:21" ht="15.75">
      <c r="A46" s="460" t="s">
        <v>278</v>
      </c>
      <c r="B46" s="138" t="s">
        <v>2057</v>
      </c>
      <c r="C46" s="138"/>
      <c r="D46" s="138" t="s">
        <v>2058</v>
      </c>
      <c r="E46" s="139">
        <v>3900</v>
      </c>
      <c r="F46" s="471" t="s">
        <v>2056</v>
      </c>
      <c r="G46" s="471"/>
      <c r="H46" s="447">
        <v>46225</v>
      </c>
      <c r="I46" s="447">
        <v>46230</v>
      </c>
      <c r="J46" s="449"/>
      <c r="K46" s="14"/>
      <c r="L46" s="450"/>
      <c r="M46" s="451"/>
      <c r="N46" s="14"/>
      <c r="O46" s="535"/>
      <c r="P46" s="535"/>
      <c r="U46"/>
    </row>
    <row r="47" spans="1:21" ht="15.75">
      <c r="A47" s="460" t="s">
        <v>2059</v>
      </c>
      <c r="B47" s="138" t="s">
        <v>2060</v>
      </c>
      <c r="C47" s="138"/>
      <c r="D47" s="138">
        <v>689</v>
      </c>
      <c r="E47" s="139">
        <v>5194.62</v>
      </c>
      <c r="F47" s="471" t="s">
        <v>222</v>
      </c>
      <c r="G47" s="471"/>
      <c r="H47" s="447">
        <v>46226</v>
      </c>
      <c r="I47" s="62">
        <v>46226</v>
      </c>
      <c r="J47" s="449"/>
      <c r="K47" s="14"/>
      <c r="L47" s="450"/>
      <c r="M47" s="451"/>
      <c r="N47" s="14"/>
      <c r="O47" s="535" t="s">
        <v>2061</v>
      </c>
      <c r="P47" s="535"/>
      <c r="U47"/>
    </row>
    <row r="48" spans="1:21" ht="15.75">
      <c r="A48" s="460" t="s">
        <v>2059</v>
      </c>
      <c r="B48" s="138" t="s">
        <v>2060</v>
      </c>
      <c r="C48" s="138"/>
      <c r="D48" s="138">
        <v>689</v>
      </c>
      <c r="E48" s="139">
        <v>2226.2600000000002</v>
      </c>
      <c r="F48" s="471" t="s">
        <v>2056</v>
      </c>
      <c r="G48" s="471"/>
      <c r="H48" s="447">
        <v>46226</v>
      </c>
      <c r="I48" s="447">
        <v>46230</v>
      </c>
      <c r="J48" s="449"/>
      <c r="K48" s="14"/>
      <c r="L48" s="450"/>
      <c r="M48" s="451"/>
      <c r="N48" s="14"/>
      <c r="O48" s="535" t="s">
        <v>2062</v>
      </c>
      <c r="P48" s="535"/>
      <c r="U48"/>
    </row>
    <row r="49" spans="1:21" ht="15.75">
      <c r="A49" s="460" t="s">
        <v>240</v>
      </c>
      <c r="B49" s="138" t="s">
        <v>241</v>
      </c>
      <c r="C49" s="138"/>
      <c r="D49" s="138" t="s">
        <v>2063</v>
      </c>
      <c r="E49" s="139"/>
      <c r="F49" s="471" t="s">
        <v>243</v>
      </c>
      <c r="G49" s="471"/>
      <c r="H49" s="447">
        <v>46230</v>
      </c>
      <c r="I49" s="447"/>
      <c r="J49" s="449"/>
      <c r="K49" s="14"/>
      <c r="L49" s="450"/>
      <c r="M49" s="451"/>
      <c r="N49" s="14"/>
      <c r="O49" s="535" t="s">
        <v>2064</v>
      </c>
      <c r="P49" s="535"/>
      <c r="U49"/>
    </row>
    <row r="50" spans="1:21" ht="15.75">
      <c r="A50" s="460" t="s">
        <v>2065</v>
      </c>
      <c r="B50" s="138" t="s">
        <v>333</v>
      </c>
      <c r="C50" s="138"/>
      <c r="D50" s="138" t="s">
        <v>2066</v>
      </c>
      <c r="E50" s="139"/>
      <c r="F50" s="471" t="s">
        <v>243</v>
      </c>
      <c r="G50" s="471"/>
      <c r="H50" s="447">
        <v>46230</v>
      </c>
      <c r="I50" s="447"/>
      <c r="J50" s="449"/>
      <c r="K50" s="14"/>
      <c r="L50" s="450"/>
      <c r="M50" s="451"/>
      <c r="N50" s="14"/>
      <c r="O50" s="535" t="s">
        <v>2067</v>
      </c>
      <c r="P50" s="535"/>
      <c r="U50"/>
    </row>
    <row r="51" spans="1:21" ht="15.75">
      <c r="A51" s="460" t="s">
        <v>262</v>
      </c>
      <c r="B51" s="138" t="s">
        <v>263</v>
      </c>
      <c r="C51" s="138"/>
      <c r="D51" s="138" t="s">
        <v>2068</v>
      </c>
      <c r="E51" s="139"/>
      <c r="F51" s="471" t="s">
        <v>243</v>
      </c>
      <c r="G51" s="471"/>
      <c r="H51" s="447">
        <v>46230</v>
      </c>
      <c r="I51" s="447"/>
      <c r="J51" s="449"/>
      <c r="K51" s="14"/>
      <c r="L51" s="450"/>
      <c r="M51" s="451"/>
      <c r="N51" s="14"/>
      <c r="O51" s="535" t="s">
        <v>2069</v>
      </c>
      <c r="P51" s="535"/>
      <c r="U51"/>
    </row>
    <row r="52" spans="1:21" ht="15.75">
      <c r="A52" s="460" t="s">
        <v>262</v>
      </c>
      <c r="B52" s="138" t="s">
        <v>1846</v>
      </c>
      <c r="C52" s="138"/>
      <c r="D52" s="138" t="s">
        <v>2070</v>
      </c>
      <c r="E52" s="139"/>
      <c r="F52" s="471" t="s">
        <v>2071</v>
      </c>
      <c r="G52" s="471"/>
      <c r="H52" s="447">
        <v>46237</v>
      </c>
      <c r="I52" s="447"/>
      <c r="J52" s="449"/>
      <c r="K52" s="14"/>
      <c r="L52" s="450"/>
      <c r="M52" s="451"/>
      <c r="N52" s="14"/>
      <c r="O52" s="535"/>
      <c r="P52" s="535"/>
      <c r="U52"/>
    </row>
    <row r="53" spans="1:21" ht="15.75">
      <c r="A53" s="460" t="s">
        <v>2072</v>
      </c>
      <c r="B53" s="138" t="s">
        <v>1855</v>
      </c>
      <c r="C53" s="138"/>
      <c r="D53" s="138" t="s">
        <v>2073</v>
      </c>
      <c r="E53" s="139"/>
      <c r="F53" s="471" t="s">
        <v>2071</v>
      </c>
      <c r="G53" s="471"/>
      <c r="H53" s="447">
        <v>46237</v>
      </c>
      <c r="I53" s="447"/>
      <c r="J53" s="449"/>
      <c r="K53" s="14"/>
      <c r="L53" s="450"/>
      <c r="M53" s="451"/>
      <c r="N53" s="14"/>
      <c r="O53" s="535"/>
      <c r="P53" s="535"/>
      <c r="U53"/>
    </row>
    <row r="54" spans="1:21" ht="15.75">
      <c r="A54" s="460" t="s">
        <v>2074</v>
      </c>
      <c r="B54" s="138" t="s">
        <v>2075</v>
      </c>
      <c r="C54" s="138"/>
      <c r="D54" s="138" t="s">
        <v>572</v>
      </c>
      <c r="E54" s="139">
        <v>5800</v>
      </c>
      <c r="F54" s="471" t="s">
        <v>2076</v>
      </c>
      <c r="G54" s="520">
        <v>46236</v>
      </c>
      <c r="H54" s="447">
        <v>46238</v>
      </c>
      <c r="I54" s="447">
        <v>46238</v>
      </c>
      <c r="J54" s="449"/>
      <c r="K54" s="14"/>
      <c r="L54" s="450"/>
      <c r="M54" s="451"/>
      <c r="N54" s="14"/>
      <c r="O54" s="589" t="s">
        <v>2077</v>
      </c>
      <c r="P54" s="590"/>
      <c r="U54"/>
    </row>
    <row r="55" spans="1:21" ht="15.75">
      <c r="A55" s="460" t="s">
        <v>2072</v>
      </c>
      <c r="B55" s="138" t="s">
        <v>1855</v>
      </c>
      <c r="C55" s="138"/>
      <c r="D55" s="138" t="s">
        <v>2078</v>
      </c>
      <c r="E55" s="139"/>
      <c r="F55" s="471" t="s">
        <v>2071</v>
      </c>
      <c r="G55" s="471"/>
      <c r="H55" s="447">
        <v>46237</v>
      </c>
      <c r="I55" s="447"/>
      <c r="J55" s="449"/>
      <c r="K55" s="14"/>
      <c r="L55" s="450"/>
      <c r="M55" s="451"/>
      <c r="N55" s="14"/>
      <c r="O55" s="589"/>
      <c r="P55" s="590"/>
      <c r="Q55"/>
      <c r="R55"/>
      <c r="S55"/>
      <c r="T55"/>
      <c r="U55"/>
    </row>
    <row r="56" spans="1:21" ht="15.75">
      <c r="A56" s="460" t="s">
        <v>2079</v>
      </c>
      <c r="B56" s="138" t="s">
        <v>2080</v>
      </c>
      <c r="C56" s="138"/>
      <c r="D56" s="138" t="s">
        <v>2081</v>
      </c>
      <c r="E56" s="139"/>
      <c r="F56" s="471" t="s">
        <v>2071</v>
      </c>
      <c r="G56" s="471"/>
      <c r="H56" s="447">
        <v>46237</v>
      </c>
      <c r="I56" s="447"/>
      <c r="J56" s="449"/>
      <c r="K56" s="14"/>
      <c r="L56" s="450"/>
      <c r="M56" s="451"/>
      <c r="N56" s="14"/>
      <c r="O56" s="53"/>
      <c r="P56" s="53"/>
      <c r="Q56"/>
      <c r="R56"/>
      <c r="S56"/>
      <c r="T56"/>
      <c r="U56"/>
    </row>
    <row r="57" spans="1:21" ht="15.75">
      <c r="A57" s="460" t="s">
        <v>2065</v>
      </c>
      <c r="B57" s="138" t="s">
        <v>333</v>
      </c>
      <c r="C57" s="138"/>
      <c r="D57" s="138" t="s">
        <v>2082</v>
      </c>
      <c r="E57" s="139"/>
      <c r="F57" s="471" t="s">
        <v>2071</v>
      </c>
      <c r="G57" s="471"/>
      <c r="H57" s="447">
        <v>46237</v>
      </c>
      <c r="I57" s="447"/>
      <c r="J57" s="449"/>
      <c r="K57" s="14"/>
      <c r="L57" s="450"/>
      <c r="M57" s="451"/>
      <c r="N57" s="14"/>
      <c r="O57" s="589"/>
      <c r="P57" s="590"/>
      <c r="Q57"/>
      <c r="R57"/>
      <c r="S57"/>
      <c r="T57"/>
      <c r="U57"/>
    </row>
    <row r="58" spans="1:21" ht="15.75">
      <c r="A58" s="460" t="s">
        <v>2083</v>
      </c>
      <c r="B58" s="138" t="s">
        <v>1733</v>
      </c>
      <c r="C58" s="138"/>
      <c r="D58" s="138" t="s">
        <v>2084</v>
      </c>
      <c r="E58" s="139"/>
      <c r="F58" s="471" t="s">
        <v>2071</v>
      </c>
      <c r="G58" s="471"/>
      <c r="H58" s="447">
        <v>46237</v>
      </c>
      <c r="I58" s="447"/>
      <c r="J58" s="449"/>
      <c r="K58" s="14"/>
      <c r="L58" s="450"/>
      <c r="M58" s="451"/>
      <c r="N58" s="14"/>
      <c r="O58" s="53"/>
      <c r="P58" s="53"/>
      <c r="Q58"/>
      <c r="R58"/>
      <c r="S58"/>
      <c r="T58"/>
      <c r="U58"/>
    </row>
    <row r="59" spans="1:21" ht="15.75">
      <c r="A59" s="460" t="s">
        <v>2065</v>
      </c>
      <c r="B59" s="138" t="s">
        <v>333</v>
      </c>
      <c r="C59" s="138"/>
      <c r="D59" s="138" t="s">
        <v>2085</v>
      </c>
      <c r="E59" s="139"/>
      <c r="F59" s="471" t="s">
        <v>2071</v>
      </c>
      <c r="G59" s="471"/>
      <c r="H59" s="447">
        <v>46237</v>
      </c>
      <c r="I59" s="447"/>
      <c r="J59" s="449"/>
      <c r="K59" s="14"/>
      <c r="L59" s="450"/>
      <c r="M59" s="451"/>
      <c r="N59" s="14"/>
      <c r="O59" s="53"/>
      <c r="P59" s="53"/>
      <c r="Q59"/>
      <c r="R59"/>
      <c r="S59"/>
      <c r="T59"/>
      <c r="U59"/>
    </row>
    <row r="60" spans="1:21" ht="15.75">
      <c r="A60" s="474" t="s">
        <v>576</v>
      </c>
      <c r="B60" s="138" t="s">
        <v>2086</v>
      </c>
      <c r="C60" s="138"/>
      <c r="D60" s="138">
        <v>365</v>
      </c>
      <c r="E60" s="139"/>
      <c r="F60" s="471" t="s">
        <v>2087</v>
      </c>
      <c r="G60" s="471"/>
      <c r="H60" s="447">
        <v>46241</v>
      </c>
      <c r="I60" s="447"/>
      <c r="J60" s="449"/>
      <c r="K60" s="14"/>
      <c r="L60" s="450"/>
      <c r="M60" s="451"/>
      <c r="N60" s="14"/>
      <c r="O60" s="589"/>
      <c r="P60" s="590"/>
      <c r="Q60"/>
      <c r="R60"/>
      <c r="S60"/>
      <c r="T60"/>
      <c r="U60"/>
    </row>
    <row r="61" spans="1:21" ht="15.75">
      <c r="A61" s="474" t="s">
        <v>2088</v>
      </c>
      <c r="B61" s="138" t="s">
        <v>2086</v>
      </c>
      <c r="C61" s="138"/>
      <c r="D61" s="138">
        <v>365</v>
      </c>
      <c r="E61" s="139"/>
      <c r="F61" s="471" t="s">
        <v>2089</v>
      </c>
      <c r="G61" s="471"/>
      <c r="H61" s="447"/>
      <c r="I61" s="447"/>
      <c r="J61" s="449"/>
      <c r="K61" s="14"/>
      <c r="L61" s="450"/>
      <c r="M61" s="451"/>
      <c r="N61" s="14"/>
      <c r="O61" s="53"/>
      <c r="P61" s="53"/>
      <c r="Q61"/>
      <c r="R61"/>
      <c r="S61"/>
      <c r="T61"/>
      <c r="U61"/>
    </row>
    <row r="62" spans="1:21" ht="16.5" thickBot="1">
      <c r="A62" s="661"/>
      <c r="B62" s="661"/>
      <c r="C62" s="661"/>
      <c r="D62" s="661"/>
      <c r="E62" s="661"/>
      <c r="F62" s="661"/>
      <c r="G62" s="661"/>
      <c r="H62" s="661"/>
      <c r="I62" s="662"/>
      <c r="J62" s="69">
        <f>SUM(J3:J55)</f>
        <v>0</v>
      </c>
      <c r="K62" s="14"/>
      <c r="L62" s="469" t="s">
        <v>211</v>
      </c>
      <c r="M62" s="470">
        <f>SUM(M3:M55)</f>
        <v>0</v>
      </c>
      <c r="N62" s="14"/>
      <c r="O62" s="25"/>
      <c r="P62" s="14"/>
      <c r="Q62"/>
      <c r="R62"/>
      <c r="S62"/>
      <c r="T62"/>
      <c r="U62"/>
    </row>
  </sheetData>
  <autoFilter ref="A2:V59" xr:uid="{B05F07B1-BE1D-4454-81DD-F94CBA91BD88}">
    <filterColumn colId="11" showButton="0"/>
    <filterColumn colId="14" showButton="0"/>
  </autoFilter>
  <mergeCells count="10">
    <mergeCell ref="O55:P55"/>
    <mergeCell ref="A62:I62"/>
    <mergeCell ref="O54:P54"/>
    <mergeCell ref="A1:H1"/>
    <mergeCell ref="L1:M1"/>
    <mergeCell ref="O1:P1"/>
    <mergeCell ref="L2:M2"/>
    <mergeCell ref="O2:P2"/>
    <mergeCell ref="O57:P57"/>
    <mergeCell ref="O60:P60"/>
  </mergeCells>
  <conditionalFormatting sqref="H3:H61">
    <cfRule type="cellIs" dxfId="0" priority="22" operator="lessThan">
      <formula>$J$1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Gentil</dc:creator>
  <cp:keywords/>
  <dc:description/>
  <cp:lastModifiedBy/>
  <cp:revision/>
  <dcterms:created xsi:type="dcterms:W3CDTF">2014-01-27T17:31:35Z</dcterms:created>
  <dcterms:modified xsi:type="dcterms:W3CDTF">2026-10-23T14:34:51Z</dcterms:modified>
  <cp:category/>
  <cp:contentStatus/>
</cp:coreProperties>
</file>